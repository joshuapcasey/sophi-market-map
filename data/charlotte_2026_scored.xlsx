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ales Candence" sheetId="3" state="visible" r:id="rId3"/>
    <sheet xmlns:r="http://schemas.openxmlformats.org/officeDocument/2006/relationships" name="Parking" sheetId="4" state="visible" r:id="rId4"/>
    <sheet xmlns:r="http://schemas.openxmlformats.org/officeDocument/2006/relationships" name="RevenueForecasting" sheetId="5" state="visible" r:id="rId5"/>
    <sheet xmlns:r="http://schemas.openxmlformats.org/officeDocument/2006/relationships" name="Analysis" sheetId="6" state="visible" r:id="rId6"/>
    <sheet xmlns:r="http://schemas.openxmlformats.org/officeDocument/2006/relationships" name="Detail2-PMC-Hotel" sheetId="7" state="visible" r:id="rId7"/>
    <sheet xmlns:r="http://schemas.openxmlformats.org/officeDocument/2006/relationships" name="TAM_Conservative" sheetId="8" state="visible" r:id="rId8"/>
    <sheet xmlns:r="http://schemas.openxmlformats.org/officeDocument/2006/relationships" name="TAM_Summary" sheetId="9" state="visible" r:id="rId9"/>
    <sheet xmlns:r="http://schemas.openxmlformats.org/officeDocument/2006/relationships" name="TAM_Methodology" sheetId="10" state="visible" r:id="rId10"/>
    <sheet xmlns:r="http://schemas.openxmlformats.org/officeDocument/2006/relationships" name="WAS_Scoring_v2" sheetId="11" state="visible" r:id="rId11"/>
    <sheet xmlns:r="http://schemas.openxmlformats.org/officeDocument/2006/relationships" name="SOM_Summary_v2" sheetId="12" state="visible" r:id="rId12"/>
    <sheet xmlns:r="http://schemas.openxmlformats.org/officeDocument/2006/relationships" name="Methodology_v2" sheetId="13" state="visible" r:id="rId13"/>
  </sheets>
  <definedNames>
    <definedName name="_xlnm._FilterDatabase" localSheetId="4" hidden="1">'RevenueForecasting'!$A$1:$AD$73</definedName>
  </definedNames>
  <calcPr calcId="124519" fullCalcOnLoad="1"/>
  <pivotCaches>
    <pivotCache xmlns:r="http://schemas.openxmlformats.org/officeDocument/2006/relationships" cacheId="0" r:id="rId14"/>
  </pivotCache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$#,##0"/>
  </numFmts>
  <fonts count="45">
    <font>
      <name val="Arial"/>
      <color rgb="FF000000"/>
      <sz val="10"/>
      <scheme val="minor"/>
    </font>
    <font>
      <name val="Arial"/>
      <color theme="1"/>
      <sz val="60"/>
    </font>
    <font>
      <name val="Arial"/>
      <b val="1"/>
      <color theme="1"/>
      <sz val="24"/>
    </font>
    <font>
      <name val="Arial"/>
      <color theme="1"/>
    </font>
    <font>
      <name val="Arial"/>
      <b val="1"/>
      <color rgb="FFFFFFFF"/>
      <sz val="12"/>
    </font>
    <font>
      <name val="Arial"/>
      <color rgb="FFFFFFFF"/>
      <sz val="12"/>
    </font>
    <font>
      <name val="Arial"/>
      <color theme="1"/>
      <sz val="12"/>
    </font>
    <font>
      <name val="Arial"/>
      <color rgb="FF000000"/>
      <sz val="12"/>
    </font>
    <font>
      <name val="Arial"/>
      <color rgb="FF1155CC"/>
      <sz val="12"/>
      <u val="single"/>
    </font>
    <font>
      <name val="Arial"/>
      <color rgb="FF1155CC"/>
      <sz val="12"/>
      <u val="single"/>
    </font>
    <font>
      <name val="Arial"/>
      <color rgb="FF1155CC"/>
      <sz val="12"/>
      <u val="single"/>
    </font>
    <font>
      <name val="Arial"/>
      <color rgb="FF0000FF"/>
      <sz val="12"/>
      <u val="single"/>
    </font>
    <font>
      <name val="Arial"/>
      <color rgb="FF1155CC"/>
      <sz val="12"/>
      <u val="single"/>
    </font>
    <font>
      <name val="Arial"/>
      <color rgb="FF000000"/>
      <sz val="12"/>
      <u val="single"/>
    </font>
    <font>
      <name val="Arial"/>
      <color rgb="FF1F1F1F"/>
      <sz val="12"/>
    </font>
    <font>
      <name val="Arial"/>
      <color rgb="FF000000"/>
      <sz val="12"/>
      <u val="single"/>
    </font>
    <font>
      <name val="Arial"/>
      <b val="1"/>
      <color rgb="FF000000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color rgb="FF000000"/>
      <sz val="11"/>
      <u val="single"/>
    </font>
    <font>
      <name val="Arial"/>
      <color rgb="FF000000"/>
      <sz val="11"/>
      <u val="single"/>
    </font>
    <font>
      <name val="Arial"/>
      <color rgb="FF000000"/>
      <sz val="11"/>
    </font>
    <font>
      <name val="Arial"/>
      <color rgb="FF000000"/>
    </font>
    <font>
      <name val="Arial"/>
      <color rgb="FF1155CC"/>
      <sz val="11"/>
      <u val="single"/>
    </font>
    <font>
      <name val="Arial"/>
      <b val="1"/>
      <color rgb="FF000000"/>
    </font>
    <font>
      <name val="Roboto"/>
      <color rgb="FF000000"/>
      <sz val="11"/>
    </font>
    <font>
      <name val="Arial"/>
      <color rgb="FF1155CC"/>
      <sz val="11"/>
      <u val="single"/>
    </font>
    <font>
      <name val="Roboto"/>
      <color rgb="FF474747"/>
      <sz val="11"/>
    </font>
    <font>
      <name val="Arial"/>
      <color rgb="FF000000"/>
      <sz val="8"/>
    </font>
    <font>
      <name val="Arial"/>
      <b val="1"/>
      <i val="1"/>
      <color rgb="FFFFFFFF"/>
      <sz val="12"/>
    </font>
    <font>
      <name val="Arial"/>
      <b val="1"/>
      <color rgb="FF222222"/>
    </font>
    <font>
      <name val="Open Sans"/>
      <b val="1"/>
      <color rgb="FFFFFFFF"/>
      <sz val="12"/>
    </font>
    <font>
      <name val="Open Sans"/>
      <color rgb="FF000000"/>
      <sz val="12"/>
    </font>
    <font>
      <name val="Arial"/>
      <b val="1"/>
      <color theme="1"/>
      <sz val="29"/>
    </font>
    <font>
      <name val="Arial"/>
      <b val="1"/>
      <color theme="1"/>
      <sz val="12"/>
    </font>
    <font>
      <name val="Arial"/>
      <color rgb="FF1155CC"/>
      <sz val="12"/>
    </font>
    <font>
      <name val="Arial"/>
      <color theme="1"/>
      <scheme val="minor"/>
    </font>
    <font>
      <name val="Arial"/>
      <b val="1"/>
      <color rgb="FFFFFFFF"/>
    </font>
    <font>
      <color rgb="FF0000FF"/>
      <u val="single"/>
    </font>
    <font>
      <b val="1"/>
      <color rgb="00FFFFFF"/>
    </font>
    <font>
      <b val="1"/>
      <sz val="14"/>
    </font>
    <font>
      <b val="1"/>
    </font>
    <font>
      <b val="1"/>
      <sz val="12"/>
    </font>
    <font>
      <sz val="11"/>
    </font>
    <font>
      <i val="1"/>
      <color rgb="00555555"/>
    </font>
  </fonts>
  <fills count="2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222222"/>
        <bgColor rgb="FF222222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B7E1CD"/>
        <bgColor rgb="FFB7E1CD"/>
      </patternFill>
    </fill>
    <fill>
      <patternFill patternType="solid">
        <fgColor rgb="FFBDBDBD"/>
        <bgColor rgb="FFBDBDBD"/>
      </patternFill>
    </fill>
    <fill>
      <patternFill patternType="solid">
        <fgColor rgb="FF202124"/>
        <bgColor rgb="FF202124"/>
      </patternFill>
    </fill>
    <fill>
      <patternFill patternType="solid">
        <fgColor rgb="FF8E7CC3"/>
        <bgColor rgb="FF8E7CC3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001F4E78"/>
      </patternFill>
    </fill>
    <fill>
      <patternFill patternType="solid">
        <fgColor rgb="00DEEBF6"/>
      </patternFill>
    </fill>
    <fill>
      <patternFill patternType="solid">
        <fgColor rgb="00FFF2CC"/>
      </patternFill>
    </fill>
    <fill>
      <patternFill patternType="solid">
        <fgColor rgb="00FFD580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numFmtId="0" fontId="0" fillId="0" borderId="0"/>
  </cellStyleXfs>
  <cellXfs count="23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164" fontId="8" fillId="7" borderId="0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wrapText="1"/>
    </xf>
    <xf numFmtId="10" fontId="7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7" fillId="14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9" fontId="7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4" fontId="7" fillId="15" borderId="1" applyAlignment="1" pivotButton="0" quotePrefix="0" xfId="0">
      <alignment horizontal="center" vertical="center" wrapText="1"/>
    </xf>
    <xf numFmtId="165" fontId="7" fillId="7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4" fontId="7" fillId="7" borderId="0" applyAlignment="1" pivotButton="0" quotePrefix="0" xfId="0">
      <alignment horizontal="center" vertical="center" wrapText="1"/>
    </xf>
    <xf numFmtId="9" fontId="7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164" fontId="16" fillId="1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3" fontId="16" fillId="18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164" fontId="1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7" fillId="0" borderId="0" applyAlignment="1" pivotButton="0" quotePrefix="0" xfId="0">
      <alignment vertical="bottom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 wrapText="1"/>
    </xf>
    <xf numFmtId="0" fontId="17" fillId="0" borderId="0" applyAlignment="1" pivotButton="0" quotePrefix="0" xfId="0">
      <alignment horizontal="center"/>
    </xf>
    <xf numFmtId="165" fontId="18" fillId="0" borderId="0" applyAlignment="1" pivotButton="0" quotePrefix="0" xfId="0">
      <alignment horizontal="center" vertical="bottom" wrapText="1"/>
    </xf>
    <xf numFmtId="0" fontId="18" fillId="0" borderId="0" applyAlignment="1" pivotButton="0" quotePrefix="0" xfId="0">
      <alignment horizontal="center" vertical="bottom"/>
    </xf>
    <xf numFmtId="0" fontId="19" fillId="19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1" fillId="7" borderId="0" applyAlignment="1" pivotButton="0" quotePrefix="0" xfId="0">
      <alignment vertical="bottom"/>
    </xf>
    <xf numFmtId="164" fontId="18" fillId="0" borderId="0" applyAlignment="1" pivotButton="0" quotePrefix="0" xfId="0">
      <alignment horizontal="center" vertical="bottom"/>
    </xf>
    <xf numFmtId="164" fontId="7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18" fillId="14" borderId="0" applyAlignment="1" pivotButton="0" quotePrefix="0" xfId="0">
      <alignment horizontal="center" vertical="bottom"/>
    </xf>
    <xf numFmtId="164" fontId="3" fillId="0" borderId="0" applyAlignment="1" pivotButton="0" quotePrefix="0" xfId="0">
      <alignment vertical="bottom"/>
    </xf>
    <xf numFmtId="0" fontId="22" fillId="7" borderId="1" applyAlignment="1" pivotButton="0" quotePrefix="0" xfId="0">
      <alignment horizontal="center"/>
    </xf>
    <xf numFmtId="0" fontId="17" fillId="2" borderId="0" applyAlignment="1" pivotButton="0" quotePrefix="0" xfId="0">
      <alignment vertical="bottom"/>
    </xf>
    <xf numFmtId="0" fontId="7" fillId="7" borderId="1" applyAlignment="1" pivotButton="0" quotePrefix="0" xfId="0">
      <alignment horizontal="center" vertical="center"/>
    </xf>
    <xf numFmtId="0" fontId="23" fillId="20" borderId="0" applyAlignment="1" pivotButton="0" quotePrefix="0" xfId="0">
      <alignment vertical="bottom"/>
    </xf>
    <xf numFmtId="0" fontId="24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164" fontId="17" fillId="0" borderId="0" applyAlignment="1" pivotButton="0" quotePrefix="0" xfId="0">
      <alignment horizontal="center" vertical="bottom"/>
    </xf>
    <xf numFmtId="165" fontId="18" fillId="0" borderId="0" applyAlignment="1" pivotButton="0" quotePrefix="0" xfId="0">
      <alignment vertical="bottom" wrapText="1"/>
    </xf>
    <xf numFmtId="164" fontId="18" fillId="0" borderId="0" applyAlignment="1" pivotButton="0" quotePrefix="0" xfId="0">
      <alignment horizontal="center" vertical="bottom" wrapText="1"/>
    </xf>
    <xf numFmtId="164" fontId="21" fillId="7" borderId="0" applyAlignment="1" pivotButton="0" quotePrefix="0" xfId="0">
      <alignment vertical="bottom"/>
    </xf>
    <xf numFmtId="0" fontId="21" fillId="7" borderId="0" applyAlignment="1" pivotButton="0" quotePrefix="0" xfId="0">
      <alignment horizontal="center" vertical="bottom"/>
    </xf>
    <xf numFmtId="0" fontId="18" fillId="19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164" fontId="18" fillId="0" borderId="0" applyAlignment="1" pivotButton="0" quotePrefix="0" xfId="0">
      <alignment vertical="bottom" wrapText="1"/>
    </xf>
    <xf numFmtId="0" fontId="18" fillId="14" borderId="0" applyAlignment="1" pivotButton="0" quotePrefix="0" xfId="0">
      <alignment horizontal="center" vertical="bottom"/>
    </xf>
    <xf numFmtId="9" fontId="7" fillId="7" borderId="0" applyAlignment="1" pivotButton="0" quotePrefix="0" xfId="0">
      <alignment horizontal="center" vertical="center"/>
    </xf>
    <xf numFmtId="3" fontId="7" fillId="7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bottom" wrapText="1"/>
    </xf>
    <xf numFmtId="164" fontId="21" fillId="0" borderId="0" applyAlignment="1" pivotButton="0" quotePrefix="0" xfId="0">
      <alignment vertical="bottom" wrapText="1"/>
    </xf>
    <xf numFmtId="0" fontId="25" fillId="0" borderId="0" applyAlignment="1" pivotButton="0" quotePrefix="0" xfId="0">
      <alignment vertical="bottom" wrapText="1"/>
    </xf>
    <xf numFmtId="0" fontId="17" fillId="0" borderId="0" applyAlignment="1" pivotButton="0" quotePrefix="0" xfId="0">
      <alignment vertical="bottom" wrapText="1"/>
    </xf>
    <xf numFmtId="0" fontId="26" fillId="0" borderId="0" applyAlignment="1" pivotButton="0" quotePrefix="0" xfId="0">
      <alignment vertical="bottom"/>
    </xf>
    <xf numFmtId="0" fontId="18" fillId="0" borderId="0" pivotButton="0" quotePrefix="0" xfId="0"/>
    <xf numFmtId="0" fontId="21" fillId="19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2" fillId="7" borderId="0" applyAlignment="1" pivotButton="0" quotePrefix="0" xfId="0">
      <alignment horizontal="center" vertical="bottom"/>
    </xf>
    <xf numFmtId="0" fontId="27" fillId="7" borderId="0" applyAlignment="1" pivotButton="0" quotePrefix="0" xfId="0">
      <alignment vertical="bottom"/>
    </xf>
    <xf numFmtId="0" fontId="24" fillId="0" borderId="1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164" fontId="3" fillId="0" borderId="1" pivotButton="0" quotePrefix="0" xfId="0"/>
    <xf numFmtId="0" fontId="29" fillId="0" borderId="1" applyAlignment="1" pivotButton="0" quotePrefix="0" xfId="0">
      <alignment horizontal="center"/>
    </xf>
    <xf numFmtId="164" fontId="28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0" fontId="30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31" fillId="4" borderId="0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center" vertical="center" wrapText="1"/>
    </xf>
    <xf numFmtId="9" fontId="32" fillId="7" borderId="0" applyAlignment="1" pivotButton="0" quotePrefix="0" xfId="0">
      <alignment horizontal="center" vertical="center" wrapText="1"/>
    </xf>
    <xf numFmtId="0" fontId="32" fillId="7" borderId="0" applyAlignment="1" pivotButton="0" quotePrefix="0" xfId="0">
      <alignment horizontal="center" vertical="center" wrapText="1"/>
    </xf>
    <xf numFmtId="9" fontId="32" fillId="7" borderId="1" applyAlignment="1" pivotButton="0" quotePrefix="0" xfId="0">
      <alignment horizontal="center" vertical="center" wrapText="1"/>
    </xf>
    <xf numFmtId="3" fontId="32" fillId="7" borderId="1" applyAlignment="1" pivotButton="0" quotePrefix="0" xfId="0">
      <alignment horizontal="center" vertical="center" wrapText="1"/>
    </xf>
    <xf numFmtId="164" fontId="32" fillId="7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right" vertical="bottom"/>
    </xf>
    <xf numFmtId="164" fontId="3" fillId="0" borderId="0" pivotButton="0" quotePrefix="0" xfId="0"/>
    <xf numFmtId="3" fontId="32" fillId="7" borderId="0" applyAlignment="1" pivotButton="0" quotePrefix="0" xfId="0">
      <alignment horizontal="center" vertical="center" wrapText="1"/>
    </xf>
    <xf numFmtId="9" fontId="3" fillId="0" borderId="0" pivotButton="0" quotePrefix="0" xfId="0"/>
    <xf numFmtId="3" fontId="3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33" fillId="7" borderId="3" applyAlignment="1" pivotButton="0" quotePrefix="0" xfId="0">
      <alignment horizontal="center" vertical="center" wrapText="1"/>
    </xf>
    <xf numFmtId="0" fontId="34" fillId="5" borderId="4" applyAlignment="1" pivotButton="0" quotePrefix="0" xfId="0">
      <alignment horizontal="center" vertical="center" wrapText="1"/>
    </xf>
    <xf numFmtId="0" fontId="34" fillId="5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32" fillId="21" borderId="6" applyAlignment="1" pivotButton="0" quotePrefix="0" xfId="0">
      <alignment horizontal="center" vertical="center" wrapText="1"/>
    </xf>
    <xf numFmtId="0" fontId="32" fillId="21" borderId="7" applyAlignment="1" pivotButton="0" quotePrefix="0" xfId="0">
      <alignment horizontal="center" vertical="center" wrapText="1"/>
    </xf>
    <xf numFmtId="0" fontId="32" fillId="21" borderId="8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1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wrapText="1"/>
    </xf>
    <xf numFmtId="0" fontId="6" fillId="0" borderId="9" applyAlignment="1" pivotButton="0" quotePrefix="0" xfId="0">
      <alignment horizontal="center" vertical="center" wrapText="1"/>
    </xf>
    <xf numFmtId="0" fontId="35" fillId="18" borderId="10" applyAlignment="1" pivotButton="0" quotePrefix="0" xfId="0">
      <alignment horizontal="center" vertical="center" wrapText="1"/>
    </xf>
    <xf numFmtId="0" fontId="35" fillId="7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36" fillId="0" borderId="0" pivotButton="0" quotePrefix="0" xfId="0"/>
    <xf numFmtId="164" fontId="36" fillId="0" borderId="0" pivotButton="0" quotePrefix="0" xfId="0"/>
    <xf numFmtId="10" fontId="36" fillId="0" borderId="0" pivotButton="0" quotePrefix="0" xfId="0"/>
    <xf numFmtId="165" fontId="36" fillId="0" borderId="0" pivotButton="0" quotePrefix="0" xfId="0"/>
    <xf numFmtId="0" fontId="37" fillId="0" borderId="11" applyAlignment="1" pivotButton="0" quotePrefix="0" xfId="0">
      <alignment horizontal="center"/>
    </xf>
    <xf numFmtId="0" fontId="37" fillId="0" borderId="12" applyAlignment="1" pivotButton="0" quotePrefix="0" xfId="0">
      <alignment horizontal="center"/>
    </xf>
    <xf numFmtId="164" fontId="37" fillId="0" borderId="12" applyAlignment="1" pivotButton="0" quotePrefix="0" xfId="0">
      <alignment horizontal="center"/>
    </xf>
    <xf numFmtId="10" fontId="37" fillId="0" borderId="12" applyAlignment="1" pivotButton="0" quotePrefix="0" xfId="0">
      <alignment horizontal="center"/>
    </xf>
    <xf numFmtId="0" fontId="37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164" fontId="3" fillId="0" borderId="15" pivotButton="0" quotePrefix="0" xfId="0"/>
    <xf numFmtId="165" fontId="3" fillId="0" borderId="15" pivotButton="0" quotePrefix="0" xfId="0"/>
    <xf numFmtId="10" fontId="3" fillId="0" borderId="15" pivotButton="0" quotePrefix="0" xfId="0"/>
    <xf numFmtId="0" fontId="3" fillId="0" borderId="16" pivotButton="0" quotePrefix="0" xfId="0"/>
    <xf numFmtId="164" fontId="38" fillId="0" borderId="15" pivotButton="0" quotePrefix="0" xfId="0"/>
    <xf numFmtId="3" fontId="3" fillId="0" borderId="15" pivotButton="0" quotePrefix="0" xfId="0"/>
    <xf numFmtId="164" fontId="3" fillId="0" borderId="16" pivotButton="0" quotePrefix="0" xfId="0"/>
    <xf numFmtId="0" fontId="0" fillId="0" borderId="0" pivotButton="0" quotePrefix="0" xfId="0"/>
    <xf numFmtId="0" fontId="39" fillId="22" borderId="0" applyAlignment="1" pivotButton="0" quotePrefix="0" xfId="0">
      <alignment horizontal="center" vertical="center" wrapText="1"/>
    </xf>
    <xf numFmtId="0" fontId="0" fillId="2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24" borderId="0" pivotButton="0" quotePrefix="0" xfId="0"/>
    <xf numFmtId="0" fontId="40" fillId="0" borderId="0" pivotButton="0" quotePrefix="0" xfId="0"/>
    <xf numFmtId="0" fontId="39" fillId="22" borderId="0" pivotButton="0" quotePrefix="0" xfId="0"/>
    <xf numFmtId="0" fontId="41" fillId="0" borderId="0" pivotButton="0" quotePrefix="0" xfId="0"/>
    <xf numFmtId="167" fontId="41" fillId="0" borderId="0" pivotButton="0" quotePrefix="0" xfId="0"/>
    <xf numFmtId="0" fontId="42" fillId="0" borderId="0" pivotButton="0" quotePrefix="0" xfId="0"/>
    <xf numFmtId="9" fontId="0" fillId="0" borderId="0" pivotButton="0" quotePrefix="0" xfId="0"/>
    <xf numFmtId="0" fontId="43" fillId="0" borderId="0" pivotButton="0" quotePrefix="0" xfId="0"/>
    <xf numFmtId="2" fontId="0" fillId="0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44" fillId="0" borderId="0" pivotButton="0" quotePrefix="0" xfId="0"/>
    <xf numFmtId="0" fontId="0" fillId="28" borderId="0" pivotButton="0" quotePrefix="0" xfId="0"/>
  </cellXfs>
  <cellStyles count="1">
    <cellStyle name="Normal" xfId="0" builtinId="0"/>
  </cellStyles>
  <dxfs count="10"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 defaultTableStyle="TableStyleMedium9" defaultPivotStyle="PivotStyleLight16">
    <tableStyle name="Detail2-PMC-Hotel-style" pivot="0" count="3">
      <tableStyleElement type="headerRow" dxfId="7"/>
      <tableStyleElement type="firstRowStripe" dxfId="8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strRef>
              <f>Analysis!$B$7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Analysis!$A$8</f>
            </strRef>
          </cat>
          <val>
            <numRef>
              <f>Analysis!$B$8</f>
              <numCache/>
            </numRef>
          </val>
        </ser>
        <gapWidth val="150"/>
        <axId val="1717527380"/>
        <axId val="1171370225"/>
      </barChart>
      <catAx>
        <axId val="171752738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71370225"/>
        <lblOffset val="100"/>
      </catAx>
      <valAx>
        <axId val="11713702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1752738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R20" authorId="0" shapeId="0">
      <text>
        <t>======
ID#AAABvMibgws
Korey Alexander    (2025-11-04 23:47:53)
@jcasey@sophimobility.com this doc
_Assigned to jcasey@sophimobility.com_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9" authorId="0" shapeId="0">
      <text>
        <t>In by 6AM out by 6PM
======</t>
      </text>
    </comment>
    <comment ref="F14" authorId="0" shapeId="0">
      <text>
        <t>Mon-Fri In after 6am Out by 6pm
======</t>
      </text>
    </comment>
    <comment ref="F25" authorId="0" shapeId="0">
      <text>
        <t>ONLY Mon-Fri after 7AM out by 7PM
======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476250</rowOff>
    </from>
    <ext cx="571500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T1059" sheet="Accounts"/>
  </cacheSource>
  <cacheFields count="20">
    <cacheField name="Accounts" uniqueList="1" numFmtId="0" sqlType="0" hierarchy="0" level="0" databaseField="1">
      <sharedItems count="81" containsBlank="1">
        <s v="Aloft Charlotte City Center"/>
        <s v="Courtyard By Marriott"/>
        <s v="Fairfield Inn &amp; Suites"/>
        <s v="Hampton Inn Uptown"/>
        <s v="Hilton Garden Inn (SouthPark) "/>
        <s v="Hilton/Hilton Garden Inn"/>
        <s v="Home2Suites"/>
        <s v="Hilton Charlotte Uptown"/>
        <s v="Le Meridien Charlotte"/>
        <s v="Sheraton Hotel"/>
        <s v="The Ivey's Hotel"/>
        <s v="Hyatt Place"/>
        <s v="The Dunhill"/>
        <s v="AC Hotel Residents inn"/>
        <s v="DoubleTree by Hilton Charlotte-Center City"/>
        <s v="Omni Hotel"/>
        <s v="SpringHill"/>
        <s v="Element Charlotte Uptown"/>
        <s v="Hyatt House Charlotte Center City"/>
        <s v="Homewood Suites by Hilton Charlotte Uptown "/>
        <s v="Embassy Suites by Hilton Charlotte Uptown"/>
        <s v="The Westin Charlotte"/>
        <s v="Grand Bohemian Hotel"/>
        <s v="JW Marriott Charlotte"/>
        <s v="Kimpton Tryon Park Hotel"/>
        <s v="Charlotte Marriott City Center"/>
        <s v="Ritz Carlton"/>
        <s v="Kasa FreeMoreWest Charlotte"/>
        <s v="Canopy by Hilton Charlotte Southpark"/>
        <s v="Courtyard by Marriott Charlotte SouthPark"/>
        <s v="Residence Inn by Marriott Charlotte SouthPark"/>
        <s v="Renaissance Charlotte SouthPark Hotel"/>
        <s v="Charlotte Marriott SouthPark"/>
        <s v="AC Hotel Charlotte SouthPark"/>
        <s v="Hyatt Centric Charlotte SouthPark"/>
        <s v="Homewood Suites by Hilton Charlotte/SouthPark"/>
        <s v="DoubleTree Suites by Hilton Hotel Charlotte - SouthPark"/>
        <s v="UNC Charlotte Marriott Hotel &amp; Conference Center"/>
        <s v="Steak 48"/>
        <s v="The Capital Grille"/>
        <s v="Morton's Steakhouse "/>
        <s v="Church and Union"/>
        <s v="Fahrenheit CLT"/>
        <s v="STK Steakhouse"/>
        <s v="La Belle"/>
        <s v="Cajun Queen"/>
        <s v="Bernardin's Restaurant At Ratcliffe"/>
        <s v="Basil"/>
        <s v="Haymaker"/>
        <s v="McNinch House Restaurant "/>
        <s v="Luce Ristorante &amp; Bar"/>
        <s v="Fin&amp;Fino"/>
        <s v="Forchetta"/>
        <s v="Indaco"/>
        <s v="Copper Restaurant "/>
        <s v="Dolce Osteria"/>
        <s v="The Fig Tree Restaurant "/>
        <s v="The Melting Pot"/>
        <s v="The Cellar at Duckworth's"/>
        <s v="Ri Ra"/>
        <s v="McCormick &amp;Schmick's Seafood &amp;Steaks "/>
        <s v="Firebirds Wood Fired Grill"/>
        <s v="Del Frisco's Double Eagle Steakhouse"/>
        <s v="Mariposa"/>
        <s v="204 North "/>
        <s v="Deluxe The Fun Art of Dining"/>
        <s v="Sea Level NC"/>
        <s v="Red Salt by David Burke"/>
        <s v="Chima Steakhouse"/>
        <s v="Eddie V's Prime Seafood"/>
        <s v="Dean's Italian Steakhouse"/>
        <s v="Fleming's Prime Steakhouse &amp; Wine Bar"/>
        <s v="204 kitchen + cocktails"/>
        <s v="The Palm"/>
        <s v="Sullivan's Steakhouse"/>
        <s v="Aria and Cicchetti"/>
        <s v="Dressler's Steakhouse"/>
        <s v="Ruth's Chris"/>
        <s v="Ruth's Chris #2"/>
        <s v="Oak Steakhouse"/>
        <m/>
      </sharedItems>
    </cacheField>
    <cacheField name="Account Type" uniqueList="1" numFmtId="0" sqlType="0" hierarchy="0" level="0" databaseField="1">
      <sharedItems count="3" containsBlank="1">
        <s v="Hotel"/>
        <s v="Restaurant"/>
        <m/>
      </sharedItems>
    </cacheField>
    <cacheField name="Contact Created?" uniqueList="1" numFmtId="0" sqlType="0" hierarchy="0" level="0" databaseField="1">
      <sharedItems count="2" containsBlank="1">
        <m/>
        <b v="0"/>
      </sharedItems>
    </cacheField>
    <cacheField name="Address" uniqueList="1" numFmtId="0" sqlType="0" hierarchy="0" level="0" databaseField="1">
      <sharedItems count="78" containsBlank="1">
        <s v="210 E Trade Street, Charlotte, NC, 28202"/>
        <s v="237 S Tryon St, Charlotte, NC 28202"/>
        <s v="201 S McDowell St, Charlotte, NC 28204"/>
        <s v="530 E M.L.K. Jr Blvd, Charlotte, NC 28202"/>
        <s v="4808 Sharon Rd, Charlotte, NC 28210"/>
        <s v="508 E M.L.K. Jr Blvd, Charlotte, NC 28202"/>
        <s v="610 S Caldwell St, Charlotte, NC 28202"/>
        <s v="222 East Third Street Charlotte NC 20802"/>
        <s v="555 S McDowell St Tower, Charlotte, NC 28204"/>
        <s v="127 N Tryon St, Charlotte, NC 28202"/>
        <s v="222 S Caldwell St, Charlotte NC 28202"/>
        <s v="237 N Tryon St, Charlotte, NC 28202"/>
        <s v="220 East Trade Street, Suite 1400, Charlotte, NC, 28202"/>
        <s v="230 N College Street, Charlotte, NC 28202"/>
        <s v="132 E Trade St, Charlotte, NC 28202"/>
        <s v="311 E 5th St, Charlotte, NC 28202"/>
        <s v="650 S Caldwell Street, Charlotte"/>
        <s v="435 E Trade St, Charlotte, NC 28202"/>
        <s v="508 N College St, Charlotte, NC 28202"/>
        <s v="401 E M.L.K. Jr Blvd, Charlotte, NC 28202"/>
        <s v="601 S College St, Charlotte, NC 28202"/>
        <s v="201 W Trade St, Charlotte, NC 28202"/>
        <s v="600 S College St, Charlotte, NC 28202"/>
        <s v="303 S Church St, Charlotte, NC 28202"/>
        <s v="100 W Trade St, Charlotte, NC 28202"/>
        <s v="201 E Trade St, Charlotte, NC 28202"/>
        <s v="2109 Morton St, Charlotte, NC 28208"/>
        <s v="4905 Barclay Downs Dr, Charlotte, NC 28210"/>
        <m/>
        <s v="6030 Piedmont Row Dr S, Charlotte, NC 28210"/>
        <s v="5501 Carnegie Blvd, Charlotte, NC 28209"/>
        <s v="2200 Rexford Rd, Charlotte, NC 28211"/>
        <s v="1824 Roxborough Rd, Charlotte, NC 28211"/>
        <s v="3100 Apex Dr, Charlotte, NC 28211"/>
        <s v="6300 Carnegie Blvd, Charlotte, NC 28211"/>
        <s v="9041 Robert D. Snyder Rd, Charlotte, NC 28262"/>
        <s v="4425 Sharon Rd, Charlotte, NC 28211"/>
        <s v="201 N Tryon St, Charlotte, NC 28202"/>
        <s v="227 W Trade St Suite 150, Charlotte, NC 28202"/>
        <s v="127 N Tryon St #8, Charlotte, NC 28202"/>
        <s v="222 S Caldwell St 21st Floor, Charlotte, NC 28202"/>
        <s v="201 S. College St, Charlotte, NC 28202"/>
        <s v="300 S Tryon St Suite 100, Charlotte, NC 28202"/>
        <s v="1800 E 7th St, Charlotte, NC 28204"/>
        <s v=" 435 S Tryon St Ste 100, Charlotte, NC 28202"/>
        <s v="210 N Church St, Charlotte, NC 28202"/>
        <s v="225 S Poplar St, Charlotte, NC 28202"/>
        <s v="511 N Church St, Charlotte, NC 28202"/>
        <s v="214 N Tryon St J, Charlotte, NC 28202"/>
        <s v="135 Levine Avenue of the Arts #100, Charlotte, NC 28202"/>
        <s v="230 N College St, Charlotte, NC 28202"/>
        <s v="2046 South Blvd, Charlotte, NC 28203"/>
        <s v="311 East Blvd, Charlotte, NC 28203"/>
        <s v="1710 Kenilworth Ave, Charlotte, NC 28203"/>
        <s v="1601 E 7th St, Charlotte, NC 28204"/>
        <s v="901 S Kings Dr #140B, Charlotte, NC 28204"/>
        <s v="330 N Tryon St, Charlotte, NC 28202"/>
        <s v="208 N Tryon St, Charlotte, NC 28202"/>
        <s v="200 S Tryon St, Charlotte, NC 28202"/>
        <s v="3920 Sharon Rd, Charlotte, NC 28211"/>
        <s v="4725 Piedmont Row Dr Suite 170, Charlotte, NC 28210"/>
        <s v="500 S Tryon St, Charlotte, NC 28202"/>
        <s v="204 N Tryon St, Charlotte, NC 28202"/>
        <s v="305 W 4th St, Charlotte, NC 28202"/>
        <s v="129 E 5th St, Charlotte, NC 28202"/>
        <s v="555 S McDowell St&#10;Charlotte, NC 28204"/>
        <s v="139 S Tryon St, Charlotte, NC 28202"/>
        <s v="101 S Tryon St Suite 100, Charlotte, NC 28280 (Still Uptown)"/>
        <s v="128 E Stonewall St, Charlotte, NC 28202"/>
        <s v="210 E Trade St Suite C-110, Charlotte, NC 28202"/>
        <s v="204 North tryon Street, Charlotte, NC 28202"/>
        <s v="6705-B, Phillips Pl Ct, Charlotte, NC 28210"/>
        <s v="1928 South Blvd Suite 200 Suite 200, Charlotte, NC 28203"/>
        <s v="100 N Tryon St, Charlotte, NC 28202"/>
        <s v="1100 Metropolitan Ave #125, Charlotte, NC 28204"/>
        <s v="222 S Tryon St, Charlotte, NC 28202"/>
        <s v="6000 Fairview Rd, Charlotte, NC 28210"/>
        <s v="4777 Sharon Rd Suite 125, Charlotte, NC 28210"/>
      </sharedItems>
    </cacheField>
    <cacheField name="Uptown (Yes or No)" uniqueList="1" numFmtId="0" sqlType="0" hierarchy="0" level="0" databaseField="1">
      <sharedItems count="4" containsBlank="1">
        <s v="YES"/>
        <s v="NO"/>
        <s v="South End"/>
        <m/>
      </sharedItems>
    </cacheField>
    <cacheField name="Phone Number" uniqueList="1" sqlType="0" hierarchy="0" level="0" databaseField="1">
      <sharedItems count="61" containsBlank="1" containsInteger="1" containsMixedTypes="1" containsNumber="1">
        <n v="17043331999"/>
        <s v="(704) 926-5800"/>
        <s v="(704) 372-7550"/>
        <m/>
        <s v="(704) 362-5080"/>
        <s v="(704) 347-5972"/>
        <s v="(980) 500-0085 Ext. for GM is 5002    Email for GM: stephanie.parisi@hilton.com  NEW GM COMING 5/31/2022"/>
        <n v="7043771500"/>
        <n v="7042270500"/>
        <s v="(704) 332-4141 GM Ext. 7101"/>
        <n v="7043484002"/>
        <s v="shsuptown@sree.com"/>
        <s v="abethell@midashospitality.com  980-785-1900"/>
        <s v=" (704) 375-2600"/>
        <s v="(704) 372-1877"/>
        <s v="David.malmberg@whitelodging.com"/>
        <s v="7044477662 (Direct line)"/>
        <s v="Karen.Ayad@Ritzcarlton.com"/>
        <s v="(704) 368-4082"/>
        <s v="704-552-1715"/>
        <s v="704-552-7333"/>
        <s v="704-554-7001"/>
        <s v="704-364-8220"/>
        <n v="19802997123"/>
        <n v="17044424050"/>
        <n v="17049788000"/>
        <s v="(704) 996-5586"/>
        <s v="(617) 293-9284"/>
        <s v="4077330464. pressley@churchandunion.com"/>
        <s v="(980) 345-7867"/>
        <s v="(704) 332-3188  No email available"/>
        <s v="jacque@haymakerclt.com"/>
        <s v="7044926898.  maria@conterestaurangroup.com"/>
        <s v="7049096295.  jon@rarerootshospitality.com"/>
        <s v="9802143427.  george.beattie@hilton.com"/>
        <s v="(704) 741-9004"/>
        <s v="(704) 333-0063"/>
        <n v="7043330063"/>
        <s v="(704) 332-3322"/>
        <s v="(704) 334-4400"/>
        <n v="7049992150"/>
        <s v="(704) 333-5554 "/>
        <s v="(704) 377-0201"/>
        <s v="(704) 366-3655"/>
        <s v="(704) 552-5502"/>
        <s v="(704) 910-9891"/>
        <s v="(980) 237-8042"/>
        <s v="(704) 412-2616"/>
        <s v="704-516-6422"/>
        <s v="(980) 293-1030"/>
        <s v="Have the card in ym car, just have to find it"/>
        <n v="7044996626"/>
        <n v="17043334266"/>
        <n v="17043333747"/>
        <s v="(704) 552-7450"/>
        <s v="(919)833-2888"/>
        <n v="17043768880"/>
        <s v="(877) 626-1183"/>
        <s v="(704) 261-5202"/>
        <s v="(704)-726-3200"/>
        <n v="17049548900"/>
      </sharedItems>
    </cacheField>
    <cacheField name="Email" uniqueList="1" numFmtId="0" sqlType="0" hierarchy="0" level="0" databaseField="1">
      <sharedItems count="13" containsBlank="1">
        <m/>
        <s v="Check your email/texts for contact updated"/>
        <s v="rob.cote@marriott.com "/>
        <s v="mike.masri@hilton.com"/>
        <s v="Geoffrey.Cousineau&#10; @westin.com"/>
        <s v="hugh.templeman@kesslercollection.com"/>
        <s v="Annette.Crispin@marriott.com"/>
        <s v="Gary.colbert@hilton.com, kerisha2113@gmail.com"/>
        <s v="jim.gratton@marriott.com"/>
        <s v="hgihws@chartwellhospitality.com"/>
        <s v="Thomas.Caramucci@unccharlottemarriott.com"/>
        <s v="bradypatterson@rira.com"/>
        <s v="natalie.shulman@whitelodging.com"/>
      </sharedItems>
    </cacheField>
    <cacheField name="URL" uniqueList="1" numFmtId="164" sqlType="0" hierarchy="0" level="0" databaseField="1">
      <sharedItems count="25" containsBlank="1">
        <s v="https://www.marriott.com/en-us/Hotels/cltul-aloft-charlotte-city-center/overview/"/>
        <s v="https://www.marriott.com/en-us/Hotels/cltup-courtyard-charlotte-city-center/overview/?scid=f2ae0541-1279-4f24-b197-a979c79310b0"/>
        <s v="https://www.marriott.com/en-us/Hotels/cltut-fairfield-inn-and-suites-charlotte-uptown/overview/?scid=f2ae0541-1279-4f24-b197-a979c79310b0"/>
        <s v="https://www.hilton.com/en/Hotels/cltsphx-hampton-suites-charlotte-south-park-at-phillips-place/?SEO_id=GMB-AMER-HX-CLTSPHX&amp;y_source=1_MjA4NDc5MC03MTUtbG9jYXRpb24ud2Vic2l0ZQ%3D%3D"/>
        <s v="https://www.hilton.com/en/Hotels/cltskgi-hilton-garden-inn-charlotte-southpark/?SEO_id=GMB-AMER-GI-CLTSKGI&amp;y_source=1_ODIxMTQxNS03MTUtbG9jYXRpb24ud2Vic2l0ZQ%3D%3D"/>
        <s v="https://www.hilton.com/en/Hotels/cltupgi-hilton-garden-inn-charlotte-uptown/"/>
        <s v="https://www.hilton.com/en/Hotels/cltowht-home2-suites-charlotte-uptown/?SEO_id=GMB-AMER-HT-CLTOWHT&amp;y_source=1_MTQ3MjI2OTAtNzE1LWxvY2F0aW9uLndlYnNpdGU%3D"/>
        <m/>
        <s v="https://www.marriott.com/en-us/Hotels/cltws-sheraton-charlotte-Hotel/overview/"/>
        <s v="https://www.theiveysHotel.com/"/>
        <s v="tien.ning@hyatt.com"/>
        <s v="https://dunhillHotel.com/"/>
        <s v="https://www.marriott.com/en-us/Hotels/cltad-ac-Hotel-charlotte-city-center/overview/?scid=f2ae0541-1279-4f24-b197-a979c79310b0"/>
        <s v="https://www.omniHotels.com/Hotels/charlotte"/>
        <s v="https://www.marriott.com/en-us/Hotels/cltsd-springhill-suites-charlotte-city-center/overview/?scid=f2ae0541-1279-4f24-b197-a979c79310b0"/>
        <s v="https://www.marriott.com/search/findHotels.mi?pageType=advanced&amp;searchType=NearAddress&amp;destinationAddress.location=Element+Charlotte+Uptown&amp;nst=paid&amp;cid=PAI_GLB0004YXD_GLE000BIM5_GLF000OETA&amp;ppc=ppc&amp;pId=ustbppc&amp;gad_source=1&amp;gclid=CjwKCAjwvr--BhB5EiwAd5YbXn"/>
        <s v="https://www.hilton.com/en/Hotels/cltuchw-homewood-suites-charlotte-uptown-first-ward/?flexibleDates=false&amp;numRooms=1&amp;numAdults=1&amp;numChildren=0&amp;room1ChildAges=&amp;room1AdultAges=&amp;sessionToken=035f1355-cf11-48a0-a093-93e5c0a0926f"/>
        <s v="https://www.hilton.com/en/Hotels/cltmles-embassy-suites-charlotte-uptown/?SEO_id=GMB-AMER-ES-CLTMLES&amp;y_source=1_OTUwNTM3MC03MTUtbG9jYXRpb24ud2Vic2l0ZQ%3D%3D"/>
        <s v="https://www.marriott.com/en-us/Hotels/cltcw-the-westin-charlotte/overview/?scid=f2ae0541-1279-4f24-b197-a979c79310b0"/>
        <s v="https://www.kesslercollection.com/bohemian-charlotte/"/>
        <s v="https://www.marriott.com/en-us/Hotels/cltjw-jw-marriott-charlotte/overview/"/>
        <s v="https://www.tryonparkHotel.com/"/>
        <s v="https://www.marriott.com/en-us/Hotels/cltcc-charlotte-marriott-city-center/overview/?scid=f2ae0541-1279-4f24-b197-a979c79310b0"/>
        <s v="https://www.ritzcarlton.com/en/Hotels/cltrz-the-ritz-carlton-charlotte/overview/"/>
        <s v="https://kasa.com/properties/kasa-freemorewest-charlotte?utm_source=Google&amp;utm_medium=nonpaid&amp;utm_campaign=GMB&amp;utm_term=VisitHotelWebsiteButton&amp;utm_content=BRY&amp;propertyType=&amp;petsAllowed=&amp;parking&amp;bedCount=1&amp;bedroomCount=0&amp;bathroomCount=1&amp;amenities=&amp;adultGue"/>
      </sharedItems>
    </cacheField>
    <cacheField name="Self Parking Rate" uniqueList="1" sqlType="0" hierarchy="0" level="0" databaseField="1">
      <sharedItems count="38" containsBlank="1" containsInteger="1" containsMixedTypes="1" containsNumber="1">
        <n v="30"/>
        <n v="25"/>
        <n v="10"/>
        <n v="24"/>
        <m/>
        <s v="n/a"/>
        <n v="23"/>
        <n v="29"/>
        <n v="32"/>
        <s v="Not available"/>
        <n v="35"/>
        <s v="unknown"/>
        <n v="15"/>
        <s v="free"/>
        <n v="0"/>
        <n v="11"/>
        <n v="17"/>
        <n v="20"/>
        <s v="validated"/>
        <s v="Closed"/>
        <s v="Complimentary "/>
        <s v="Free: Atherton Mill Deck, surface lots"/>
        <s v="Complimentary"/>
        <s v="Free lot on site"/>
        <s v="Complimentary after 5"/>
        <s v="street parking free all day sat-sun"/>
        <s v="Free garage on site"/>
        <n v="12"/>
        <s v="no validate"/>
        <s v="$10-$25"/>
        <s v="validate"/>
        <s v="$5 per hour*"/>
        <s v="$6 per half hour. $30 Max"/>
        <s v="$6 per half hour (QCQ)"/>
        <s v="no validation"/>
        <s v="No Self-Parking"/>
        <s v="Free for 4 hours"/>
        <s v="FREE all day"/>
      </sharedItems>
    </cacheField>
    <cacheField name="Valet Rate" uniqueList="1" sqlType="0" hierarchy="0" level="0" databaseField="1">
      <sharedItems count="25" containsBlank="1" containsInteger="1" containsMixedTypes="1" containsNumber="1">
        <n v="25"/>
        <m/>
        <n v="34"/>
        <n v="35"/>
        <n v="38"/>
        <n v="40"/>
        <n v="42"/>
        <n v="45"/>
        <n v="48"/>
        <n v="50"/>
        <n v="31"/>
        <n v="7"/>
        <n v="11"/>
        <n v="15"/>
        <n v="17"/>
        <s v="N/A"/>
        <s v="N?A"/>
        <s v="Not Available"/>
        <s v="Closed"/>
        <s v="Complimentary for resturant.  Transient $15 first 3 hours. $30 for 3-6 hours"/>
        <s v="$15 she thinks"/>
        <s v="$17 for guest $13 to resturant"/>
        <s v="complimentary "/>
        <s v="Complimentary Valet"/>
        <s v="Valet &quot;temporaliy suspended&quot;"/>
      </sharedItems>
    </cacheField>
    <cacheField name="# of Rooms" uniqueList="1" numFmtId="0" sqlType="0" hierarchy="0" level="0" databaseField="1">
      <sharedItems count="25" containsBlank="1" containsInteger="1" containsNumber="1" containsString="0">
        <n v="175"/>
        <n v="181"/>
        <n v="196"/>
        <n v="250"/>
        <n v="160"/>
        <n v="180"/>
        <n v="149"/>
        <n v="300"/>
        <n v="305"/>
        <n v="47"/>
        <n v="172"/>
        <n v="60"/>
        <n v="187"/>
        <n v="373"/>
        <n v="195"/>
        <n v="173"/>
        <n v="163"/>
        <n v="211"/>
        <m/>
        <n v="700"/>
        <n v="254"/>
        <n v="381"/>
        <n v="217"/>
        <n v="440"/>
        <n v="146"/>
      </sharedItems>
    </cacheField>
    <cacheField name="Parking Reviews %" uniqueList="1" numFmtId="10" sqlType="0" hierarchy="0" level="0" databaseField="1">
      <sharedItems count="21" containsBlank="1" containsNumber="1" containsString="0">
        <n v="0.17"/>
        <n v="0.28"/>
        <n v="0.38"/>
        <n v="0.79"/>
        <n v="0.39"/>
        <n v="0.26"/>
        <n v="0.51"/>
        <n v="0.25"/>
        <n v="0.24"/>
        <n v="0.52"/>
        <n v="0.72"/>
        <n v="0.43"/>
        <n v="0.36"/>
        <n v="0.18"/>
        <n v="0.41"/>
        <n v="0.33"/>
        <n v="0.65"/>
        <n v="0.48"/>
        <n v="0.54"/>
        <n v="0.4"/>
        <m/>
      </sharedItems>
    </cacheField>
    <cacheField name="Parking Reviews #" uniqueList="1" numFmtId="0" sqlType="0" hierarchy="0" level="0" databaseField="1">
      <sharedItems count="26" containsBlank="1" containsInteger="1" containsNumber="1" containsString="0">
        <n v="156"/>
        <n v="95"/>
        <n v="103"/>
        <n v="38"/>
        <n v="115"/>
        <n v="101"/>
        <n v="224"/>
        <n v="162"/>
        <n v="157"/>
        <n v="89"/>
        <n v="484"/>
        <n v="74"/>
        <n v="117"/>
        <n v="182"/>
        <n v="270"/>
        <n v="190"/>
        <n v="22"/>
        <n v="217"/>
        <n v="79"/>
        <n v="296"/>
        <n v="243"/>
        <n v="122"/>
        <n v="87"/>
        <n v="181"/>
        <n v="48"/>
        <m/>
      </sharedItems>
    </cacheField>
    <cacheField name="GM Name" uniqueList="1" numFmtId="0" sqlType="0" hierarchy="0" level="0" databaseField="1">
      <sharedItems count="43" containsBlank="1">
        <s v="Jay Brown "/>
        <s v="Eric Knesel"/>
        <s v="Bill Moore - Left VM"/>
        <m/>
        <s v="Tom Payne (Hours are usually 9-5"/>
        <s v="Tameka"/>
        <s v="Tien Ning"/>
        <s v="Rob Cote"/>
        <s v="Karen Owens"/>
        <s v="Ava Bethell"/>
        <s v="Mike Masri"/>
        <s v="Geoffrey Cousineau&#10; "/>
        <s v="Hugh Templeman"/>
        <s v="Yvette Bullock"/>
        <s v="Annette Crispin"/>
        <s v="Gary Colbert"/>
        <s v="Matthew Wilhelm"/>
        <s v="James Gratton, area GM 3x hotels"/>
        <s v="Thomas Caramucci"/>
        <s v="Katie Kathman "/>
        <s v="Armin"/>
        <s v="Joan"/>
        <s v="Matthew Pressley"/>
        <s v="Vanessa Batista"/>
        <s v="Chelsea Ball"/>
        <s v="James Allen Walker"/>
        <s v="Jacque"/>
        <s v="Jon Dressler"/>
        <s v="George Beattie"/>
        <s v="Elizabeth Snodgrass"/>
        <s v="Sara Scheidler"/>
        <s v="Johnathan Baptist"/>
        <s v="Brady Patterson"/>
        <s v="Katelyn Gearhart and Chris Cooper - Chris@masonjargroup.com"/>
        <s v="Can't do valet due to truist center garage deal"/>
        <s v="Steve Johnson"/>
        <s v="Vini"/>
        <s v="Andrew"/>
        <s v="Natalie Shulman"/>
        <s v="Robert Fritschle"/>
        <s v="Christopher Rodgers"/>
        <s v="Eric"/>
        <s v="Kristen Brodosi"/>
      </sharedItems>
    </cacheField>
    <cacheField name="Management Group" uniqueList="1" numFmtId="0" sqlType="0" hierarchy="0" level="0" databaseField="1">
      <sharedItems count="1" containsBlank="1" containsString="0">
        <m/>
      </sharedItems>
    </cacheField>
    <cacheField name="Linked Accounts" uniqueList="1" numFmtId="0" sqlType="0" hierarchy="0" level="0" databaseField="1">
      <sharedItems count="1" containsBlank="1" containsString="0">
        <m/>
      </sharedItems>
    </cacheField>
    <cacheField name="Garage Operator " uniqueList="1" numFmtId="164" sqlType="0" hierarchy="0" level="0" databaseField="1">
      <sharedItems count="3" containsBlank="1">
        <s v="Preferred"/>
        <s v="LAZ"/>
        <m/>
      </sharedItems>
    </cacheField>
    <cacheField name="Valet Operator" uniqueList="1" numFmtId="164" sqlType="0" hierarchy="0" level="0" databaseField="1">
      <sharedItems count="9" containsBlank="1">
        <s v="Preferred Parking"/>
        <s v="None"/>
        <s v="PMC"/>
        <m/>
        <s v="In House"/>
        <s v="LAZ"/>
        <s v="SOPHI"/>
        <s v="Park Inc"/>
        <s v="Closed"/>
      </sharedItems>
    </cacheField>
    <cacheField name="Sourcing Notes" uniqueList="1" numFmtId="0" sqlType="0" hierarchy="0" level="0" databaseField="1">
      <sharedItems count="8" containsBlank="1">
        <m/>
        <s v="Marinna.tucker@marriott.com"/>
        <s v="Left a voicemail and emailed, they used to have valet and are in talks about bringing it back"/>
        <s v="not interested at this time, thanked me for introducing myself"/>
        <s v="Couldn't get past front desk"/>
        <s v="Called got james email, goes by jim supposedly, sent him an email. no paid parking at 3 locaitons when all rest of hotels in area are charging"/>
        <s v="None but interested in valet"/>
        <s v="Preferred QCQG"/>
      </sharedItems>
    </cacheField>
    <cacheField name="Location Notes" uniqueList="1" numFmtId="0" sqlType="0" hierarchy="0" level="0" databaseField="1">
      <sharedItems count="20" containsBlank="1">
        <m/>
        <s v="poor parking reviews, security maybe an issue"/>
        <s v="Has really easy parking front drive for enterance, own their own parking deck"/>
        <s v="Valet only there in the evenings on weekends. no morning valet, left message with the AGM Michelle  6/6/23"/>
        <s v="Left a message with the GM on 6/6/23 letting them know about us and to give us a call back if valet service was of interested, for the Garden inn. "/>
        <s v="Poor parking reviews"/>
        <s v="Currently No GM or Director of Ops "/>
        <s v="pretty solid valet reviews. maybe bundled services or damage claim pitching"/>
        <s v="Not interested, Valet owned by brother of Hotel owner. GM Hung up on me when I asked for point of contact."/>
        <s v="terrible valet reviews, 67% negative. poor schedule, needs staff, annoyed for tips"/>
        <s v="Wait for new GM"/>
        <s v="Reviews about the valet are mostly terrible."/>
        <s v="$30 4 hours max Valet"/>
        <s v="poor reviews"/>
        <s v="Valet only operating on Friday and Saturday"/>
        <s v="only validate for 1 1/2 hours"/>
        <s v="2 Blocks away form the baseball stadium"/>
        <s v="Might have a deal with the truist garage.  Thats where they validate from"/>
        <s v="mlight@eat704.com"/>
        <s v="free for 2 hours 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Analysis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22:D26" firstHeaderRow="0" firstDataRow="2" firstDataCol="0"/>
  <pivotFields count="20">
    <pivotField name="Accounts" showDropDowns="1" compact="0" outline="0" subtotalTop="1" dragToRow="1" dragToCol="1" multipleItemSelectionAllowed="1" dragToPage="1" dragToData="1" dragOff="1" showAll="0" topAutoShow="1" itemPageCount="10" sortType="manual" defaultSubtotal="1">
      <items count="8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efault" sd="1"/>
      </items>
    </pivotField>
    <pivotField name="Account Type" axis="axisRow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4">
        <item t="data" sd="1" x="2"/>
        <item t="data" sd="1" x="0"/>
        <item t="data" sd="1" x="1"/>
        <item t="default" sd="1"/>
      </items>
    </pivotField>
    <pivotField name="Contact Created?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Address" showDropDowns="1" compact="0" outline="0" subtotalTop="1" dragToRow="1" dragToCol="1" multipleItemSelectionAllowed="1" dragToPage="1" dragToData="1" dragOff="1" showAll="0" topAutoShow="1" itemPageCount="10" sortType="manual" defaultSubtotal="1">
      <items count="7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efault" sd="1"/>
      </items>
    </pivotField>
    <pivotField name="Uptown (Yes or No)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hone Number" showDropDowns="1" compact="0" outline="0" subtotalTop="1" dragToRow="1" dragToCol="1" multipleItemSelectionAllowed="1" dragToPage="1" dragToData="1" dragOff="1" showAll="0" topAutoShow="1" itemPageCount="10" sortType="manual" defaultSubtotal="1">
      <items count="6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efault" sd="1"/>
      </items>
    </pivotField>
    <pivotField name="Email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URL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Self Parking Rate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Valet Rate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# of Rooms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Parking Reviews %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efault" sd="1"/>
      </items>
    </pivotField>
    <pivotField name="Parking Reviews #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GM Name" showDropDowns="1" compact="0" outline="0" subtotalTop="1" dragToRow="1" dragToCol="1" multipleItemSelectionAllowed="1" dragToPage="1" dragToData="1" dragOff="1" showAll="0" topAutoShow="1" itemPageCount="10" sortType="manual" defaultSubtotal="1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efault" sd="1"/>
      </items>
    </pivotField>
    <pivotField name="Management Group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Linked Accounts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Garage Operator 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Valet Operator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efault" sd="1"/>
      </items>
    </pivotField>
    <pivotField name="Sourcing Notes" showDropDowns="1" compact="0" outline="0" subtotalTop="1" dragToRow="1" dragToCol="1" multipleItemSelectionAllowed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name="Location Notes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</pivotFields>
  <rowFields count="1">
    <field x="1"/>
  </rowFields>
  <colFields count="1">
    <field x="-2"/>
  </colFields>
  <dataFields count="3">
    <dataField name="COUNTA of Account Type" fld="1" subtotal="count" showDataAs="normal" baseField="0" baseItem="1048832"/>
    <dataField name="AVERAGE of Self Parking Rate" fld="8" subtotal="average" showDataAs="normal" baseField="0" baseItem="1048832"/>
    <dataField name="AVERAGE of Valet Rate" fld="9" subtotal="average" showDataAs="normal" baseField="0" baseItem="1048832"/>
  </dataField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Analysis 2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F22:H24" firstHeaderRow="0" firstDataRow="2" firstDataCol="0"/>
  <pivotFields count="20">
    <pivotField name="Accounts" showDropDowns="1" compact="0" outline="0" subtotalTop="1" dragToRow="1" dragToCol="1" multipleItemSelectionAllowed="1" dragToPage="1" dragToData="1" dragOff="1" showAll="0" topAutoShow="1" itemPageCount="10" sortType="manual" defaultSubtotal="1">
      <items count="8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efault" sd="1"/>
      </items>
    </pivotField>
    <pivotField name="Account Typ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Contact Created?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Address" showDropDowns="1" compact="0" outline="0" subtotalTop="1" dragToRow="1" dragToCol="1" multipleItemSelectionAllowed="1" dragToPage="1" dragToData="1" dragOff="1" showAll="0" topAutoShow="1" itemPageCount="10" sortType="manual" defaultSubtotal="1">
      <items count="7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efault" sd="1"/>
      </items>
    </pivotField>
    <pivotField name="Uptown (Yes or No)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hone Number" showDropDowns="1" compact="0" outline="0" subtotalTop="1" dragToRow="1" dragToCol="1" multipleItemSelectionAllowed="1" dragToPage="1" dragToData="1" dragOff="1" showAll="0" topAutoShow="1" itemPageCount="10" sortType="manual" defaultSubtotal="1">
      <items count="6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efault" sd="1"/>
      </items>
    </pivotField>
    <pivotField name="Email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URL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Self Parking Rate" showDropDowns="1" compact="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Valet Rate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# of Rooms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Parking Reviews %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efault" sd="1"/>
      </items>
    </pivotField>
    <pivotField name="Parking Reviews #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GM Name" showDropDowns="1" compact="0" outline="0" subtotalTop="1" dragToRow="1" dragToCol="1" multipleItemSelectionAllowed="1" dragToPage="1" dragToData="1" dragOff="1" showAll="0" topAutoShow="1" itemPageCount="10" sortType="manual" defaultSubtotal="1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efault" sd="1"/>
      </items>
    </pivotField>
    <pivotField name="Management Group" axis="axisRow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2">
        <item t="data" sd="1" x="0"/>
        <item t="default" sd="1"/>
      </items>
    </pivotField>
    <pivotField name="Linked Accounts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Garage Operator 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Valet Operator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efault" sd="1"/>
      </items>
    </pivotField>
    <pivotField name="Sourcing Notes" showDropDowns="1" compact="0" outline="0" subtotalTop="1" dragToRow="1" dragToCol="1" multipleItemSelectionAllowed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name="Location Notes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</pivotFields>
  <rowFields count="1">
    <field x="14"/>
  </rowFields>
  <colFields count="1">
    <field x="-2"/>
  </colFields>
  <dataFields count="2">
    <dataField name="# of Locations" fld="14" subtotal="count" showDataAs="normal" baseField="0" baseItem="1048832"/>
    <dataField name="% of Market" fld="14" subtotal="count" showDataAs="percentOfCol" baseField="0" baseItem="1048832" numFmtId="10"/>
  </dataFields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Analysis 3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J22:L29" firstHeaderRow="0" firstDataRow="2" firstDataCol="0" rowPageCount="1" colPageCount="1"/>
  <pivotFields count="20">
    <pivotField name="Accounts" showDropDowns="1" compact="0" outline="0" subtotalTop="1" dragToRow="1" dragToCol="1" multipleItemSelectionAllowed="1" dragToPage="1" dragToData="1" dragOff="1" showAll="0" topAutoShow="1" itemPageCount="10" sortType="manual" defaultSubtotal="1">
      <items count="8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efault" sd="1"/>
      </items>
    </pivotField>
    <pivotField name="Account Type" axis="axisPage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name="Contact Created?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Address" showDropDowns="1" compact="0" outline="0" subtotalTop="1" dragToRow="1" dragToCol="1" multipleItemSelectionAllowed="1" dragToPage="1" dragToData="1" dragOff="1" showAll="0" topAutoShow="1" itemPageCount="10" sortType="manual" defaultSubtotal="1">
      <items count="7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efault" sd="1"/>
      </items>
    </pivotField>
    <pivotField name="Uptown (Yes or No)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hone Number" showDropDowns="1" compact="0" outline="0" subtotalTop="1" dragToRow="1" dragToCol="1" multipleItemSelectionAllowed="1" dragToPage="1" dragToData="1" dragOff="1" showAll="0" topAutoShow="1" itemPageCount="10" sortType="manual" defaultSubtotal="1">
      <items count="6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efault" sd="1"/>
      </items>
    </pivotField>
    <pivotField name="Email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URL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Self Parking Rate" showDropDowns="1" compact="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Valet Rate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# of Rooms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Parking Reviews %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efault" sd="1"/>
      </items>
    </pivotField>
    <pivotField name="Parking Reviews #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GM Name" showDropDowns="1" compact="0" outline="0" subtotalTop="1" dragToRow="1" dragToCol="1" multipleItemSelectionAllowed="1" dragToPage="1" dragToData="1" dragOff="1" showAll="0" topAutoShow="1" itemPageCount="10" sortType="manual" defaultSubtotal="1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efault" sd="1"/>
      </items>
    </pivotField>
    <pivotField name="Management Group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Linked Accounts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Garage Operator 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Valet Operator" axis="axisRow" showDropDowns="1" compact="0" numFmtId="164" outline="0" subtotalTop="1" dragToRow="1" dragToCol="1" multipleItemSelectionAllowed="1" dragToPage="1" dragToData="1" dragOff="1" showAll="0" topAutoShow="1" itemPageCount="10" sortType="ascending" defaultSubtotal="1">
      <items count="10">
        <item t="data" h="1" sd="1" x="3"/>
        <item t="data" h="1" sd="1" x="8"/>
        <item t="data" sd="1" x="4"/>
        <item t="data" sd="1" x="5"/>
        <item t="data" h="1" sd="1" x="1"/>
        <item t="data" sd="1" x="7"/>
        <item t="data" sd="1" x="2"/>
        <item t="data" sd="1" x="0"/>
        <item t="data" sd="1" x="6"/>
        <item t="default" sd="1"/>
      </items>
    </pivotField>
    <pivotField name="Sourcing Notes" showDropDowns="1" compact="0" outline="0" subtotalTop="1" dragToRow="1" dragToCol="1" multipleItemSelectionAllowed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name="Location Notes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</pivotFields>
  <rowFields count="1">
    <field x="17"/>
  </rowFields>
  <colFields count="1">
    <field x="-2"/>
  </colFields>
  <pageFields count="1">
    <pageField fld="1"/>
  </pageFields>
  <dataFields count="2">
    <dataField name="COUNTA of Account Type - Total SOM" fld="1" subtotal="count" showDataAs="normal" baseField="0" baseItem="1048832"/>
    <dataField name="COUNTA of Account Type" fld="1" subtotal="count" showDataAs="percentOfCol" baseField="0" baseItem="1048832" numFmtId="10"/>
  </dataFields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Analysis 4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O22:U31" firstHeaderRow="0" firstDataRow="2" firstDataCol="1"/>
  <pivotFields count="20">
    <pivotField name="Accounts" showDropDowns="1" compact="0" outline="0" subtotalTop="1" dragToRow="1" dragToCol="1" multipleItemSelectionAllowed="1" dragToPage="1" dragToData="1" dragOff="1" showAll="0" topAutoShow="1" itemPageCount="10" sortType="manual" defaultSubtotal="1">
      <items count="8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efault" sd="1"/>
      </items>
    </pivotField>
    <pivotField name="Account Type" axis="axisCol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4">
        <item t="data" h="1" sd="1" x="2"/>
        <item t="data" sd="1" x="0"/>
        <item t="data" sd="1" x="1"/>
        <item t="default" sd="1"/>
      </items>
    </pivotField>
    <pivotField name="Contact Created?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Address" showDropDowns="1" compact="0" outline="0" subtotalTop="1" dragToRow="1" dragToCol="1" multipleItemSelectionAllowed="1" dragToPage="1" dragToData="1" dragOff="1" showAll="0" topAutoShow="1" itemPageCount="10" sortType="manual" defaultSubtotal="1">
      <items count="7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efault" sd="1"/>
      </items>
    </pivotField>
    <pivotField name="Uptown (Yes or No)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hone Number" showDropDowns="1" compact="0" outline="0" subtotalTop="1" dragToRow="1" dragToCol="1" multipleItemSelectionAllowed="1" dragToPage="1" dragToData="1" dragOff="1" showAll="0" topAutoShow="1" itemPageCount="10" sortType="manual" defaultSubtotal="1">
      <items count="6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efault" sd="1"/>
      </items>
    </pivotField>
    <pivotField name="Email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URL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Self Parking Rate" showDropDowns="1" compact="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Valet Rate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# of Rooms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Parking Reviews %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efault" sd="1"/>
      </items>
    </pivotField>
    <pivotField name="Parking Reviews #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GM Name" showDropDowns="1" compact="0" outline="0" subtotalTop="1" dragToRow="1" dragToCol="1" multipleItemSelectionAllowed="1" dragToPage="1" dragToData="1" dragOff="1" showAll="0" topAutoShow="1" itemPageCount="10" sortType="manual" defaultSubtotal="1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efault" sd="1"/>
      </items>
    </pivotField>
    <pivotField name="Management Group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Linked Accounts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Garage Operator 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Valet Operator" axis="axisRow" showDropDowns="1" compact="0" numFmtId="164" outline="0" subtotalTop="1" dragToRow="1" dragToCol="1" multipleItemSelectionAllowed="1" dragToPage="1" dragToData="1" dragOff="1" showAll="0" topAutoShow="1" itemPageCount="10" sortType="ascending" defaultSubtotal="1">
      <items count="10">
        <item t="data" h="1" sd="1" x="3"/>
        <item t="data" h="1" sd="1" x="8"/>
        <item t="data" sd="1" x="4"/>
        <item t="data" sd="1" x="5"/>
        <item t="data" h="1" sd="1" x="1"/>
        <item t="data" sd="1" x="7"/>
        <item t="data" sd="1" x="2"/>
        <item t="data" sd="1" x="0"/>
        <item t="data" sd="1" x="6"/>
        <item t="default" sd="1"/>
      </items>
    </pivotField>
    <pivotField name="Sourcing Notes" showDropDowns="1" compact="0" outline="0" subtotalTop="1" dragToRow="1" dragToCol="1" multipleItemSelectionAllowed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name="Location Notes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</pivotFields>
  <rowFields count="1">
    <field x="17"/>
  </rowFields>
  <colFields count="2">
    <field x="1"/>
    <field x="-2"/>
  </colFields>
  <dataFields count="2">
    <dataField name="# of Accounts" fld="1" subtotal="count" showDataAs="normal" baseField="0" baseItem="1048832"/>
    <dataField name="% of Market Share" fld="1" subtotal="count" showDataAs="percentOfCol" baseField="0" baseItem="1048832" numFmtId="10"/>
  </dataFields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Analysis 5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J33:L38" firstHeaderRow="0" firstDataRow="2" firstDataCol="0" rowPageCount="1" colPageCount="1"/>
  <pivotFields count="20">
    <pivotField name="Accounts" showDropDowns="1" compact="0" outline="0" subtotalTop="1" dragToRow="1" dragToCol="1" multipleItemSelectionAllowed="1" dragToPage="1" dragToData="1" dragOff="1" showAll="0" topAutoShow="1" itemPageCount="10" sortType="manual" defaultSubtotal="1">
      <items count="8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efault" sd="1"/>
      </items>
    </pivotField>
    <pivotField name="Account Type" axis="axisPage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h="1" sd="1" x="0"/>
        <item t="data" sd="1" x="1"/>
        <item t="data" h="1" sd="1" x="2"/>
        <item t="default" sd="1"/>
      </items>
    </pivotField>
    <pivotField name="Contact Created?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Address" showDropDowns="1" compact="0" outline="0" subtotalTop="1" dragToRow="1" dragToCol="1" multipleItemSelectionAllowed="1" dragToPage="1" dragToData="1" dragOff="1" showAll="0" topAutoShow="1" itemPageCount="10" sortType="manual" defaultSubtotal="1">
      <items count="7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efault" sd="1"/>
      </items>
    </pivotField>
    <pivotField name="Uptown (Yes or No)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hone Number" showDropDowns="1" compact="0" outline="0" subtotalTop="1" dragToRow="1" dragToCol="1" multipleItemSelectionAllowed="1" dragToPage="1" dragToData="1" dragOff="1" showAll="0" topAutoShow="1" itemPageCount="10" sortType="manual" defaultSubtotal="1">
      <items count="6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efault" sd="1"/>
      </items>
    </pivotField>
    <pivotField name="Email" showDropDowns="1" compact="0" outline="0" subtotalTop="1" dragToRow="1" dragToCol="1" multipleItemSelectionAllowed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name="URL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Self Parking Rate" showDropDowns="1" compact="0" outline="0" subtotalTop="1" dragToRow="1" dragToCol="1" multipleItemSelectionAllowed="1" dragToPage="1" dragToData="1" dragOff="1" showAll="0" topAutoShow="1" itemPageCount="10" sortType="manual" defaultSubtotal="1">
      <items count="3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efault" sd="1"/>
      </items>
    </pivotField>
    <pivotField name="Valet Rate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# of Rooms" showDropDowns="1" compact="0" outline="0" subtotalTop="1" dragToRow="1" dragToCol="1" multipleItemSelectionAllowed="1" dragToPage="1" dragToData="1" dragOff="1" showAll="0" topAutoShow="1" itemPageCount="10" sortType="manual" defaultSubtotal="1">
      <items count="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efault" sd="1"/>
      </items>
    </pivotField>
    <pivotField name="Parking Reviews %" showDropDowns="1" compact="0" numFmtId="10" outline="0" subtotalTop="1" dragToRow="1" dragToCol="1" multipleItemSelectionAllowed="1" dragToPage="1" dragToData="1" dragOff="1" showAll="0" topAutoShow="1" itemPageCount="10" sortType="manual" defaultSubtotal="1">
      <items count="2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efault" sd="1"/>
      </items>
    </pivotField>
    <pivotField name="Parking Reviews #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GM Name" showDropDowns="1" compact="0" outline="0" subtotalTop="1" dragToRow="1" dragToCol="1" multipleItemSelectionAllowed="1" dragToPage="1" dragToData="1" dragOff="1" showAll="0" topAutoShow="1" itemPageCount="10" sortType="manual" defaultSubtotal="1">
      <items count="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efault" sd="1"/>
      </items>
    </pivotField>
    <pivotField name="Management Group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Linked Accounts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Garage Operator 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Valet Operator " axis="axisRow" showDropDowns="1" compact="0" numFmtId="164" outline="0" subtotalTop="1" dragToRow="1" dragToCol="1" multipleItemSelectionAllowed="1" dragToPage="1" dragToData="1" dragOff="1" showAll="0" topAutoShow="1" itemPageCount="10" sortType="ascending" defaultSubtotal="1">
      <items count="10">
        <item t="data" h="1" sd="1" x="3"/>
        <item t="data" h="1" sd="1" x="8"/>
        <item t="data" sd="1" x="4"/>
        <item t="data" sd="1" x="5"/>
        <item t="data" h="1" sd="1" x="1"/>
        <item t="data" sd="1" x="7"/>
        <item t="data" sd="1" x="2"/>
        <item t="data" sd="1" x="0"/>
        <item t="data" sd="1" x="6"/>
        <item t="default" sd="1"/>
      </items>
    </pivotField>
    <pivotField name="Sourcing Notes" showDropDowns="1" compact="0" outline="0" subtotalTop="1" dragToRow="1" dragToCol="1" multipleItemSelectionAllowed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name="Location Notes" showDropDowns="1" compact="0" outline="0" subtotalTop="1" dragToRow="1" dragToCol="1" multipleItemSelectionAllowed="1" dragToPage="1" dragToData="1" dragOff="1" showAll="0" topAutoShow="1" itemPageCount="10" sortType="manual" defaultSubtotal="1">
      <items count="2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efault" sd="1"/>
      </items>
    </pivotField>
  </pivotFields>
  <rowFields count="1">
    <field x="17"/>
  </rowFields>
  <colFields count="1">
    <field x="-2"/>
  </colFields>
  <pageFields count="1">
    <pageField fld="1"/>
  </pageFields>
  <dataFields count="2">
    <dataField name="COUNTA of Account Type - Restaurants Only" fld="1" subtotal="count" showDataAs="normal" baseField="0" baseItem="1048832"/>
    <dataField name="COUNTA of Account Type" fld="1" subtotal="count" showDataAs="percentOfCol" baseField="0" baseItem="1048832" numFmtId="10"/>
  </dataFields>
</pivotTableDefinition>
</file>

<file path=xl/tables/table1.xml><?xml version="1.0" encoding="utf-8"?>
<table xmlns="http://schemas.openxmlformats.org/spreadsheetml/2006/main" id="1" name="Table_1" displayName="Table_1" ref="A1:S11" headerRowCount="1">
  <tableColumns count="19">
    <tableColumn id="1" name="Accounts"/>
    <tableColumn id="2" name="Account Type"/>
    <tableColumn id="3" name="Contact Created?"/>
    <tableColumn id="4" name="Address"/>
    <tableColumn id="5" name="Phone Number"/>
    <tableColumn id="6" name="Email"/>
    <tableColumn id="7" name="URL"/>
    <tableColumn id="8" name="Self Parking Rate"/>
    <tableColumn id="9" name="Valet Rate"/>
    <tableColumn id="10" name="# of Rooms"/>
    <tableColumn id="11" name="Parking Reviews %"/>
    <tableColumn id="12" name="Parking Reviews #"/>
    <tableColumn id="13" name="GM Name"/>
    <tableColumn id="14" name="Management Group"/>
    <tableColumn id="15" name="Linked Accounts"/>
    <tableColumn id="16" name="Garage Operator "/>
    <tableColumn id="17" name="Valet Operator"/>
    <tableColumn id="18" name="Sourcing Notes"/>
    <tableColumn id="19" name="Location Notes"/>
  </tableColumns>
  <tableStyleInfo name="Detail2-PMC-Hote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arriott.com/en-us/hotels/cltul-aloft-charlotte-city-center/overview/" TargetMode="External" Id="rId1"/><Relationship Type="http://schemas.openxmlformats.org/officeDocument/2006/relationships/hyperlink" Target="https://www.marriott.com/en-us/hotels/cltup-courtyard-charlotte-city-center/overview/?scid=f2ae0541-1279-4f24-b197-a979c79310b0" TargetMode="External" Id="rId2"/><Relationship Type="http://schemas.openxmlformats.org/officeDocument/2006/relationships/hyperlink" Target="https://www.marriott.com/en-us/hotels/cltut-fairfield-inn-and-suites-charlotte-uptown/overview/?scid=f2ae0541-1279-4f24-b197-a979c79310b0" TargetMode="External" Id="rId3"/><Relationship Type="http://schemas.openxmlformats.org/officeDocument/2006/relationships/hyperlink" Target="https://www.hilton.com/en/hotels/cltsphx-hampton-suites-charlotte-south-park-at-phillips-place/?SEO_id=GMB-AMER-HX-CLTSPHX&amp;y_source=1_MjA4NDc5MC03MTUtbG9jYXRpb24ud2Vic2l0ZQ%3D%3D" TargetMode="External" Id="rId4"/><Relationship Type="http://schemas.openxmlformats.org/officeDocument/2006/relationships/hyperlink" Target="https://www.hilton.com/en/hotels/cltskgi-hilton-garden-inn-charlotte-southpark/?SEO_id=GMB-AMER-GI-CLTSKGI&amp;y_source=1_ODIxMTQxNS03MTUtbG9jYXRpb24ud2Vic2l0ZQ%3D%3D" TargetMode="External" Id="rId5"/><Relationship Type="http://schemas.openxmlformats.org/officeDocument/2006/relationships/hyperlink" Target="https://www.hilton.com/en/hotels/cltupgi-hilton-garden-inn-charlotte-uptown/" TargetMode="External" Id="rId6"/><Relationship Type="http://schemas.openxmlformats.org/officeDocument/2006/relationships/hyperlink" Target="https://www.hilton.com/en/hotels/cltowht-home2-suites-charlotte-uptown/?SEO_id=GMB-AMER-HT-CLTOWHT&amp;y_source=1_MTQ3MjI2OTAtNzE1LWxvY2F0aW9uLndlYnNpdGU%3D" TargetMode="External" Id="rId7"/><Relationship Type="http://schemas.openxmlformats.org/officeDocument/2006/relationships/hyperlink" Target="https://www.marriott.com/en-us/hotels/cltws-sheraton-charlotte-hotel/overview/" TargetMode="External" Id="rId8"/><Relationship Type="http://schemas.openxmlformats.org/officeDocument/2006/relationships/hyperlink" Target="https://www.theiveyshotel.com/" TargetMode="External" Id="rId9"/><Relationship Type="http://schemas.openxmlformats.org/officeDocument/2006/relationships/hyperlink" Target="https://dunhillhotel.com/" TargetMode="External" Id="rId10"/><Relationship Type="http://schemas.openxmlformats.org/officeDocument/2006/relationships/hyperlink" Target="https://www.marriott.com/en-us/hotels/cltad-ac-hotel-charlotte-city-center/overview/?scid=f2ae0541-1279-4f24-b197-a979c79310b0" TargetMode="External" Id="rId11"/><Relationship Type="http://schemas.openxmlformats.org/officeDocument/2006/relationships/hyperlink" Target="https://www.omnihotels.com/hotels/charlotte" TargetMode="External" Id="rId12"/><Relationship Type="http://schemas.openxmlformats.org/officeDocument/2006/relationships/hyperlink" Target="https://www.marriott.com/en-us/hotels/cltsd-springhill-suites-charlotte-city-center/overview/?scid=f2ae0541-1279-4f24-b197-a979c79310b0" TargetMode="External" Id="rId13"/><Relationship Type="http://schemas.openxmlformats.org/officeDocument/2006/relationships/hyperlink" Target="https://www.marriott.com/search/findHotels.mi?pageType=advanced&amp;searchType=NearAddress&amp;destinationAddress.location=Element+Charlotte+Uptown&amp;nst=paid&amp;cid=PAI_GLB0004YXD_GLE000BIM5_GLF000OETA&amp;ppc=ppc&amp;pId=ustbppc&amp;gad_source=1&amp;gclid=CjwKCAjwvr--BhB5EiwAd5YbXnN16LTeyeEMZgiOqVjMxJLbm-3ljbJBxum8-isbcRtiH4LLoomBrRoCZToQAvD_BwE&amp;gclsrc=aw.ds" TargetMode="External" Id="rId14"/><Relationship Type="http://schemas.openxmlformats.org/officeDocument/2006/relationships/hyperlink" Target="https://www.hilton.com/en/hotels/cltuchw-homewood-suites-charlotte-uptown-first-ward/?flexibleDates=false&amp;numRooms=1&amp;numAdults=1&amp;numChildren=0&amp;room1ChildAges=&amp;room1AdultAges=&amp;sessionToken=035f1355-cf11-48a0-a093-93e5c0a0926f" TargetMode="External" Id="rId15"/><Relationship Type="http://schemas.openxmlformats.org/officeDocument/2006/relationships/hyperlink" Target="https://www.hilton.com/en/hotels/cltmles-embassy-suites-charlotte-uptown/?SEO_id=GMB-AMER-ES-CLTMLES&amp;y_source=1_OTUwNTM3MC03MTUtbG9jYXRpb24ud2Vic2l0ZQ%3D%3D" TargetMode="External" Id="rId16"/><Relationship Type="http://schemas.openxmlformats.org/officeDocument/2006/relationships/hyperlink" Target="https://www.marriott.com/en-us/hotels/cltcw-the-westin-charlotte/overview/?scid=f2ae0541-1279-4f24-b197-a979c79310b0" TargetMode="External" Id="rId17"/><Relationship Type="http://schemas.openxmlformats.org/officeDocument/2006/relationships/hyperlink" Target="https://www.kesslercollection.com/bohemian-charlotte/" TargetMode="External" Id="rId18"/><Relationship Type="http://schemas.openxmlformats.org/officeDocument/2006/relationships/hyperlink" Target="https://www.marriott.com/en-us/hotels/cltjw-jw-marriott-charlotte/overview/" TargetMode="External" Id="rId19"/><Relationship Type="http://schemas.openxmlformats.org/officeDocument/2006/relationships/hyperlink" Target="https://www.tryonparkhotel.com/" TargetMode="External" Id="rId20"/><Relationship Type="http://schemas.openxmlformats.org/officeDocument/2006/relationships/hyperlink" Target="https://www.marriott.com/en-us/hotels/cltcc-charlotte-marriott-city-center/overview/?scid=f2ae0541-1279-4f24-b197-a979c79310b0" TargetMode="External" Id="rId21"/><Relationship Type="http://schemas.openxmlformats.org/officeDocument/2006/relationships/hyperlink" Target="https://www.ritzcarlton.com/en/hotels/cltrz-the-ritz-carlton-charlotte/overview/" TargetMode="External" Id="rId22"/><Relationship Type="http://schemas.openxmlformats.org/officeDocument/2006/relationships/hyperlink" Target="https://kasa.com/properties/kasa-freemorewest-charlotte?utm_source=Google&amp;utm_medium=nonpaid&amp;utm_campaign=GMB&amp;utm_term=VisitHotelWebsiteButton&amp;utm_content=BRY&amp;propertyType=&amp;petsAllowed=&amp;parking&amp;bedCount=1&amp;bedroomCount=0&amp;bathroomCount=1&amp;amenities=&amp;adultGuestCount=1&amp;childGuestCount=0&amp;infantGuestCount=0&amp;travelingForBusiness=false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lazparking.com/local/charlotte-nc/ivey-garage" TargetMode="External" Id="rId1"/><Relationship Type="http://schemas.openxmlformats.org/officeDocument/2006/relationships/hyperlink" Target="https://www.lazparking.com/local/charlotte-nc/fifth-third" TargetMode="External" Id="rId2"/><Relationship Type="http://schemas.openxmlformats.org/officeDocument/2006/relationships/hyperlink" Target="https://science.discoveryplace.org/plan" TargetMode="External" Id="rId3"/><Relationship Type="http://schemas.openxmlformats.org/officeDocument/2006/relationships/hyperlink" Target="https://www.preferredparking.com/dailyparking_clt/default.aspx" TargetMode="External" Id="rId4"/><Relationship Type="http://schemas.openxmlformats.org/officeDocument/2006/relationships/hyperlink" Target="https://www.preferredparking.com/dailyparking_clt/default.aspx" TargetMode="External" Id="rId5"/><Relationship Type="http://schemas.openxmlformats.org/officeDocument/2006/relationships/hyperlink" Target="https://www.lazparking.com/local/charlotte-nc/401-north-tryon" TargetMode="External" Id="rId6"/><Relationship Type="http://schemas.openxmlformats.org/officeDocument/2006/relationships/hyperlink" Target="https://www.lazparking.com/local/charlotte-nc/101-independence-center" TargetMode="External" Id="rId7"/><Relationship Type="http://schemas.openxmlformats.org/officeDocument/2006/relationships/hyperlink" Target="https://www.preferredparking.com/dailyparking_clt/default.aspx" TargetMode="External" Id="rId8"/><Relationship Type="http://schemas.openxmlformats.org/officeDocument/2006/relationships/hyperlink" Target="https://www.preferredparking.com/dailyparking_clt/default.aspx" TargetMode="External" Id="rId9"/><Relationship Type="http://schemas.openxmlformats.org/officeDocument/2006/relationships/hyperlink" Target="https://www.preferredparking.com/dailyparking_clt/default.aspx" TargetMode="External" Id="rId10"/><Relationship Type="http://schemas.openxmlformats.org/officeDocument/2006/relationships/hyperlink" Target="https://www.preferredparking.com/dailyparking_clt/default.aspx" TargetMode="External" Id="rId11"/><Relationship Type="http://schemas.openxmlformats.org/officeDocument/2006/relationships/hyperlink" Target="https://www.preferredparking.com/dailyparking_clt/default.aspx" TargetMode="External" Id="rId12"/><Relationship Type="http://schemas.openxmlformats.org/officeDocument/2006/relationships/hyperlink" Target="https://www.preferredparking.com/dailyparking_clt/default.aspx" TargetMode="External" Id="rId13"/><Relationship Type="http://schemas.openxmlformats.org/officeDocument/2006/relationships/hyperlink" Target="https://www.preferredparking.com/dailyparking_clt/default.aspx" TargetMode="External" Id="rId14"/><Relationship Type="http://schemas.openxmlformats.org/officeDocument/2006/relationships/hyperlink" Target="https://www.preferredparking.com/dailyparking_clt/default.aspx" TargetMode="External" Id="rId15"/><Relationship Type="http://schemas.openxmlformats.org/officeDocument/2006/relationships/hyperlink" Target="https://www.preferredparking.com/dailyparking_clt/default.aspx" TargetMode="External" Id="rId16"/><Relationship Type="http://schemas.openxmlformats.org/officeDocument/2006/relationships/hyperlink" Target="https://www.preferredparking.com/dailyparking_clt/default.aspx" TargetMode="External" Id="rId17"/><Relationship Type="http://schemas.openxmlformats.org/officeDocument/2006/relationships/hyperlink" Target="https://www.preferredparking.com/dailyparking_clt/default.aspx" TargetMode="External" Id="rId18"/><Relationship Type="http://schemas.openxmlformats.org/officeDocument/2006/relationships/hyperlink" Target="https://go.lazparking.com/subnow?l=351&amp;start=2023-11-15T22:00:00.000Z" TargetMode="External" Id="rId19"/><Relationship Type="http://schemas.openxmlformats.org/officeDocument/2006/relationships/hyperlink" Target="https://www.preferredparking.com/dailyparking_clt/default.aspx" TargetMode="External" Id="rId20"/><Relationship Type="http://schemas.openxmlformats.org/officeDocument/2006/relationships/hyperlink" Target="https://www.preferredparking.com/dailyparking_clt/default.aspx" TargetMode="External" Id="rId21"/><Relationship Type="http://schemas.openxmlformats.org/officeDocument/2006/relationships/hyperlink" Target="https://www.preferredparking.com/dailyparking_clt/default.aspx" TargetMode="External" Id="rId22"/><Relationship Type="http://schemas.openxmlformats.org/officeDocument/2006/relationships/hyperlink" Target="https://www.preferredparking.com/dailyparking_clt/default.aspx" TargetMode="External" Id="rId23"/><Relationship Type="http://schemas.openxmlformats.org/officeDocument/2006/relationships/hyperlink" Target="https://www.preferredparking.com/dailyparking_clt/default.aspx" TargetMode="External" Id="rId24"/><Relationship Type="http://schemas.openxmlformats.org/officeDocument/2006/relationships/hyperlink" Target="https://www.preferredparking.com/dailyparking_clt/default.aspx" TargetMode="External" Id="rId25"/><Relationship Type="http://schemas.openxmlformats.org/officeDocument/2006/relationships/hyperlink" Target="https://www.preferredparking.com/dailyparking_clt/default.aspx" TargetMode="External" Id="rId26"/><Relationship Type="http://schemas.openxmlformats.org/officeDocument/2006/relationships/hyperlink" Target="https://parking.com/charlotte/parking-near/35.22462560/-80.84200160/306-e-4th-st/?lot_id=20383&amp;showListOnly=1&amp;view=daily&amp;facility&amp;valet&amp;general=&amp;displayFullCity=0&amp;start=2023-12-28T14%3A00&amp;stop=2023-12-28T14%3A30&amp;sw=35.21071788363375,-80.86408062727335&amp;ne=35.2381351005086,-80.8207577726999" TargetMode="External" Id="rId27"/><Relationship Type="http://schemas.openxmlformats.org/officeDocument/2006/relationships/hyperlink" Target="https://www.preferredparking.com/dailyparking_clt/default.aspx" TargetMode="External" Id="rId28"/><Relationship Type="http://schemas.openxmlformats.org/officeDocument/2006/relationships/hyperlink" Target="https://www.lazparking.com/local/charlotte--nc/bbt-center" TargetMode="External" Id="rId29"/><Relationship Type="http://schemas.openxmlformats.org/officeDocument/2006/relationships/hyperlink" Target="https://www.hyatt.com/hyatt-house/en-US/cltxd-hyatt-house-charlotte-center-city/hotel-info" TargetMode="External" Id="rId30"/><Relationship Type="http://schemas.openxmlformats.org/officeDocument/2006/relationships/hyperlink" Target="https://www.preferredparking.com/dailyparking_clt/default.aspx" TargetMode="External" Id="rId31"/><Relationship Type="http://schemas.openxmlformats.org/officeDocument/2006/relationships/hyperlink" Target="https://www.preferredparking.com/dailyparking_clt/default.aspx" TargetMode="External" Id="rId32"/><Relationship Type="http://schemas.openxmlformats.org/officeDocument/2006/relationships/hyperlink" Target="https://www.preferredparking.com/dailyparking_clt/default.aspx" TargetMode="External" Id="rId33"/><Relationship Type="http://schemas.openxmlformats.org/officeDocument/2006/relationships/hyperlink" Target="https://www.preferredparking.com/dailyparking_clt/default.aspx" TargetMode="External" Id="rId34"/><Relationship Type="http://schemas.openxmlformats.org/officeDocument/2006/relationships/hyperlink" Target="https://www.preferredparking.com/dailyparking_clt/default.aspx" TargetMode="External" Id="rId3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heiveyshotel.com/" TargetMode="External" Id="rId1"/><Relationship Type="http://schemas.openxmlformats.org/officeDocument/2006/relationships/hyperlink" Target="https://www.marriott.com/en-us/Hotels/cltad-ac-Hotel-charlotte-city-center/overview/?scid=f2ae0541-1279-4f24-b197-a979c79310b0" TargetMode="External" Id="rId2"/><Relationship Type="http://schemas.openxmlformats.org/officeDocument/2006/relationships/hyperlink" Target="https://www.omnihotels.com/Hotels/charlotte" TargetMode="External" Id="rId3"/><Relationship Type="http://schemas.openxmlformats.org/officeDocument/2006/relationships/hyperlink" Target="https://www.marriott.com/en-us/Hotels/cltsd-springhill-suites-charlotte-city-center/overview/?scid=f2ae0541-1279-4f24-b197-a979c79310b0" TargetMode="External" Id="rId4"/><Relationship Type="http://schemas.openxmlformats.org/officeDocument/2006/relationships/hyperlink" Target="https://www.kesslercollection.com/bohemian-charlotte/" TargetMode="External" Id="rId5"/><Relationship Type="http://schemas.openxmlformats.org/officeDocument/2006/relationships/hyperlink" Target="https://www.marriott.com/en-us/Hotels/cltjw-jw-marriott-charlotte/overview/" TargetMode="External" Id="rId6"/><Relationship Type="http://schemas.openxmlformats.org/officeDocument/2006/relationships/hyperlink" Target="https://www.tryonparkhotel.com/" TargetMode="External" Id="rId7"/><Relationship Type="http://schemas.openxmlformats.org/officeDocument/2006/relationships/hyperlink" Target="https://www.marriott.com/en-us/Hotels/cltcc-charlotte-marriott-city-center/overview/?scid=f2ae0541-1279-4f24-b197-a979c79310b0" TargetMode="External" Id="rId8"/><Relationship Type="http://schemas.openxmlformats.org/officeDocument/2006/relationships/table" Target="/xl/tables/table1.xml" Id="rId9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46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1" t="inlineStr">
        <is>
          <t>DO NOT EDIT MASTER Market Analysis</t>
        </is>
      </c>
    </row>
    <row r="2"/>
    <row r="3"/>
    <row r="4"/>
    <row r="5"/>
    <row r="6"/>
    <row r="7"/>
    <row r="8"/>
    <row r="9"/>
    <row r="13">
      <c r="A13" s="2" t="inlineStr">
        <is>
          <t xml:space="preserve">To Copy this sheet: File -&gt; Make a copy                          </t>
        </is>
      </c>
    </row>
    <row r="14"/>
    <row r="15"/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Rename File with Title: {INSERT CITY}, {INSERT STATE} Market Analysis</t>
        </is>
      </c>
    </row>
    <row r="18"/>
    <row r="19"/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R20" s="0" t="n"/>
    </row>
    <row r="21">
      <c r="A21" s="2" t="inlineStr">
        <is>
          <t xml:space="preserve"> Make sure you move file to Shared Drive Sales and into the Market Analysis Folder</t>
        </is>
      </c>
    </row>
    <row r="22"/>
    <row r="23"/>
    <row r="26">
      <c r="A26" s="3" t="n"/>
      <c r="C26" s="3" t="n"/>
      <c r="D26" s="4" t="n"/>
      <c r="E26" s="3" t="n"/>
      <c r="G26" s="3" t="n"/>
      <c r="H26" s="4" t="n"/>
      <c r="I26" s="3" t="n"/>
      <c r="K26" s="3" t="n"/>
    </row>
    <row r="27">
      <c r="A27" s="3" t="n"/>
      <c r="C27" s="3" t="n"/>
      <c r="D27" s="4" t="n"/>
      <c r="E27" s="3" t="n"/>
      <c r="G27" s="3" t="n"/>
      <c r="H27" s="4" t="n"/>
      <c r="I27" s="3" t="n"/>
      <c r="K27" s="3" t="n"/>
    </row>
    <row r="28">
      <c r="A28" s="3" t="n"/>
      <c r="C28" s="3" t="n"/>
      <c r="D28" s="4" t="n"/>
      <c r="E28" s="3" t="n"/>
      <c r="G28" s="3" t="n"/>
      <c r="H28" s="4" t="n"/>
      <c r="I28" s="3" t="n"/>
      <c r="K28" s="3" t="n"/>
    </row>
    <row r="29">
      <c r="A29" s="3" t="n"/>
      <c r="C29" s="3" t="n"/>
      <c r="D29" s="4" t="n"/>
      <c r="E29" s="3" t="n"/>
      <c r="G29" s="3" t="n"/>
      <c r="H29" s="4" t="n"/>
      <c r="I29" s="3" t="n"/>
      <c r="K29" s="3" t="n"/>
    </row>
    <row r="30">
      <c r="A30" s="3" t="n"/>
      <c r="C30" s="3" t="n"/>
      <c r="D30" s="4" t="n"/>
      <c r="E30" s="3" t="n"/>
      <c r="G30" s="3" t="n"/>
      <c r="H30" s="4" t="n"/>
      <c r="I30" s="3" t="n"/>
      <c r="K30" s="3" t="n"/>
    </row>
    <row r="31">
      <c r="A31" s="3" t="n"/>
      <c r="C31" s="3" t="n"/>
      <c r="D31" s="4" t="n"/>
      <c r="E31" s="3" t="n"/>
      <c r="G31" s="3" t="n"/>
      <c r="H31" s="4" t="n"/>
      <c r="I31" s="3" t="n"/>
      <c r="K31" s="3" t="n"/>
    </row>
    <row r="32">
      <c r="A32" s="3" t="n"/>
      <c r="C32" s="3" t="n"/>
      <c r="D32" s="4" t="n"/>
      <c r="E32" s="3" t="n"/>
      <c r="G32" s="3" t="n"/>
      <c r="H32" s="4" t="n"/>
      <c r="I32" s="3" t="n"/>
      <c r="K32" s="3" t="n"/>
    </row>
    <row r="33">
      <c r="A33" s="3" t="n"/>
      <c r="C33" s="3" t="n"/>
      <c r="D33" s="4" t="n"/>
      <c r="E33" s="3" t="n"/>
      <c r="G33" s="3" t="n"/>
      <c r="H33" s="4" t="n"/>
      <c r="I33" s="3" t="n"/>
      <c r="K33" s="3" t="n"/>
    </row>
    <row r="34">
      <c r="A34" s="3" t="n"/>
      <c r="C34" s="3" t="n"/>
      <c r="D34" s="4" t="n"/>
      <c r="E34" s="3" t="n"/>
      <c r="G34" s="3" t="n"/>
      <c r="H34" s="4" t="n"/>
      <c r="I34" s="3" t="n"/>
      <c r="K34" s="3" t="n"/>
    </row>
    <row r="35">
      <c r="A35" s="3" t="n"/>
      <c r="C35" s="3" t="n"/>
      <c r="D35" s="4" t="n"/>
      <c r="E35" s="3" t="n"/>
      <c r="G35" s="3" t="n"/>
      <c r="H35" s="4" t="n"/>
      <c r="I35" s="3" t="n"/>
      <c r="K35" s="3" t="n"/>
    </row>
    <row r="36">
      <c r="A36" s="3" t="n"/>
      <c r="C36" s="3" t="n"/>
      <c r="D36" s="4" t="n"/>
      <c r="E36" s="3" t="n"/>
      <c r="G36" s="3" t="n"/>
      <c r="H36" s="4" t="n"/>
      <c r="I36" s="3" t="n"/>
      <c r="K36" s="3" t="n"/>
    </row>
    <row r="37">
      <c r="A37" s="3" t="n"/>
      <c r="C37" s="3" t="n"/>
      <c r="D37" s="4" t="n"/>
      <c r="E37" s="3" t="n"/>
      <c r="G37" s="3" t="n"/>
      <c r="H37" s="4" t="n"/>
      <c r="I37" s="3" t="n"/>
      <c r="K37" s="3" t="n"/>
    </row>
    <row r="38">
      <c r="A38" s="3" t="n"/>
      <c r="C38" s="3" t="n"/>
      <c r="D38" s="4" t="n"/>
      <c r="E38" s="3" t="n"/>
      <c r="G38" s="3" t="n"/>
      <c r="H38" s="4" t="n"/>
      <c r="I38" s="3" t="n"/>
      <c r="K38" s="3" t="n"/>
    </row>
    <row r="39">
      <c r="A39" s="3" t="n"/>
      <c r="C39" s="3" t="n"/>
      <c r="D39" s="4" t="n"/>
      <c r="E39" s="3" t="n"/>
      <c r="G39" s="3" t="n"/>
      <c r="H39" s="4" t="n"/>
      <c r="I39" s="3" t="n"/>
      <c r="K39" s="3" t="n"/>
    </row>
    <row r="40">
      <c r="A40" s="3" t="n"/>
      <c r="C40" s="3" t="n"/>
      <c r="D40" s="4" t="n"/>
      <c r="E40" s="3" t="n"/>
      <c r="G40" s="3" t="n"/>
      <c r="H40" s="4" t="n"/>
      <c r="I40" s="3" t="n"/>
      <c r="K40" s="3" t="n"/>
    </row>
    <row r="41">
      <c r="A41" s="3" t="n"/>
      <c r="C41" s="3" t="n"/>
      <c r="D41" s="4" t="n"/>
      <c r="E41" s="3" t="n"/>
      <c r="G41" s="3" t="n"/>
      <c r="H41" s="4" t="n"/>
      <c r="I41" s="3" t="n"/>
      <c r="K41" s="3" t="n"/>
    </row>
    <row r="42">
      <c r="A42" s="3" t="n"/>
      <c r="C42" s="3" t="n"/>
      <c r="D42" s="4" t="n"/>
      <c r="E42" s="3" t="n"/>
      <c r="G42" s="3" t="n"/>
      <c r="H42" s="4" t="n"/>
      <c r="I42" s="3" t="n"/>
      <c r="K42" s="3" t="n"/>
    </row>
    <row r="43">
      <c r="A43" s="3" t="n"/>
      <c r="C43" s="3" t="n"/>
      <c r="D43" s="4" t="n"/>
      <c r="E43" s="3" t="n"/>
      <c r="G43" s="3" t="n"/>
      <c r="H43" s="4" t="n"/>
      <c r="I43" s="3" t="n"/>
      <c r="K43" s="3" t="n"/>
    </row>
    <row r="44">
      <c r="A44" s="3" t="n"/>
      <c r="C44" s="3" t="n"/>
      <c r="D44" s="4" t="n"/>
      <c r="E44" s="3" t="n"/>
      <c r="G44" s="3" t="n"/>
      <c r="H44" s="4" t="n"/>
      <c r="I44" s="3" t="n"/>
      <c r="K44" s="3" t="n"/>
    </row>
    <row r="45">
      <c r="A45" s="3" t="n"/>
      <c r="C45" s="3" t="n"/>
      <c r="D45" s="4" t="n"/>
      <c r="E45" s="3" t="n"/>
      <c r="G45" s="3" t="n"/>
      <c r="H45" s="4" t="n"/>
      <c r="I45" s="3" t="n"/>
      <c r="K45" s="3" t="n"/>
    </row>
    <row r="46">
      <c r="A46" s="3" t="n"/>
      <c r="C46" s="3" t="n"/>
      <c r="D46" s="4" t="n"/>
      <c r="E46" s="3" t="n"/>
      <c r="G46" s="3" t="n"/>
      <c r="H46" s="4" t="n"/>
      <c r="I46" s="3" t="n"/>
      <c r="K46" s="3" t="n"/>
    </row>
  </sheetData>
  <mergeCells count="4">
    <mergeCell ref="A21:M23"/>
    <mergeCell ref="A1:Q9"/>
    <mergeCell ref="A17:M19"/>
    <mergeCell ref="A13:M1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1059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" customHeight="1"/>
  <cols>
    <col width="44.5" customWidth="1" style="211" min="1" max="1"/>
    <col width="12.13" customWidth="1" style="211" min="2" max="3"/>
    <col width="47.38" customWidth="1" style="211" min="4" max="4"/>
    <col width="18.38" customWidth="1" style="211" min="5" max="5"/>
    <col width="21.75" customWidth="1" style="211" min="6" max="7"/>
    <col width="7.63" customWidth="1" style="211" min="8" max="8"/>
    <col width="16.5" customWidth="1" style="211" min="9" max="9"/>
    <col width="17" customWidth="1" style="211" min="10" max="10"/>
    <col width="15.25" customWidth="1" style="211" min="11" max="15"/>
    <col width="13.13" customWidth="1" style="211" min="16" max="16"/>
    <col width="22.88" customWidth="1" style="211" min="17" max="18"/>
    <col width="42.75" customWidth="1" style="211" min="19" max="19"/>
    <col width="58.75" customWidth="1" style="211" min="20" max="20"/>
    <col width="46.25" customWidth="1" style="211" min="26" max="26"/>
  </cols>
  <sheetData>
    <row r="1" ht="41.25" customHeight="1" s="211">
      <c r="A1" s="5">
        <f>IFERROR(__xludf.DUMMYFUNCTION("if(eq(COUNTA(A2:A199) - COUNTUNIQUE(A2:A199),0),""Accounts"", ""Accounts - Duplicate Found"")"),"Accounts")</f>
        <v/>
      </c>
      <c r="B1" s="5" t="inlineStr">
        <is>
          <t>Account Type</t>
        </is>
      </c>
      <c r="C1" s="5" t="inlineStr">
        <is>
          <t>Contact Created?</t>
        </is>
      </c>
      <c r="D1" s="7" t="inlineStr">
        <is>
          <t>Address</t>
        </is>
      </c>
      <c r="E1" s="7" t="inlineStr">
        <is>
          <t>Uptown (Yes or No)</t>
        </is>
      </c>
      <c r="F1" s="8" t="inlineStr">
        <is>
          <t>Phone Number</t>
        </is>
      </c>
      <c r="G1" s="8" t="inlineStr">
        <is>
          <t>Email</t>
        </is>
      </c>
      <c r="H1" s="5" t="inlineStr">
        <is>
          <t>URL</t>
        </is>
      </c>
      <c r="I1" s="8" t="inlineStr">
        <is>
          <t>Self Parking Rate</t>
        </is>
      </c>
      <c r="J1" s="8" t="inlineStr">
        <is>
          <t>Valet Rate</t>
        </is>
      </c>
      <c r="K1" s="5" t="inlineStr">
        <is>
          <t># of Rooms</t>
        </is>
      </c>
      <c r="L1" s="9" t="inlineStr">
        <is>
          <t>Parking Reviews %</t>
        </is>
      </c>
      <c r="M1" s="5" t="inlineStr">
        <is>
          <t>Parking Reviews #</t>
        </is>
      </c>
      <c r="N1" s="5" t="inlineStr">
        <is>
          <t>GM Name</t>
        </is>
      </c>
      <c r="O1" s="5" t="inlineStr">
        <is>
          <t>Management Group</t>
        </is>
      </c>
      <c r="P1" s="8" t="inlineStr">
        <is>
          <t>Linked Accounts</t>
        </is>
      </c>
      <c r="Q1" s="10" t="inlineStr">
        <is>
          <t xml:space="preserve">Garage Operator </t>
        </is>
      </c>
      <c r="R1" s="10" t="inlineStr">
        <is>
          <t>Valet Operator</t>
        </is>
      </c>
      <c r="S1" s="11" t="inlineStr">
        <is>
          <t>Sourcing Notes</t>
        </is>
      </c>
      <c r="T1" s="11" t="inlineStr">
        <is>
          <t>Location Notes</t>
        </is>
      </c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</row>
    <row r="2" ht="51.75" customHeight="1" s="211">
      <c r="A2" s="13" t="inlineStr">
        <is>
          <t>Aloft Charlotte City Center</t>
        </is>
      </c>
      <c r="B2" s="55" t="inlineStr">
        <is>
          <t>Hotel</t>
        </is>
      </c>
      <c r="C2" s="55" t="n"/>
      <c r="D2" s="16" t="inlineStr">
        <is>
          <t>210 E Trade Street, Charlotte, NC, 28202</t>
        </is>
      </c>
      <c r="E2" s="16" t="inlineStr">
        <is>
          <t>YES</t>
        </is>
      </c>
      <c r="F2" s="16">
        <f>17043331999</f>
        <v/>
      </c>
      <c r="G2" s="53" t="n"/>
      <c r="H2" s="18" t="inlineStr">
        <is>
          <t>https://www.marriott.com/en-us/Hotels/cltul-aloft-charlotte-city-center/overview/</t>
        </is>
      </c>
      <c r="I2" s="65" t="n">
        <v>30</v>
      </c>
      <c r="J2" s="20" t="n">
        <v>25</v>
      </c>
      <c r="K2" s="16" t="n">
        <v>175</v>
      </c>
      <c r="L2" s="21" t="n">
        <v>0.17</v>
      </c>
      <c r="M2" s="22" t="n">
        <v>156</v>
      </c>
      <c r="N2" s="16" t="inlineStr">
        <is>
          <t xml:space="preserve">Jay Brown </t>
        </is>
      </c>
      <c r="O2" s="22" t="n"/>
      <c r="P2" s="23" t="n"/>
      <c r="Q2" s="65" t="inlineStr">
        <is>
          <t>Preferred</t>
        </is>
      </c>
      <c r="R2" s="65" t="inlineStr">
        <is>
          <t>Preferred Parking</t>
        </is>
      </c>
      <c r="S2" s="55" t="n"/>
      <c r="T2" s="55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</row>
    <row r="3" ht="51.75" customHeight="1" s="211">
      <c r="A3" s="13" t="inlineStr">
        <is>
          <t>Courtyard By Marriott</t>
        </is>
      </c>
      <c r="B3" s="55" t="inlineStr">
        <is>
          <t>Hotel</t>
        </is>
      </c>
      <c r="C3" s="55" t="n"/>
      <c r="D3" s="25" t="inlineStr">
        <is>
          <t>237 S Tryon St, Charlotte, NC 28202</t>
        </is>
      </c>
      <c r="E3" s="25" t="inlineStr">
        <is>
          <t>YES</t>
        </is>
      </c>
      <c r="F3" s="16" t="inlineStr">
        <is>
          <t>(704) 926-5800</t>
        </is>
      </c>
      <c r="G3" s="16" t="n"/>
      <c r="H3" s="26" t="inlineStr">
        <is>
          <t>https://www.marriott.com/en-us/Hotels/cltup-courtyard-charlotte-city-center/overview/?scid=f2ae0541-1279-4f24-b197-a979c79310b0</t>
        </is>
      </c>
      <c r="I3" s="65" t="n">
        <v>30</v>
      </c>
      <c r="J3" s="20" t="n"/>
      <c r="K3" s="16" t="n">
        <v>181</v>
      </c>
      <c r="L3" s="21" t="n">
        <v>0.28</v>
      </c>
      <c r="M3" s="22" t="n">
        <v>95</v>
      </c>
      <c r="N3" s="16" t="inlineStr">
        <is>
          <t>Eric Knesel</t>
        </is>
      </c>
      <c r="O3" s="22" t="n"/>
      <c r="P3" s="23" t="n"/>
      <c r="Q3" s="65" t="inlineStr">
        <is>
          <t>LAZ</t>
        </is>
      </c>
      <c r="R3" s="65" t="inlineStr">
        <is>
          <t>None</t>
        </is>
      </c>
      <c r="S3" s="50" t="n"/>
      <c r="T3" s="50" t="inlineStr">
        <is>
          <t>poor parking reviews, security maybe an issue</t>
        </is>
      </c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 ht="51.75" customHeight="1" s="211">
      <c r="A4" s="13" t="inlineStr">
        <is>
          <t>Fairfield Inn &amp; Suites</t>
        </is>
      </c>
      <c r="B4" s="55" t="inlineStr">
        <is>
          <t>Hotel</t>
        </is>
      </c>
      <c r="C4" s="55" t="n"/>
      <c r="D4" s="29" t="inlineStr">
        <is>
          <t>201 S McDowell St, Charlotte, NC 28204</t>
        </is>
      </c>
      <c r="E4" s="29" t="inlineStr">
        <is>
          <t>YES</t>
        </is>
      </c>
      <c r="F4" s="16" t="inlineStr">
        <is>
          <t>(704) 372-7550</t>
        </is>
      </c>
      <c r="G4" s="16" t="n"/>
      <c r="H4" s="26" t="inlineStr">
        <is>
          <t>https://www.marriott.com/en-us/Hotels/cltut-fairfield-inn-and-suites-charlotte-uptown/overview/?scid=f2ae0541-1279-4f24-b197-a979c79310b0</t>
        </is>
      </c>
      <c r="I4" s="65" t="n">
        <v>25</v>
      </c>
      <c r="J4" s="20" t="n"/>
      <c r="K4" s="16" t="n">
        <v>196</v>
      </c>
      <c r="L4" s="30" t="n">
        <v>0.38</v>
      </c>
      <c r="M4" s="55" t="n">
        <v>103</v>
      </c>
      <c r="N4" s="16" t="inlineStr">
        <is>
          <t>Bill Moore - Left VM</t>
        </is>
      </c>
      <c r="O4" s="55" t="n"/>
      <c r="P4" s="31" t="n"/>
      <c r="Q4" s="65" t="n"/>
      <c r="R4" s="65" t="inlineStr">
        <is>
          <t>None</t>
        </is>
      </c>
      <c r="S4" s="50" t="n"/>
      <c r="T4" s="50" t="inlineStr">
        <is>
          <t>Has really easy parking front drive for enterance, own their own parking deck</t>
        </is>
      </c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</row>
    <row r="5" ht="51.75" customHeight="1" s="211">
      <c r="A5" s="13" t="inlineStr">
        <is>
          <t>Hampton Inn Uptown</t>
        </is>
      </c>
      <c r="B5" s="55" t="inlineStr">
        <is>
          <t>Hotel</t>
        </is>
      </c>
      <c r="C5" s="55" t="n"/>
      <c r="D5" s="33" t="inlineStr">
        <is>
          <t>530 E M.L.K. Jr Blvd, Charlotte, NC 28202</t>
        </is>
      </c>
      <c r="E5" s="33" t="inlineStr">
        <is>
          <t>YES</t>
        </is>
      </c>
      <c r="F5" s="16" t="n"/>
      <c r="G5" s="16" t="n"/>
      <c r="H5" s="26" t="inlineStr">
        <is>
          <t>https://www.hilton.com/en/Hotels/cltsphx-hampton-suites-charlotte-south-park-at-phillips-place/?SEO_id=GMB-AMER-HX-CLTSPHX&amp;y_source=1_MjA4NDc5MC03MTUtbG9jYXRpb24ud2Vic2l0ZQ%3D%3D</t>
        </is>
      </c>
      <c r="I5" s="65" t="n">
        <v>25</v>
      </c>
      <c r="J5" s="20" t="n"/>
      <c r="K5" s="78" t="n">
        <v>250</v>
      </c>
      <c r="L5" s="30" t="n">
        <v>0.38</v>
      </c>
      <c r="M5" s="35" t="n">
        <v>156</v>
      </c>
      <c r="N5" s="35" t="n"/>
      <c r="O5" s="35" t="n"/>
      <c r="P5" s="55" t="n"/>
      <c r="Q5" s="65" t="n"/>
      <c r="R5" s="65" t="inlineStr">
        <is>
          <t>None</t>
        </is>
      </c>
      <c r="S5" s="50" t="n"/>
      <c r="T5" s="50" t="inlineStr">
        <is>
          <t>Valet only there in the evenings on weekends. no morning valet, left message with the AGM Michelle  6/6/23</t>
        </is>
      </c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 ht="51.75" customHeight="1" s="211">
      <c r="A6" s="13" t="inlineStr">
        <is>
          <t xml:space="preserve">Hilton Garden Inn (SouthPark) </t>
        </is>
      </c>
      <c r="B6" s="55" t="inlineStr">
        <is>
          <t>Hotel</t>
        </is>
      </c>
      <c r="C6" s="55" t="n"/>
      <c r="D6" s="37" t="inlineStr">
        <is>
          <t>4808 Sharon Rd, Charlotte, NC 28210</t>
        </is>
      </c>
      <c r="E6" s="37" t="inlineStr">
        <is>
          <t>NO</t>
        </is>
      </c>
      <c r="F6" s="16" t="inlineStr">
        <is>
          <t>(704) 362-5080</t>
        </is>
      </c>
      <c r="G6" s="16" t="n"/>
      <c r="H6" s="26" t="inlineStr">
        <is>
          <t>https://www.hilton.com/en/Hotels/cltskgi-hilton-garden-inn-charlotte-southpark/?SEO_id=GMB-AMER-GI-CLTSKGI&amp;y_source=1_ODIxMTQxNS03MTUtbG9jYXRpb24ud2Vic2l0ZQ%3D%3D</t>
        </is>
      </c>
      <c r="I6" s="65" t="n">
        <v>10</v>
      </c>
      <c r="J6" s="20" t="n"/>
      <c r="K6" s="78" t="n">
        <v>160</v>
      </c>
      <c r="L6" s="30" t="n">
        <v>0.79</v>
      </c>
      <c r="M6" s="35" t="n">
        <v>38</v>
      </c>
      <c r="N6" s="29" t="inlineStr">
        <is>
          <t>Tom Payne (Hours are usually 9-5</t>
        </is>
      </c>
      <c r="O6" s="35" t="n"/>
      <c r="P6" s="31" t="n"/>
      <c r="Q6" s="65" t="n"/>
      <c r="R6" s="65" t="inlineStr">
        <is>
          <t>None</t>
        </is>
      </c>
      <c r="S6" s="55" t="n"/>
      <c r="T6" s="38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</row>
    <row r="7" ht="51.75" customHeight="1" s="211">
      <c r="A7" s="13" t="inlineStr">
        <is>
          <t>Hilton/Hilton Garden Inn</t>
        </is>
      </c>
      <c r="B7" s="55" t="inlineStr">
        <is>
          <t>Hotel</t>
        </is>
      </c>
      <c r="C7" s="55" t="n"/>
      <c r="D7" s="16" t="inlineStr">
        <is>
          <t>508 E M.L.K. Jr Blvd, Charlotte, NC 28202</t>
        </is>
      </c>
      <c r="E7" s="16" t="inlineStr">
        <is>
          <t>YES</t>
        </is>
      </c>
      <c r="F7" s="16" t="inlineStr">
        <is>
          <t>(704) 347-5972</t>
        </is>
      </c>
      <c r="G7" s="53" t="n"/>
      <c r="H7" s="18" t="inlineStr">
        <is>
          <t>https://www.hilton.com/en/Hotels/cltupgi-hilton-garden-inn-charlotte-uptown/</t>
        </is>
      </c>
      <c r="I7" s="65" t="n">
        <v>25</v>
      </c>
      <c r="J7" s="20" t="n"/>
      <c r="K7" s="78" t="n">
        <v>181</v>
      </c>
      <c r="L7" s="30" t="n">
        <v>0.39</v>
      </c>
      <c r="M7" s="35" t="n">
        <v>115</v>
      </c>
      <c r="N7" s="29" t="n"/>
      <c r="O7" s="55" t="n"/>
      <c r="P7" s="31" t="n"/>
      <c r="Q7" s="65" t="n"/>
      <c r="R7" s="65" t="inlineStr">
        <is>
          <t>None</t>
        </is>
      </c>
      <c r="S7" s="55" t="n"/>
      <c r="T7" s="50" t="inlineStr">
        <is>
          <t xml:space="preserve">Left a message with the GM on 6/6/23 letting them know about us and to give us a call back if valet service was of interested, for the Garden inn. </t>
        </is>
      </c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 ht="51.75" customHeight="1" s="211">
      <c r="A8" s="13" t="inlineStr">
        <is>
          <t>Home2Suites</t>
        </is>
      </c>
      <c r="B8" s="55" t="inlineStr">
        <is>
          <t>Hotel</t>
        </is>
      </c>
      <c r="C8" s="55" t="n"/>
      <c r="D8" s="16" t="inlineStr">
        <is>
          <t>610 S Caldwell St, Charlotte, NC 28202</t>
        </is>
      </c>
      <c r="E8" s="16" t="inlineStr">
        <is>
          <t>YES</t>
        </is>
      </c>
      <c r="F8" s="16" t="inlineStr">
        <is>
          <t>(980) 500-0085 Ext. for GM is 5002    Email for GM: stephanie.parisi@hilton.com  NEW GM COMING 5/31/2022</t>
        </is>
      </c>
      <c r="G8" s="16" t="n"/>
      <c r="H8" s="26" t="inlineStr">
        <is>
          <t>https://www.hilton.com/en/Hotels/cltowht-home2-suites-charlotte-uptown/?SEO_id=GMB-AMER-HT-CLTOWHT&amp;y_source=1_MTQ3MjI2OTAtNzE1LWxvY2F0aW9uLndlYnNpdGU%3D</t>
        </is>
      </c>
      <c r="I8" s="65" t="n">
        <v>25</v>
      </c>
      <c r="J8" s="20" t="n"/>
      <c r="K8" s="16" t="n">
        <v>180</v>
      </c>
      <c r="L8" s="30" t="n">
        <v>0.26</v>
      </c>
      <c r="M8" s="29" t="n">
        <v>101</v>
      </c>
      <c r="N8" s="29" t="inlineStr">
        <is>
          <t>Tameka</t>
        </is>
      </c>
      <c r="O8" s="55" t="n"/>
      <c r="P8" s="29" t="n"/>
      <c r="Q8" s="65" t="n"/>
      <c r="R8" s="65" t="inlineStr">
        <is>
          <t>None</t>
        </is>
      </c>
      <c r="S8" s="55" t="n"/>
      <c r="T8" s="50" t="inlineStr">
        <is>
          <t>Poor parking reviews</t>
        </is>
      </c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</row>
    <row r="9" ht="51.75" customHeight="1" s="211">
      <c r="A9" s="13" t="inlineStr">
        <is>
          <t>Hilton Charlotte Uptown</t>
        </is>
      </c>
      <c r="B9" s="55" t="inlineStr">
        <is>
          <t>Hotel</t>
        </is>
      </c>
      <c r="C9" s="55" t="n"/>
      <c r="D9" s="33" t="inlineStr">
        <is>
          <t>222 East Third Street Charlotte NC 20802</t>
        </is>
      </c>
      <c r="E9" s="33" t="inlineStr">
        <is>
          <t>YES</t>
        </is>
      </c>
      <c r="F9" s="16" t="n">
        <v>7043771500</v>
      </c>
      <c r="G9" s="16" t="n"/>
      <c r="H9" s="39" t="n"/>
      <c r="I9" s="65" t="n">
        <v>24</v>
      </c>
      <c r="J9" s="81" t="n">
        <v>34</v>
      </c>
      <c r="K9" s="16" t="n">
        <v>149</v>
      </c>
      <c r="L9" s="21" t="n">
        <v>0.51</v>
      </c>
      <c r="M9" s="22" t="n">
        <v>224</v>
      </c>
      <c r="N9" s="22" t="n"/>
      <c r="O9" s="22" t="n"/>
      <c r="P9" s="23" t="n"/>
      <c r="Q9" s="65" t="n"/>
      <c r="R9" s="65" t="inlineStr">
        <is>
          <t>PMC</t>
        </is>
      </c>
      <c r="S9" s="55" t="n"/>
      <c r="T9" s="50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 ht="51.75" customHeight="1" s="211">
      <c r="A10" s="13" t="inlineStr">
        <is>
          <t>Le Meridien Charlotte</t>
        </is>
      </c>
      <c r="B10" s="55" t="inlineStr">
        <is>
          <t>Hotel</t>
        </is>
      </c>
      <c r="C10" s="55" t="n"/>
      <c r="D10" s="16" t="inlineStr">
        <is>
          <t>555 S McDowell St Tower, Charlotte, NC 28204</t>
        </is>
      </c>
      <c r="E10" s="16" t="inlineStr">
        <is>
          <t>YES</t>
        </is>
      </c>
      <c r="F10" s="16" t="n"/>
      <c r="G10" s="16" t="n"/>
      <c r="H10" s="39" t="n"/>
      <c r="I10" s="41" t="n">
        <v>25</v>
      </c>
      <c r="J10" s="42" t="n">
        <v>35</v>
      </c>
      <c r="K10" s="78" t="n">
        <v>300</v>
      </c>
      <c r="L10" s="30" t="n">
        <v>0.25</v>
      </c>
      <c r="M10" s="35" t="n">
        <v>162</v>
      </c>
      <c r="N10" s="35" t="n"/>
      <c r="O10" s="35" t="n"/>
      <c r="P10" s="55" t="n"/>
      <c r="Q10" s="65" t="n"/>
      <c r="R10" s="39" t="n"/>
      <c r="S10" s="55" t="n"/>
      <c r="T10" s="41" t="inlineStr">
        <is>
          <t xml:space="preserve">Currently No GM or Director of Ops </t>
        </is>
      </c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</row>
    <row r="11" ht="51.75" customHeight="1" s="211">
      <c r="A11" s="13" t="inlineStr">
        <is>
          <t>Sheraton Hotel</t>
        </is>
      </c>
      <c r="B11" s="55" t="inlineStr">
        <is>
          <t>Hotel</t>
        </is>
      </c>
      <c r="C11" s="55" t="n"/>
      <c r="D11" s="16" t="inlineStr">
        <is>
          <t>555 S McDowell St Tower, Charlotte, NC 28204</t>
        </is>
      </c>
      <c r="E11" s="16" t="inlineStr">
        <is>
          <t>YES</t>
        </is>
      </c>
      <c r="F11" s="22" t="n"/>
      <c r="G11" s="22" t="n"/>
      <c r="H11" s="43" t="inlineStr">
        <is>
          <t>https://www.marriott.com/en-us/Hotels/cltws-sheraton-charlotte-Hotel/overview/</t>
        </is>
      </c>
      <c r="I11" s="44" t="n">
        <v>25</v>
      </c>
      <c r="J11" s="45" t="n">
        <v>35</v>
      </c>
      <c r="K11" s="29" t="n">
        <v>305</v>
      </c>
      <c r="L11" s="21" t="n">
        <v>0.24</v>
      </c>
      <c r="M11" s="22" t="n">
        <v>157</v>
      </c>
      <c r="N11" s="22" t="n"/>
      <c r="O11" s="22" t="n"/>
      <c r="P11" s="23" t="n"/>
      <c r="Q11" s="65" t="n"/>
      <c r="R11" s="52" t="n"/>
      <c r="S11" s="55" t="n"/>
      <c r="T11" s="55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</row>
    <row r="12" ht="51.75" customHeight="1" s="211">
      <c r="A12" s="13" t="inlineStr">
        <is>
          <t>The Ivey's Hotel</t>
        </is>
      </c>
      <c r="B12" s="55" t="inlineStr">
        <is>
          <t>Hotel</t>
        </is>
      </c>
      <c r="C12" s="55" t="n"/>
      <c r="D12" s="16" t="inlineStr">
        <is>
          <t>127 N Tryon St, Charlotte, NC 28202</t>
        </is>
      </c>
      <c r="E12" s="16" t="inlineStr">
        <is>
          <t>YES</t>
        </is>
      </c>
      <c r="F12" s="47" t="n"/>
      <c r="G12" s="47" t="n"/>
      <c r="H12" s="43" t="inlineStr">
        <is>
          <t>https://www.theiveysHotel.com/</t>
        </is>
      </c>
      <c r="I12" s="52" t="n"/>
      <c r="J12" s="48" t="n">
        <v>35</v>
      </c>
      <c r="K12" s="29" t="n">
        <v>47</v>
      </c>
      <c r="L12" s="49" t="n">
        <v>0.52</v>
      </c>
      <c r="M12" s="22" t="n">
        <v>89</v>
      </c>
      <c r="N12" s="47" t="n"/>
      <c r="O12" s="47" t="n"/>
      <c r="P12" s="22" t="n"/>
      <c r="Q12" s="65" t="inlineStr">
        <is>
          <t>LAZ</t>
        </is>
      </c>
      <c r="R12" s="31" t="inlineStr">
        <is>
          <t>PMC</t>
        </is>
      </c>
      <c r="S12" s="55" t="n"/>
      <c r="T12" s="55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</row>
    <row r="13" ht="51.75" customHeight="1" s="211">
      <c r="A13" s="13" t="inlineStr">
        <is>
          <t>Hyatt Place</t>
        </is>
      </c>
      <c r="B13" s="55" t="inlineStr">
        <is>
          <t>Hotel</t>
        </is>
      </c>
      <c r="C13" s="55" t="n"/>
      <c r="D13" s="50" t="inlineStr">
        <is>
          <t>222 S Caldwell St, Charlotte NC 28202</t>
        </is>
      </c>
      <c r="E13" s="50" t="inlineStr">
        <is>
          <t>YES</t>
        </is>
      </c>
      <c r="F13" s="50" t="n">
        <v>7042270500</v>
      </c>
      <c r="G13" s="50" t="inlineStr">
        <is>
          <t>Check your email/texts for contact updated</t>
        </is>
      </c>
      <c r="H13" s="41" t="inlineStr">
        <is>
          <t>tien.ning@hyatt.com</t>
        </is>
      </c>
      <c r="I13" s="50" t="inlineStr">
        <is>
          <t>n/a</t>
        </is>
      </c>
      <c r="J13" s="42" t="n">
        <v>38</v>
      </c>
      <c r="K13" s="16" t="n">
        <v>172</v>
      </c>
      <c r="L13" s="30" t="n">
        <v>0.72</v>
      </c>
      <c r="M13" s="55" t="n">
        <v>484</v>
      </c>
      <c r="N13" s="22" t="inlineStr">
        <is>
          <t>Tien Ning</t>
        </is>
      </c>
      <c r="O13" s="55" t="n"/>
      <c r="P13" s="55" t="n"/>
      <c r="Q13" s="65" t="n"/>
      <c r="R13" s="41" t="inlineStr">
        <is>
          <t>PMC</t>
        </is>
      </c>
      <c r="S13" s="55" t="n"/>
      <c r="T13" s="22" t="inlineStr">
        <is>
          <t>pretty solid valet reviews. maybe bundled services or damage claim pitching</t>
        </is>
      </c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</row>
    <row r="14" ht="51.75" customHeight="1" s="211">
      <c r="A14" s="13" t="inlineStr">
        <is>
          <t>The Dunhill</t>
        </is>
      </c>
      <c r="B14" s="55" t="inlineStr">
        <is>
          <t>Hotel</t>
        </is>
      </c>
      <c r="C14" s="55" t="n"/>
      <c r="D14" s="16" t="inlineStr">
        <is>
          <t>237 N Tryon St, Charlotte, NC 28202</t>
        </is>
      </c>
      <c r="E14" s="16" t="inlineStr">
        <is>
          <t>YES</t>
        </is>
      </c>
      <c r="F14" s="55" t="inlineStr">
        <is>
          <t>(704) 332-4141 GM Ext. 7101</t>
        </is>
      </c>
      <c r="G14" s="55" t="n"/>
      <c r="H14" s="43" t="inlineStr">
        <is>
          <t>https://dunhillHotel.com/</t>
        </is>
      </c>
      <c r="I14" s="31" t="n">
        <v>23</v>
      </c>
      <c r="J14" s="48" t="n">
        <v>38</v>
      </c>
      <c r="K14" s="29" t="n">
        <v>60</v>
      </c>
      <c r="L14" s="21" t="n">
        <v>0.43</v>
      </c>
      <c r="M14" s="22" t="n">
        <v>74</v>
      </c>
      <c r="N14" s="22" t="n"/>
      <c r="O14" s="22" t="n"/>
      <c r="P14" s="23" t="n"/>
      <c r="Q14" s="65" t="inlineStr">
        <is>
          <t>LAZ</t>
        </is>
      </c>
      <c r="R14" s="31" t="inlineStr">
        <is>
          <t>In House</t>
        </is>
      </c>
      <c r="S14" s="55" t="n"/>
      <c r="T14" s="55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</row>
    <row r="15" ht="51.75" customHeight="1" s="211">
      <c r="A15" s="13" t="inlineStr">
        <is>
          <t>AC Hotel Residents inn</t>
        </is>
      </c>
      <c r="B15" s="55" t="inlineStr">
        <is>
          <t>Hotel</t>
        </is>
      </c>
      <c r="C15" s="55" t="n"/>
      <c r="D15" s="16" t="inlineStr">
        <is>
          <t>220 East Trade Street, Suite 1400, Charlotte, NC, 28202</t>
        </is>
      </c>
      <c r="E15" s="16" t="inlineStr">
        <is>
          <t>YES</t>
        </is>
      </c>
      <c r="F15" s="16" t="n">
        <v>7043484002</v>
      </c>
      <c r="G15" s="16" t="inlineStr">
        <is>
          <t xml:space="preserve">rob.cote@marriott.com </t>
        </is>
      </c>
      <c r="H15" s="51" t="inlineStr">
        <is>
          <t>https://www.marriott.com/en-us/Hotels/cltad-ac-Hotel-charlotte-city-center/overview/?scid=f2ae0541-1279-4f24-b197-a979c79310b0</t>
        </is>
      </c>
      <c r="I15" s="65" t="n">
        <v>29</v>
      </c>
      <c r="J15" s="81" t="n">
        <v>40</v>
      </c>
      <c r="K15" s="22" t="n">
        <v>149</v>
      </c>
      <c r="L15" s="21" t="n">
        <v>0.52</v>
      </c>
      <c r="M15" s="22" t="n">
        <v>117</v>
      </c>
      <c r="N15" s="22" t="inlineStr">
        <is>
          <t>Rob Cote</t>
        </is>
      </c>
      <c r="O15" s="22" t="n"/>
      <c r="P15" s="23" t="n"/>
      <c r="Q15" s="65" t="inlineStr">
        <is>
          <t>Preferred</t>
        </is>
      </c>
      <c r="R15" s="65" t="inlineStr">
        <is>
          <t>PMC</t>
        </is>
      </c>
      <c r="S15" s="55" t="n"/>
      <c r="T15" s="55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</row>
    <row r="16" ht="51.75" customHeight="1" s="211">
      <c r="A16" s="13" t="inlineStr">
        <is>
          <t>DoubleTree by Hilton Charlotte-Center City</t>
        </is>
      </c>
      <c r="B16" s="55" t="inlineStr">
        <is>
          <t>Hotel</t>
        </is>
      </c>
      <c r="C16" s="55" t="n"/>
      <c r="D16" s="52" t="inlineStr">
        <is>
          <t>230 N College Street, Charlotte, NC 28202</t>
        </is>
      </c>
      <c r="E16" s="52" t="inlineStr">
        <is>
          <t>YES</t>
        </is>
      </c>
      <c r="F16" s="39" t="n"/>
      <c r="G16" s="39" t="n"/>
      <c r="H16" s="39" t="n"/>
      <c r="I16" s="41" t="n">
        <v>32</v>
      </c>
      <c r="J16" s="42" t="n">
        <v>40</v>
      </c>
      <c r="K16" s="16" t="n">
        <v>187</v>
      </c>
      <c r="L16" s="21" t="n">
        <v>0.36</v>
      </c>
      <c r="M16" s="22" t="n">
        <v>182</v>
      </c>
      <c r="N16" s="39" t="n"/>
      <c r="O16" s="22" t="n"/>
      <c r="P16" s="23" t="n"/>
      <c r="Q16" s="65" t="inlineStr">
        <is>
          <t>Preferred</t>
        </is>
      </c>
      <c r="R16" s="65" t="n"/>
      <c r="S16" s="41" t="n"/>
      <c r="T16" s="41" t="inlineStr">
        <is>
          <t>Not interested, Valet owned by brother of Hotel owner. GM Hung up on me when I asked for point of contact.</t>
        </is>
      </c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</row>
    <row r="17" ht="51.75" customHeight="1" s="211">
      <c r="A17" s="13" t="inlineStr">
        <is>
          <t>Omni Hotel</t>
        </is>
      </c>
      <c r="B17" s="55" t="inlineStr">
        <is>
          <t>Hotel</t>
        </is>
      </c>
      <c r="C17" s="55" t="n"/>
      <c r="D17" s="53" t="inlineStr">
        <is>
          <t>132 E Trade St, Charlotte, NC 28202</t>
        </is>
      </c>
      <c r="E17" s="53" t="inlineStr">
        <is>
          <t>YES</t>
        </is>
      </c>
      <c r="F17" s="22" t="n"/>
      <c r="G17" s="22" t="n"/>
      <c r="H17" s="43" t="inlineStr">
        <is>
          <t>https://www.omniHotels.com/Hotels/charlotte</t>
        </is>
      </c>
      <c r="I17" s="23" t="n"/>
      <c r="J17" s="45" t="n">
        <v>40</v>
      </c>
      <c r="K17" s="29" t="n">
        <v>373</v>
      </c>
      <c r="L17" s="21" t="n">
        <v>0.39</v>
      </c>
      <c r="M17" s="22" t="n">
        <v>270</v>
      </c>
      <c r="N17" s="22" t="n"/>
      <c r="O17" s="22" t="n"/>
      <c r="P17" s="23" t="n"/>
      <c r="Q17" s="65" t="inlineStr">
        <is>
          <t>LAZ</t>
        </is>
      </c>
      <c r="R17" s="44" t="inlineStr">
        <is>
          <t>PMC</t>
        </is>
      </c>
      <c r="S17" s="55" t="n"/>
      <c r="T17" s="55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</row>
    <row r="18" ht="51.75" customHeight="1" s="211">
      <c r="A18" s="13" t="inlineStr">
        <is>
          <t>SpringHill</t>
        </is>
      </c>
      <c r="B18" s="55" t="inlineStr">
        <is>
          <t>Hotel</t>
        </is>
      </c>
      <c r="C18" s="55" t="n"/>
      <c r="D18" s="16" t="inlineStr">
        <is>
          <t>311 E 5th St, Charlotte, NC 28202</t>
        </is>
      </c>
      <c r="E18" s="16" t="inlineStr">
        <is>
          <t>YES</t>
        </is>
      </c>
      <c r="F18" s="55" t="inlineStr">
        <is>
          <t>shsuptown@sree.com</t>
        </is>
      </c>
      <c r="G18" s="55" t="n"/>
      <c r="H18" s="43" t="inlineStr">
        <is>
          <t>https://www.marriott.com/en-us/Hotels/cltsd-springhill-suites-charlotte-city-center/overview/?scid=f2ae0541-1279-4f24-b197-a979c79310b0</t>
        </is>
      </c>
      <c r="I18" s="31" t="inlineStr">
        <is>
          <t>Not available</t>
        </is>
      </c>
      <c r="J18" s="48" t="n">
        <v>40</v>
      </c>
      <c r="K18" s="29" t="n">
        <v>195</v>
      </c>
      <c r="L18" s="21" t="n">
        <v>0.38</v>
      </c>
      <c r="M18" s="22" t="n">
        <v>190</v>
      </c>
      <c r="N18" s="54" t="inlineStr">
        <is>
          <t>Karen Owens</t>
        </is>
      </c>
      <c r="O18" s="22" t="n"/>
      <c r="P18" s="23" t="n"/>
      <c r="Q18" s="65" t="n"/>
      <c r="R18" s="31" t="inlineStr">
        <is>
          <t>PMC</t>
        </is>
      </c>
      <c r="S18" s="55" t="n"/>
      <c r="T18" s="55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</row>
    <row r="19" ht="51.75" customHeight="1" s="211">
      <c r="A19" s="13" t="inlineStr">
        <is>
          <t>Element Charlotte Uptown</t>
        </is>
      </c>
      <c r="B19" s="55" t="inlineStr">
        <is>
          <t>Hotel</t>
        </is>
      </c>
      <c r="C19" s="55" t="n"/>
      <c r="D19" s="55" t="inlineStr">
        <is>
          <t>650 S Caldwell Street, Charlotte</t>
        </is>
      </c>
      <c r="E19" s="55" t="inlineStr">
        <is>
          <t>YES</t>
        </is>
      </c>
      <c r="F19" s="41" t="inlineStr">
        <is>
          <t>abethell@midashospitality.com  980-785-1900</t>
        </is>
      </c>
      <c r="G19" s="41" t="n"/>
      <c r="H19" s="26" t="inlineStr">
        <is>
          <t>https://www.marriott.com/search/findHotels.mi?pageType=advanced&amp;searchType=NearAddress&amp;destinationAddress.location=Element+Charlotte+Uptown&amp;nst=paid&amp;cid=PAI_GLB0004YXD_GLE000BIM5_GLF000OETA&amp;ppc=ppc&amp;pId=ustbppc&amp;gad_source=1&amp;gclid=CjwKCAjwvr--BhB5EiwAd5YbXnN16LTeyeEMZgiOqVjMxJLbm-3ljbJBxum8-isbcRtiH4LLoomBrRoCZToQAvD_BwE&amp;gclsrc=aw.ds</t>
        </is>
      </c>
      <c r="I19" s="23" t="n"/>
      <c r="J19" s="42" t="n">
        <v>42</v>
      </c>
      <c r="K19" s="16" t="n">
        <v>173</v>
      </c>
      <c r="L19" s="21" t="n">
        <v>0.18</v>
      </c>
      <c r="M19" s="22" t="n">
        <v>22</v>
      </c>
      <c r="N19" s="41" t="inlineStr">
        <is>
          <t>Ava Bethell</t>
        </is>
      </c>
      <c r="O19" s="22" t="n"/>
      <c r="P19" s="23" t="n"/>
      <c r="Q19" s="65" t="n"/>
      <c r="R19" s="65" t="n"/>
      <c r="S19" s="41" t="n"/>
      <c r="T19" s="41" t="inlineStr">
        <is>
          <t>terrible valet reviews, 67% negative. poor schedule, needs staff, annoyed for tips</t>
        </is>
      </c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</row>
    <row r="20" ht="51.75" customHeight="1" s="211">
      <c r="A20" s="13" t="inlineStr">
        <is>
          <t>Hyatt House Charlotte Center City</t>
        </is>
      </c>
      <c r="B20" s="55" t="inlineStr">
        <is>
          <t>Hotel</t>
        </is>
      </c>
      <c r="C20" s="55" t="n"/>
      <c r="D20" s="16" t="inlineStr">
        <is>
          <t>435 E Trade St, Charlotte, NC 28202</t>
        </is>
      </c>
      <c r="E20" s="16" t="inlineStr">
        <is>
          <t>YES</t>
        </is>
      </c>
      <c r="F20" s="39" t="n"/>
      <c r="G20" s="39" t="n"/>
      <c r="H20" s="39" t="n"/>
      <c r="I20" s="41" t="inlineStr">
        <is>
          <t>n/a</t>
        </is>
      </c>
      <c r="J20" s="42" t="n">
        <v>42</v>
      </c>
      <c r="K20" s="16" t="n">
        <v>163</v>
      </c>
      <c r="L20" s="30" t="n">
        <v>0.41</v>
      </c>
      <c r="M20" s="55" t="n">
        <v>217</v>
      </c>
      <c r="N20" s="55" t="n"/>
      <c r="O20" s="55" t="n"/>
      <c r="P20" s="55" t="n"/>
      <c r="Q20" s="65" t="n"/>
      <c r="R20" s="39" t="n"/>
      <c r="S20" s="55" t="n"/>
      <c r="T20" s="41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</row>
    <row r="21" ht="51.75" customHeight="1" s="211">
      <c r="A21" s="13" t="inlineStr">
        <is>
          <t xml:space="preserve">Homewood Suites by Hilton Charlotte Uptown </t>
        </is>
      </c>
      <c r="B21" s="55" t="inlineStr">
        <is>
          <t>Hotel</t>
        </is>
      </c>
      <c r="C21" s="55" t="n"/>
      <c r="D21" s="16" t="inlineStr">
        <is>
          <t>508 N College St, Charlotte, NC 28202</t>
        </is>
      </c>
      <c r="E21" s="16" t="inlineStr">
        <is>
          <t>YES</t>
        </is>
      </c>
      <c r="F21" s="39" t="n"/>
      <c r="G21" s="39" t="n"/>
      <c r="H21" s="26" t="inlineStr">
        <is>
          <t>https://www.hilton.com/en/Hotels/cltuchw-homewood-suites-charlotte-uptown-first-ward/?flexibleDates=false&amp;numRooms=1&amp;numAdults=1&amp;numChildren=0&amp;room1ChildAges=&amp;room1AdultAges=&amp;sessionToken=035f1355-cf11-48a0-a093-93e5c0a0926f</t>
        </is>
      </c>
      <c r="I21" s="31" t="n"/>
      <c r="J21" s="42" t="n">
        <v>45</v>
      </c>
      <c r="K21" s="78" t="n">
        <v>211</v>
      </c>
      <c r="L21" s="30" t="n">
        <v>0.39</v>
      </c>
      <c r="M21" s="35" t="n">
        <v>79</v>
      </c>
      <c r="N21" s="35" t="n"/>
      <c r="O21" s="35" t="n"/>
      <c r="P21" s="31" t="n"/>
      <c r="Q21" s="65" t="n"/>
      <c r="R21" s="39" t="n"/>
      <c r="S21" s="55" t="n"/>
      <c r="T21" s="41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</row>
    <row r="22" ht="51.75" customHeight="1" s="211">
      <c r="A22" s="13" t="inlineStr">
        <is>
          <t>Embassy Suites by Hilton Charlotte Uptown</t>
        </is>
      </c>
      <c r="B22" s="55" t="inlineStr">
        <is>
          <t>Hotel</t>
        </is>
      </c>
      <c r="C22" s="55" t="n"/>
      <c r="D22" s="50" t="inlineStr">
        <is>
          <t>401 E M.L.K. Jr Blvd, Charlotte, NC 28202</t>
        </is>
      </c>
      <c r="E22" s="50" t="inlineStr">
        <is>
          <t>YES</t>
        </is>
      </c>
      <c r="F22" s="22" t="n"/>
      <c r="G22" s="22" t="inlineStr">
        <is>
          <t>mike.masri@hilton.com</t>
        </is>
      </c>
      <c r="H22" s="26" t="inlineStr">
        <is>
          <t>https://www.hilton.com/en/Hotels/cltmles-embassy-suites-charlotte-uptown/?SEO_id=GMB-AMER-ES-CLTMLES&amp;y_source=1_OTUwNTM3MC03MTUtbG9jYXRpb24ud2Vic2l0ZQ%3D%3D</t>
        </is>
      </c>
      <c r="I22" s="23" t="n"/>
      <c r="J22" s="56" t="n">
        <v>45</v>
      </c>
      <c r="K22" s="22" t="n"/>
      <c r="L22" s="21" t="n">
        <v>0.36</v>
      </c>
      <c r="M22" s="22" t="n">
        <v>296</v>
      </c>
      <c r="N22" s="22" t="inlineStr">
        <is>
          <t>Mike Masri</t>
        </is>
      </c>
      <c r="O22" s="22" t="n"/>
      <c r="P22" s="23" t="n"/>
      <c r="Q22" s="65" t="n"/>
      <c r="R22" s="65" t="n"/>
      <c r="S22" s="55" t="n"/>
      <c r="T22" s="55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</row>
    <row r="23" ht="51.75" customHeight="1" s="211">
      <c r="A23" s="13" t="inlineStr">
        <is>
          <t>The Westin Charlotte</t>
        </is>
      </c>
      <c r="B23" s="55" t="inlineStr">
        <is>
          <t>Hotel</t>
        </is>
      </c>
      <c r="C23" s="55" t="n"/>
      <c r="D23" s="16" t="inlineStr">
        <is>
          <t>601 S College St, Charlotte, NC 28202</t>
        </is>
      </c>
      <c r="E23" s="16" t="inlineStr">
        <is>
          <t>YES</t>
        </is>
      </c>
      <c r="F23" s="55" t="inlineStr">
        <is>
          <t xml:space="preserve"> (704) 375-2600</t>
        </is>
      </c>
      <c r="G23" s="55" t="inlineStr">
        <is>
          <t>Geoffrey.Cousineau
 @westin.com</t>
        </is>
      </c>
      <c r="H23" s="43" t="inlineStr">
        <is>
          <t>https://www.marriott.com/en-us/Hotels/cltcw-the-westin-charlotte/overview/?scid=f2ae0541-1279-4f24-b197-a979c79310b0</t>
        </is>
      </c>
      <c r="I23" s="31" t="n">
        <v>35</v>
      </c>
      <c r="J23" s="48" t="n">
        <v>45</v>
      </c>
      <c r="K23" s="16" t="n">
        <v>700</v>
      </c>
      <c r="L23" s="21" t="n">
        <v>0.33</v>
      </c>
      <c r="M23" s="22" t="n">
        <v>243</v>
      </c>
      <c r="N23" s="55" t="inlineStr">
        <is>
          <t xml:space="preserve">Geoffrey Cousineau
 </t>
        </is>
      </c>
      <c r="O23" s="22" t="n"/>
      <c r="P23" s="23" t="n"/>
      <c r="Q23" s="65" t="n"/>
      <c r="R23" s="31" t="inlineStr">
        <is>
          <t>LAZ</t>
        </is>
      </c>
      <c r="S23" s="55" t="inlineStr">
        <is>
          <t>Marinna.tucker@marriott.com</t>
        </is>
      </c>
      <c r="T23" s="55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</row>
    <row r="24" ht="51.75" customHeight="1" s="211">
      <c r="A24" s="13" t="inlineStr">
        <is>
          <t>Grand Bohemian Hotel</t>
        </is>
      </c>
      <c r="B24" s="58" t="inlineStr">
        <is>
          <t>Hotel</t>
        </is>
      </c>
      <c r="C24" s="58" t="n"/>
      <c r="D24" s="58" t="inlineStr">
        <is>
          <t>201 W Trade St, Charlotte, NC 28202</t>
        </is>
      </c>
      <c r="E24" s="58" t="inlineStr">
        <is>
          <t>YES</t>
        </is>
      </c>
      <c r="F24" s="58" t="inlineStr">
        <is>
          <t>(704) 372-1877</t>
        </is>
      </c>
      <c r="G24" s="58" t="inlineStr">
        <is>
          <t>hugh.templeman@kesslercollection.com</t>
        </is>
      </c>
      <c r="H24" s="59" t="inlineStr">
        <is>
          <t>https://www.kesslercollection.com/bohemian-charlotte/</t>
        </is>
      </c>
      <c r="I24" s="60" t="inlineStr">
        <is>
          <t>unknown</t>
        </is>
      </c>
      <c r="J24" s="61" t="n">
        <v>48</v>
      </c>
      <c r="K24" s="58" t="n">
        <v>254</v>
      </c>
      <c r="L24" s="62" t="n">
        <v>0.65</v>
      </c>
      <c r="M24" s="58" t="n">
        <v>122</v>
      </c>
      <c r="N24" s="58" t="inlineStr">
        <is>
          <t>Hugh Templeman</t>
        </is>
      </c>
      <c r="O24" s="58" t="n"/>
      <c r="P24" s="60" t="n"/>
      <c r="Q24" s="60" t="n"/>
      <c r="R24" s="60" t="inlineStr">
        <is>
          <t>PMC</t>
        </is>
      </c>
      <c r="S24" s="63" t="n"/>
      <c r="T24" s="63" t="inlineStr">
        <is>
          <t>Wait for new GM</t>
        </is>
      </c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</row>
    <row r="25" ht="51.75" customHeight="1" s="211">
      <c r="A25" s="13" t="inlineStr">
        <is>
          <t>JW Marriott Charlotte</t>
        </is>
      </c>
      <c r="B25" s="55" t="inlineStr">
        <is>
          <t>Hotel</t>
        </is>
      </c>
      <c r="C25" s="55" t="n"/>
      <c r="D25" s="65" t="inlineStr">
        <is>
          <t>600 S College St, Charlotte, NC 28202</t>
        </is>
      </c>
      <c r="E25" s="65" t="inlineStr">
        <is>
          <t>YES</t>
        </is>
      </c>
      <c r="F25" s="41" t="inlineStr">
        <is>
          <t>David.malmberg@whitelodging.com</t>
        </is>
      </c>
      <c r="G25" s="41" t="n"/>
      <c r="H25" s="26" t="inlineStr">
        <is>
          <t>https://www.marriott.com/en-us/Hotels/cltjw-jw-marriott-charlotte/overview/</t>
        </is>
      </c>
      <c r="I25" s="41" t="inlineStr">
        <is>
          <t>n/a</t>
        </is>
      </c>
      <c r="J25" s="42" t="n">
        <v>48</v>
      </c>
      <c r="K25" s="78" t="n">
        <v>381</v>
      </c>
      <c r="L25" s="30" t="n">
        <v>0.48</v>
      </c>
      <c r="M25" s="35" t="n">
        <v>87</v>
      </c>
      <c r="N25" s="55" t="n"/>
      <c r="O25" s="55" t="n"/>
      <c r="P25" s="31" t="n"/>
      <c r="Q25" s="65" t="n"/>
      <c r="R25" s="41" t="inlineStr">
        <is>
          <t>PMC</t>
        </is>
      </c>
      <c r="S25" s="55" t="n"/>
      <c r="T25" s="41" t="inlineStr">
        <is>
          <t>Reviews about the valet are mostly terrible.</t>
        </is>
      </c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</row>
    <row r="26" ht="51.75" customHeight="1" s="211">
      <c r="A26" s="13" t="inlineStr">
        <is>
          <t>Kimpton Tryon Park Hotel</t>
        </is>
      </c>
      <c r="B26" s="55" t="inlineStr">
        <is>
          <t>Hotel</t>
        </is>
      </c>
      <c r="C26" s="55" t="n"/>
      <c r="D26" s="16" t="inlineStr">
        <is>
          <t>303 S Church St, Charlotte, NC 28202</t>
        </is>
      </c>
      <c r="E26" s="16" t="inlineStr">
        <is>
          <t>YES</t>
        </is>
      </c>
      <c r="F26" s="16" t="inlineStr">
        <is>
          <t>7044477662 (Direct line)</t>
        </is>
      </c>
      <c r="G26" s="16" t="n"/>
      <c r="H26" s="26" t="inlineStr">
        <is>
          <t>https://www.tryonparkHotel.com/</t>
        </is>
      </c>
      <c r="I26" s="39" t="n"/>
      <c r="J26" s="81" t="n">
        <v>48</v>
      </c>
      <c r="K26" s="16" t="n">
        <v>217</v>
      </c>
      <c r="L26" s="30" t="n">
        <v>0.54</v>
      </c>
      <c r="M26" s="55" t="n">
        <v>162</v>
      </c>
      <c r="N26" s="29" t="inlineStr">
        <is>
          <t>Yvette Bullock</t>
        </is>
      </c>
      <c r="O26" s="55" t="n"/>
      <c r="P26" s="31" t="n"/>
      <c r="Q26" s="65" t="inlineStr">
        <is>
          <t>Preferred</t>
        </is>
      </c>
      <c r="R26" s="65" t="inlineStr">
        <is>
          <t>PMC</t>
        </is>
      </c>
      <c r="S26" s="55" t="n"/>
      <c r="T26" s="50" t="inlineStr">
        <is>
          <t>$30 4 hours max Valet</t>
        </is>
      </c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</row>
    <row r="27" ht="51.75" customHeight="1" s="211">
      <c r="A27" s="13" t="inlineStr">
        <is>
          <t>Charlotte Marriott City Center</t>
        </is>
      </c>
      <c r="B27" s="55" t="inlineStr">
        <is>
          <t>Hotel</t>
        </is>
      </c>
      <c r="C27" s="55" t="n"/>
      <c r="D27" s="16" t="inlineStr">
        <is>
          <t>100 W Trade St, Charlotte, NC 28202</t>
        </is>
      </c>
      <c r="E27" s="16" t="inlineStr">
        <is>
          <t>YES</t>
        </is>
      </c>
      <c r="F27" s="16" t="n"/>
      <c r="G27" s="16" t="inlineStr">
        <is>
          <t>Annette.Crispin@marriott.com</t>
        </is>
      </c>
      <c r="H27" s="66" t="inlineStr">
        <is>
          <t>https://www.marriott.com/en-us/Hotels/cltcc-charlotte-marriott-city-center/overview/?scid=f2ae0541-1279-4f24-b197-a979c79310b0</t>
        </is>
      </c>
      <c r="I27" s="39" t="n"/>
      <c r="J27" s="81" t="n">
        <v>48</v>
      </c>
      <c r="K27" s="22" t="n">
        <v>440</v>
      </c>
      <c r="L27" s="30" t="n">
        <v>0.4</v>
      </c>
      <c r="M27" s="35" t="n">
        <v>181</v>
      </c>
      <c r="N27" s="16" t="inlineStr">
        <is>
          <t>Annette Crispin</t>
        </is>
      </c>
      <c r="O27" s="55" t="n"/>
      <c r="P27" s="31" t="n"/>
      <c r="Q27" s="65" t="n"/>
      <c r="R27" s="65" t="inlineStr">
        <is>
          <t>PMC</t>
        </is>
      </c>
      <c r="S27" s="55" t="n"/>
      <c r="T27" s="50" t="inlineStr">
        <is>
          <t>poor reviews</t>
        </is>
      </c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</row>
    <row r="28" ht="51.75" customHeight="1" s="211">
      <c r="A28" s="13" t="inlineStr">
        <is>
          <t>Ritz Carlton</t>
        </is>
      </c>
      <c r="B28" s="55" t="inlineStr">
        <is>
          <t>Hotel</t>
        </is>
      </c>
      <c r="C28" s="55" t="n"/>
      <c r="D28" s="16" t="inlineStr">
        <is>
          <t>201 E Trade St, Charlotte, NC 28202</t>
        </is>
      </c>
      <c r="E28" s="16" t="inlineStr">
        <is>
          <t>YES</t>
        </is>
      </c>
      <c r="F28" s="29" t="inlineStr">
        <is>
          <t>Karen.Ayad@Ritzcarlton.com</t>
        </is>
      </c>
      <c r="G28" s="29" t="n"/>
      <c r="H28" s="43" t="inlineStr">
        <is>
          <t>https://www.ritzcarlton.com/en/Hotels/cltrz-the-ritz-carlton-charlotte/overview/</t>
        </is>
      </c>
      <c r="I28" s="23" t="n"/>
      <c r="J28" s="45" t="n">
        <v>50</v>
      </c>
      <c r="K28" s="29" t="n">
        <v>146</v>
      </c>
      <c r="L28" s="21" t="n">
        <v>0.52</v>
      </c>
      <c r="M28" s="22" t="n">
        <v>48</v>
      </c>
      <c r="N28" s="22" t="n"/>
      <c r="O28" s="22" t="n"/>
      <c r="P28" s="23" t="n"/>
      <c r="Q28" s="65" t="n"/>
      <c r="R28" s="44" t="inlineStr">
        <is>
          <t>In House</t>
        </is>
      </c>
      <c r="S28" s="55" t="n"/>
      <c r="T28" s="55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</row>
    <row r="29" ht="51.75" customHeight="1" s="211">
      <c r="A29" s="13" t="inlineStr">
        <is>
          <t>Kasa FreeMoreWest Charlotte</t>
        </is>
      </c>
      <c r="B29" s="55" t="inlineStr">
        <is>
          <t>Hotel</t>
        </is>
      </c>
      <c r="C29" s="55" t="n"/>
      <c r="D29" s="68" t="inlineStr">
        <is>
          <t>2109 Morton St, Charlotte, NC 28208</t>
        </is>
      </c>
      <c r="E29" s="68" t="inlineStr">
        <is>
          <t>South End</t>
        </is>
      </c>
      <c r="F29" s="22" t="inlineStr">
        <is>
          <t>(704) 368-4082</t>
        </is>
      </c>
      <c r="G29" s="22" t="n"/>
      <c r="H29" s="69" t="inlineStr">
        <is>
          <t>https://kasa.com/properties/kasa-freemorewest-charlotte?utm_source=Google&amp;utm_medium=nonpaid&amp;utm_campaign=GMB&amp;utm_term=VisitHotelWebsiteButton&amp;utm_content=BRY&amp;propertyType=&amp;petsAllowed=&amp;parking&amp;bedCount=1&amp;bedroomCount=0&amp;bathroomCount=1&amp;amenities=&amp;adultGuestCount=1&amp;childGuestCount=0&amp;infantGuestCount=0&amp;travelingForBusiness=false</t>
        </is>
      </c>
      <c r="I29" s="23" t="n"/>
      <c r="J29" s="56" t="n"/>
      <c r="K29" s="22" t="n"/>
      <c r="L29" s="21" t="n"/>
      <c r="M29" s="22" t="n"/>
      <c r="N29" s="22" t="n"/>
      <c r="O29" s="22" t="n"/>
      <c r="P29" s="23" t="n"/>
      <c r="Q29" s="65" t="n"/>
      <c r="R29" s="65" t="n"/>
      <c r="S29" s="55" t="n"/>
      <c r="T29" s="55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</row>
    <row r="30" ht="51.75" customHeight="1" s="211">
      <c r="A30" s="13" t="inlineStr">
        <is>
          <t>Canopy by Hilton Charlotte Southpark</t>
        </is>
      </c>
      <c r="B30" s="47" t="inlineStr">
        <is>
          <t>Hotel</t>
        </is>
      </c>
      <c r="C30" s="55" t="n"/>
      <c r="D30" s="71" t="inlineStr">
        <is>
          <t>4905 Barclay Downs Dr, Charlotte, NC 28210</t>
        </is>
      </c>
      <c r="E30" s="71" t="inlineStr">
        <is>
          <t>NO</t>
        </is>
      </c>
      <c r="F30" s="22" t="inlineStr">
        <is>
          <t>704-552-1715</t>
        </is>
      </c>
      <c r="G30" s="22" t="inlineStr">
        <is>
          <t>Gary.colbert@hilton.com, kerisha2113@gmail.com</t>
        </is>
      </c>
      <c r="H30" s="31" t="n"/>
      <c r="I30" s="23" t="n">
        <v>15</v>
      </c>
      <c r="J30" s="56" t="n"/>
      <c r="K30" s="22" t="n"/>
      <c r="L30" s="22" t="n"/>
      <c r="M30" s="22" t="n"/>
      <c r="N30" s="22" t="inlineStr">
        <is>
          <t>Gary Colbert</t>
        </is>
      </c>
      <c r="O30" s="22" t="n"/>
      <c r="P30" s="23" t="n"/>
      <c r="Q30" s="65" t="n"/>
      <c r="R30" s="65" t="n"/>
      <c r="S30" s="55" t="inlineStr">
        <is>
          <t>Left a voicemail and emailed, they used to have valet and are in talks about bringing it back</t>
        </is>
      </c>
      <c r="T30" s="55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</row>
    <row r="31" ht="51.75" customHeight="1" s="211">
      <c r="A31" s="13" t="inlineStr">
        <is>
          <t>Courtyard by Marriott Charlotte SouthPark</t>
        </is>
      </c>
      <c r="B31" s="47" t="inlineStr">
        <is>
          <t>Hotel</t>
        </is>
      </c>
      <c r="C31" s="55">
        <f>'Sales Candence'!B75</f>
        <v/>
      </c>
      <c r="D31" s="71" t="n"/>
      <c r="E31" s="71" t="inlineStr">
        <is>
          <t>NO</t>
        </is>
      </c>
      <c r="F31" s="22" t="inlineStr">
        <is>
          <t>704-552-7333</t>
        </is>
      </c>
      <c r="G31" s="22" t="n"/>
      <c r="H31" s="31" t="n"/>
      <c r="I31" s="23" t="n">
        <v>10</v>
      </c>
      <c r="J31" s="56" t="n"/>
      <c r="K31" s="22" t="n"/>
      <c r="L31" s="22" t="n"/>
      <c r="M31" s="22" t="n"/>
      <c r="N31" s="22" t="inlineStr">
        <is>
          <t>Matthew Wilhelm</t>
        </is>
      </c>
      <c r="O31" s="22" t="n"/>
      <c r="P31" s="23" t="n"/>
      <c r="Q31" s="65" t="n"/>
      <c r="R31" s="65" t="n"/>
      <c r="S31" s="55" t="inlineStr">
        <is>
          <t>not interested at this time, thanked me for introducing myself</t>
        </is>
      </c>
      <c r="T31" s="55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</row>
    <row r="32" ht="51.75" customHeight="1" s="211">
      <c r="A32" s="13" t="inlineStr">
        <is>
          <t>Residence Inn by Marriott Charlotte SouthPark</t>
        </is>
      </c>
      <c r="B32" s="55" t="inlineStr">
        <is>
          <t>Hotel</t>
        </is>
      </c>
      <c r="C32" s="55">
        <f>'Sales Candence'!B76</f>
        <v/>
      </c>
      <c r="D32" s="71" t="inlineStr">
        <is>
          <t>6030 Piedmont Row Dr S, Charlotte, NC 28210</t>
        </is>
      </c>
      <c r="E32" s="71" t="inlineStr">
        <is>
          <t>NO</t>
        </is>
      </c>
      <c r="F32" s="22" t="inlineStr">
        <is>
          <t>704-554-7001</t>
        </is>
      </c>
      <c r="G32" s="22" t="n"/>
      <c r="H32" s="31" t="n"/>
      <c r="I32" s="23" t="n">
        <v>10</v>
      </c>
      <c r="J32" s="56" t="n"/>
      <c r="K32" s="22" t="n"/>
      <c r="L32" s="72" t="n"/>
      <c r="M32" s="72" t="n"/>
      <c r="N32" s="73" t="n"/>
      <c r="O32" s="72" t="n"/>
      <c r="P32" s="23" t="n"/>
      <c r="Q32" s="65" t="n"/>
      <c r="R32" s="65" t="n"/>
      <c r="S32" s="55" t="inlineStr">
        <is>
          <t>Couldn't get past front desk</t>
        </is>
      </c>
      <c r="T32" s="55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</row>
    <row r="33" ht="51.75" customHeight="1" s="211">
      <c r="A33" s="13" t="inlineStr">
        <is>
          <t>Renaissance Charlotte SouthPark Hotel</t>
        </is>
      </c>
      <c r="B33" s="55" t="inlineStr">
        <is>
          <t>Hotel</t>
        </is>
      </c>
      <c r="C33" s="55">
        <f>'Sales Candence'!B77</f>
        <v/>
      </c>
      <c r="D33" s="71" t="inlineStr">
        <is>
          <t>5501 Carnegie Blvd, Charlotte, NC 28209</t>
        </is>
      </c>
      <c r="E33" s="71" t="inlineStr">
        <is>
          <t>NO</t>
        </is>
      </c>
      <c r="F33" s="22" t="inlineStr">
        <is>
          <t>704-364-8220</t>
        </is>
      </c>
      <c r="G33" s="22" t="n"/>
      <c r="H33" s="31" t="n"/>
      <c r="I33" s="23" t="inlineStr">
        <is>
          <t>free</t>
        </is>
      </c>
      <c r="J33" s="56" t="n"/>
      <c r="K33" s="22" t="n"/>
      <c r="L33" s="22" t="n"/>
      <c r="M33" s="22" t="n"/>
      <c r="N33" s="22" t="inlineStr">
        <is>
          <t>James Gratton, area GM 3x hotels</t>
        </is>
      </c>
      <c r="O33" s="22" t="n"/>
      <c r="P33" s="23" t="n"/>
      <c r="Q33" s="65" t="n"/>
      <c r="R33" s="65" t="n"/>
      <c r="S33" s="55" t="inlineStr">
        <is>
          <t>Called got james email, goes by jim supposedly, sent him an email. no paid parking at 3 locaitons when all rest of hotels in area are charging</t>
        </is>
      </c>
      <c r="T33" s="55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</row>
    <row r="34" ht="51.75" customHeight="1" s="211">
      <c r="A34" s="13" t="inlineStr">
        <is>
          <t>Charlotte Marriott SouthPark</t>
        </is>
      </c>
      <c r="B34" s="55" t="inlineStr">
        <is>
          <t>Hotel</t>
        </is>
      </c>
      <c r="C34" s="55">
        <f>'Sales Candence'!B78</f>
        <v/>
      </c>
      <c r="D34" s="71" t="inlineStr">
        <is>
          <t>2200 Rexford Rd, Charlotte, NC 28211</t>
        </is>
      </c>
      <c r="E34" s="71" t="inlineStr">
        <is>
          <t>NO</t>
        </is>
      </c>
      <c r="F34" s="22" t="n"/>
      <c r="G34" s="22" t="n"/>
      <c r="H34" s="31" t="n"/>
      <c r="I34" s="23" t="inlineStr">
        <is>
          <t>free</t>
        </is>
      </c>
      <c r="J34" s="56" t="n"/>
      <c r="K34" s="22" t="n"/>
      <c r="L34" s="22" t="n"/>
      <c r="M34" s="22" t="n"/>
      <c r="N34" s="22" t="inlineStr">
        <is>
          <t>James Gratton, area GM 3x hotels</t>
        </is>
      </c>
      <c r="O34" s="22" t="n"/>
      <c r="P34" s="23" t="n"/>
      <c r="Q34" s="65" t="n"/>
      <c r="R34" s="65" t="n"/>
      <c r="S34" s="55" t="n"/>
      <c r="T34" s="55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</row>
    <row r="35" ht="51.75" customHeight="1" s="211">
      <c r="A35" s="13" t="inlineStr">
        <is>
          <t>AC Hotel Charlotte SouthPark</t>
        </is>
      </c>
      <c r="B35" s="55" t="inlineStr">
        <is>
          <t>Hotel</t>
        </is>
      </c>
      <c r="C35" s="55">
        <f>'Sales Candence'!B79</f>
        <v/>
      </c>
      <c r="D35" s="71" t="inlineStr">
        <is>
          <t>1824 Roxborough Rd, Charlotte, NC 28211</t>
        </is>
      </c>
      <c r="E35" s="71" t="inlineStr">
        <is>
          <t>NO</t>
        </is>
      </c>
      <c r="F35" s="22" t="n"/>
      <c r="G35" s="22" t="inlineStr">
        <is>
          <t>jim.gratton@marriott.com</t>
        </is>
      </c>
      <c r="H35" s="31" t="n"/>
      <c r="I35" s="23" t="inlineStr">
        <is>
          <t>free</t>
        </is>
      </c>
      <c r="J35" s="56" t="n"/>
      <c r="K35" s="22" t="n"/>
      <c r="L35" s="22" t="n"/>
      <c r="M35" s="22" t="n"/>
      <c r="N35" s="22" t="inlineStr">
        <is>
          <t>James Gratton, area GM 3x hotels</t>
        </is>
      </c>
      <c r="O35" s="73" t="n"/>
      <c r="P35" s="23" t="n"/>
      <c r="Q35" s="65" t="n"/>
      <c r="R35" s="65" t="n"/>
      <c r="S35" s="55" t="n"/>
      <c r="T35" s="55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</row>
    <row r="36" ht="51.75" customHeight="1" s="211">
      <c r="A36" s="13" t="inlineStr">
        <is>
          <t>Hyatt Centric Charlotte SouthPark</t>
        </is>
      </c>
      <c r="B36" s="55" t="inlineStr">
        <is>
          <t>Hotel</t>
        </is>
      </c>
      <c r="C36" s="55">
        <f>'Sales Candence'!B80</f>
        <v/>
      </c>
      <c r="D36" s="71" t="inlineStr">
        <is>
          <t>3100 Apex Dr, Charlotte, NC 28211</t>
        </is>
      </c>
      <c r="E36" s="71" t="inlineStr">
        <is>
          <t>NO</t>
        </is>
      </c>
      <c r="F36" s="22">
        <f>19802997123</f>
        <v/>
      </c>
      <c r="G36" s="22" t="n"/>
      <c r="H36" s="31" t="n"/>
      <c r="I36" s="23" t="n">
        <v>10</v>
      </c>
      <c r="J36" s="56" t="n"/>
      <c r="K36" s="22" t="n"/>
      <c r="L36" s="22" t="n"/>
      <c r="M36" s="22" t="n"/>
      <c r="N36" s="22" t="n"/>
      <c r="O36" s="22" t="n"/>
      <c r="P36" s="23" t="n"/>
      <c r="Q36" s="65" t="n"/>
      <c r="R36" s="65" t="n"/>
      <c r="S36" s="55" t="n"/>
      <c r="T36" s="55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</row>
    <row r="37" ht="51.75" customHeight="1" s="211">
      <c r="A37" s="13" t="inlineStr">
        <is>
          <t>Homewood Suites by Hilton Charlotte/SouthPark</t>
        </is>
      </c>
      <c r="B37" s="55" t="inlineStr">
        <is>
          <t>Hotel</t>
        </is>
      </c>
      <c r="C37" s="55">
        <f>'Sales Candence'!B81</f>
        <v/>
      </c>
      <c r="D37" s="71" t="inlineStr">
        <is>
          <t>4808 Sharon Rd, Charlotte, NC 28210</t>
        </is>
      </c>
      <c r="E37" s="71" t="inlineStr">
        <is>
          <t>NO</t>
        </is>
      </c>
      <c r="F37" s="22">
        <f>17044424050</f>
        <v/>
      </c>
      <c r="G37" s="22" t="inlineStr">
        <is>
          <t>hgihws@chartwellhospitality.com</t>
        </is>
      </c>
      <c r="H37" s="31" t="n"/>
      <c r="I37" s="23" t="n">
        <v>10</v>
      </c>
      <c r="J37" s="56" t="n"/>
      <c r="K37" s="22" t="n"/>
      <c r="L37" s="22" t="n"/>
      <c r="M37" s="22" t="n"/>
      <c r="N37" s="22" t="n"/>
      <c r="O37" s="22" t="n"/>
      <c r="P37" s="23" t="n"/>
      <c r="Q37" s="65" t="n"/>
      <c r="R37" s="65" t="n"/>
      <c r="S37" s="55" t="n"/>
      <c r="T37" s="55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</row>
    <row r="38" ht="51.75" customHeight="1" s="211">
      <c r="A38" s="13" t="inlineStr">
        <is>
          <t>DoubleTree Suites by Hilton Hotel Charlotte - SouthPark</t>
        </is>
      </c>
      <c r="B38" s="55" t="inlineStr">
        <is>
          <t>Hotel</t>
        </is>
      </c>
      <c r="C38" s="55">
        <f>'Sales Candence'!B82</f>
        <v/>
      </c>
      <c r="D38" s="71" t="inlineStr">
        <is>
          <t>6300 Carnegie Blvd, Charlotte, NC 28211</t>
        </is>
      </c>
      <c r="E38" s="71" t="inlineStr">
        <is>
          <t>NO</t>
        </is>
      </c>
      <c r="F38" s="22" t="n"/>
      <c r="G38" s="22" t="n"/>
      <c r="H38" s="31" t="n"/>
      <c r="I38" s="23" t="n">
        <v>10</v>
      </c>
      <c r="J38" s="56" t="n"/>
      <c r="K38" s="22" t="n"/>
      <c r="L38" s="72" t="n"/>
      <c r="M38" s="72" t="n"/>
      <c r="N38" s="22" t="n"/>
      <c r="O38" s="72" t="n"/>
      <c r="P38" s="23" t="n"/>
      <c r="Q38" s="65" t="n"/>
      <c r="R38" s="65" t="n"/>
      <c r="S38" s="55" t="n"/>
      <c r="T38" s="55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</row>
    <row r="39" ht="51.75" customHeight="1" s="211">
      <c r="A39" s="13" t="inlineStr">
        <is>
          <t>UNC Charlotte Marriott Hotel &amp; Conference Center</t>
        </is>
      </c>
      <c r="B39" s="55" t="inlineStr">
        <is>
          <t>Hotel</t>
        </is>
      </c>
      <c r="C39" s="55">
        <f>'Sales Candence'!B83</f>
        <v/>
      </c>
      <c r="D39" s="71" t="inlineStr">
        <is>
          <t>9041 Robert D. Snyder Rd, Charlotte, NC 28262</t>
        </is>
      </c>
      <c r="E39" s="71" t="inlineStr">
        <is>
          <t>NO</t>
        </is>
      </c>
      <c r="F39" s="22">
        <f>17049788000</f>
        <v/>
      </c>
      <c r="G39" s="22" t="inlineStr">
        <is>
          <t>Thomas.Caramucci@unccharlottemarriott.com</t>
        </is>
      </c>
      <c r="H39" s="31" t="n"/>
      <c r="I39" s="23" t="n"/>
      <c r="J39" s="56" t="n">
        <v>31</v>
      </c>
      <c r="K39" s="72" t="n"/>
      <c r="L39" s="22" t="n"/>
      <c r="M39" s="72" t="n"/>
      <c r="N39" s="22" t="inlineStr">
        <is>
          <t>Thomas Caramucci</t>
        </is>
      </c>
      <c r="O39" s="22" t="n"/>
      <c r="P39" s="23" t="n"/>
      <c r="Q39" s="65" t="n"/>
      <c r="R39" s="65" t="n"/>
      <c r="S39" s="55" t="n"/>
      <c r="T39" s="55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</row>
    <row r="40" ht="51.75" customHeight="1" s="211">
      <c r="A40" s="74" t="inlineStr">
        <is>
          <t>Steak 48</t>
        </is>
      </c>
      <c r="B40" s="55" t="inlineStr">
        <is>
          <t>Restaurant</t>
        </is>
      </c>
      <c r="C40" s="55" t="n"/>
      <c r="D40" s="16" t="inlineStr">
        <is>
          <t>4425 Sharon Rd, Charlotte, NC 28211</t>
        </is>
      </c>
      <c r="E40" s="16" t="inlineStr">
        <is>
          <t>NO</t>
        </is>
      </c>
      <c r="F40" s="16" t="inlineStr">
        <is>
          <t>(704) 996-5586</t>
        </is>
      </c>
      <c r="G40" s="16" t="n"/>
      <c r="H40" s="65" t="n"/>
      <c r="I40" s="16" t="n">
        <v>0</v>
      </c>
      <c r="J40" s="81" t="n">
        <v>7</v>
      </c>
      <c r="K40" s="55" t="n"/>
      <c r="L40" s="29" t="n"/>
      <c r="M40" s="55" t="n"/>
      <c r="N40" s="16" t="inlineStr">
        <is>
          <t xml:space="preserve">Katie Kathman </t>
        </is>
      </c>
      <c r="O40" s="29" t="n"/>
      <c r="P40" s="29" t="n"/>
      <c r="Q40" s="65" t="n"/>
      <c r="R40" s="77" t="n"/>
      <c r="S40" s="55" t="n"/>
      <c r="T40" s="76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</row>
    <row r="41" ht="51.75" customHeight="1" s="211">
      <c r="A41" s="74" t="inlineStr">
        <is>
          <t>The Capital Grille</t>
        </is>
      </c>
      <c r="B41" s="55" t="inlineStr">
        <is>
          <t>Restaurant</t>
        </is>
      </c>
      <c r="C41" s="55" t="n"/>
      <c r="D41" s="16" t="inlineStr">
        <is>
          <t>201 N Tryon St, Charlotte, NC 28202</t>
        </is>
      </c>
      <c r="E41" s="16" t="inlineStr">
        <is>
          <t>YES</t>
        </is>
      </c>
      <c r="F41" s="16" t="inlineStr">
        <is>
          <t>(617) 293-9284</t>
        </is>
      </c>
      <c r="G41" s="16" t="n"/>
      <c r="H41" s="31" t="n"/>
      <c r="I41" s="65" t="n">
        <v>11</v>
      </c>
      <c r="J41" s="81" t="n">
        <v>11</v>
      </c>
      <c r="K41" s="29" t="n"/>
      <c r="L41" s="29" t="n"/>
      <c r="M41" s="29" t="n"/>
      <c r="N41" s="29" t="inlineStr">
        <is>
          <t>Armin</t>
        </is>
      </c>
      <c r="O41" s="29" t="n"/>
      <c r="P41" s="44" t="n"/>
      <c r="Q41" s="65" t="n"/>
      <c r="R41" s="65" t="inlineStr">
        <is>
          <t>SOPHI</t>
        </is>
      </c>
      <c r="S41" s="55" t="n"/>
      <c r="T41" s="55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</row>
    <row r="42" ht="51.75" customHeight="1" s="211">
      <c r="A42" s="74" t="inlineStr">
        <is>
          <t xml:space="preserve">Morton's Steakhouse </t>
        </is>
      </c>
      <c r="B42" s="55" t="inlineStr">
        <is>
          <t>Restaurant</t>
        </is>
      </c>
      <c r="C42" s="55" t="n"/>
      <c r="D42" s="16" t="inlineStr">
        <is>
          <t>227 W Trade St Suite 150, Charlotte, NC 28202</t>
        </is>
      </c>
      <c r="E42" s="16" t="inlineStr">
        <is>
          <t>YES</t>
        </is>
      </c>
      <c r="F42" s="16" t="n"/>
      <c r="G42" s="16" t="n"/>
      <c r="H42" s="65" t="n"/>
      <c r="I42" s="77" t="n">
        <v>17</v>
      </c>
      <c r="J42" s="81" t="n">
        <v>15</v>
      </c>
      <c r="K42" s="35" t="n"/>
      <c r="L42" s="35" t="n"/>
      <c r="M42" s="35" t="n"/>
      <c r="N42" s="78" t="inlineStr">
        <is>
          <t>Joan</t>
        </is>
      </c>
      <c r="O42" s="35" t="n"/>
      <c r="P42" s="31" t="n"/>
      <c r="Q42" s="65" t="n"/>
      <c r="R42" s="65" t="inlineStr">
        <is>
          <t>Park Inc</t>
        </is>
      </c>
      <c r="S42" s="55" t="n"/>
      <c r="T42" s="16" t="inlineStr">
        <is>
          <t>Valet only operating on Friday and Saturday</t>
        </is>
      </c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</row>
    <row r="43" ht="51.75" customHeight="1" s="211">
      <c r="A43" s="74" t="inlineStr">
        <is>
          <t>Church and Union</t>
        </is>
      </c>
      <c r="B43" s="55" t="inlineStr">
        <is>
          <t>Restaurant</t>
        </is>
      </c>
      <c r="C43" s="55" t="n"/>
      <c r="D43" s="16" t="inlineStr">
        <is>
          <t>127 N Tryon St #8, Charlotte, NC 28202</t>
        </is>
      </c>
      <c r="E43" s="16" t="inlineStr">
        <is>
          <t>YES</t>
        </is>
      </c>
      <c r="F43" s="16" t="inlineStr">
        <is>
          <t>4077330464. pressley@churchandunion.com</t>
        </is>
      </c>
      <c r="G43" s="16" t="n"/>
      <c r="H43" s="31" t="n"/>
      <c r="I43" s="77" t="n">
        <v>10</v>
      </c>
      <c r="J43" s="81" t="n">
        <v>15</v>
      </c>
      <c r="K43" s="29" t="n"/>
      <c r="L43" s="29" t="n"/>
      <c r="M43" s="29" t="n"/>
      <c r="N43" s="16" t="inlineStr">
        <is>
          <t>Matthew Pressley</t>
        </is>
      </c>
      <c r="O43" s="29" t="n"/>
      <c r="P43" s="44" t="n"/>
      <c r="Q43" s="65" t="n"/>
      <c r="R43" s="65" t="inlineStr">
        <is>
          <t>Park Inc</t>
        </is>
      </c>
      <c r="S43" s="55" t="n"/>
      <c r="T43" s="76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</row>
    <row r="44" ht="51.75" customHeight="1" s="211">
      <c r="A44" s="74" t="inlineStr">
        <is>
          <t>Fahrenheit CLT</t>
        </is>
      </c>
      <c r="B44" s="55" t="inlineStr">
        <is>
          <t>Restaurant</t>
        </is>
      </c>
      <c r="C44" s="55" t="n"/>
      <c r="D44" s="16" t="inlineStr">
        <is>
          <t>222 S Caldwell St 21st Floor, Charlotte, NC 28202</t>
        </is>
      </c>
      <c r="E44" s="16" t="inlineStr">
        <is>
          <t>YES</t>
        </is>
      </c>
      <c r="F44" s="16" t="n"/>
      <c r="G44" s="16" t="n"/>
      <c r="H44" s="31" t="n"/>
      <c r="I44" s="77" t="n">
        <v>15</v>
      </c>
      <c r="J44" s="81" t="n">
        <v>17</v>
      </c>
      <c r="K44" s="29" t="n"/>
      <c r="L44" s="29" t="n"/>
      <c r="M44" s="29" t="n"/>
      <c r="N44" s="29" t="n"/>
      <c r="O44" s="29" t="n"/>
      <c r="P44" s="44" t="n"/>
      <c r="Q44" s="65" t="n"/>
      <c r="R44" s="65" t="inlineStr">
        <is>
          <t>Park Inc</t>
        </is>
      </c>
      <c r="S44" s="55" t="n"/>
      <c r="T44" s="79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</row>
    <row r="45" ht="51.75" customHeight="1" s="211">
      <c r="A45" s="74" t="inlineStr">
        <is>
          <t>STK Steakhouse</t>
        </is>
      </c>
      <c r="B45" s="55" t="inlineStr">
        <is>
          <t>Restaurant</t>
        </is>
      </c>
      <c r="C45" s="55" t="n"/>
      <c r="D45" s="16" t="inlineStr">
        <is>
          <t>201 S. College St, Charlotte, NC 28202</t>
        </is>
      </c>
      <c r="E45" s="16" t="inlineStr">
        <is>
          <t>YES</t>
        </is>
      </c>
      <c r="F45" s="16" t="n"/>
      <c r="G45" s="16" t="n"/>
      <c r="H45" s="31" t="n"/>
      <c r="I45" s="77" t="n">
        <v>17</v>
      </c>
      <c r="J45" s="81" t="n">
        <v>17</v>
      </c>
      <c r="K45" s="29" t="n"/>
      <c r="L45" s="29" t="n"/>
      <c r="M45" s="29" t="n"/>
      <c r="N45" s="29" t="inlineStr">
        <is>
          <t>Vanessa Batista</t>
        </is>
      </c>
      <c r="O45" s="29" t="n"/>
      <c r="P45" s="44" t="n"/>
      <c r="Q45" s="65" t="n"/>
      <c r="R45" s="65" t="inlineStr">
        <is>
          <t>SOPHI</t>
        </is>
      </c>
      <c r="S45" s="55" t="n"/>
      <c r="T45" s="55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</row>
    <row r="46" ht="51.75" customHeight="1" s="211">
      <c r="A46" s="74" t="inlineStr">
        <is>
          <t>La Belle</t>
        </is>
      </c>
      <c r="B46" s="55" t="inlineStr">
        <is>
          <t>Restaurant</t>
        </is>
      </c>
      <c r="C46" s="55" t="n"/>
      <c r="D46" s="16" t="inlineStr">
        <is>
          <t>300 S Tryon St Suite 100, Charlotte, NC 28202</t>
        </is>
      </c>
      <c r="E46" s="16" t="inlineStr">
        <is>
          <t>YES</t>
        </is>
      </c>
      <c r="F46" s="16" t="inlineStr">
        <is>
          <t>(980) 345-7867</t>
        </is>
      </c>
      <c r="G46" s="16" t="n"/>
      <c r="H46" s="31" t="n"/>
      <c r="I46" s="65" t="n">
        <v>20</v>
      </c>
      <c r="J46" s="81" t="inlineStr">
        <is>
          <t>N/A</t>
        </is>
      </c>
      <c r="K46" s="29" t="n"/>
      <c r="L46" s="29" t="n"/>
      <c r="M46" s="29" t="n"/>
      <c r="N46" s="16" t="inlineStr">
        <is>
          <t>Chelsea Ball</t>
        </is>
      </c>
      <c r="O46" s="29" t="n"/>
      <c r="P46" s="44" t="n"/>
      <c r="Q46" s="65" t="n"/>
      <c r="R46" s="65" t="inlineStr">
        <is>
          <t>None</t>
        </is>
      </c>
      <c r="S46" s="55" t="n"/>
      <c r="T46" s="76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</row>
    <row r="47" ht="51.75" customHeight="1" s="211">
      <c r="A47" s="74" t="inlineStr">
        <is>
          <t>Cajun Queen</t>
        </is>
      </c>
      <c r="B47" s="55" t="inlineStr">
        <is>
          <t>Restaurant</t>
        </is>
      </c>
      <c r="C47" s="55" t="n"/>
      <c r="D47" s="16" t="inlineStr">
        <is>
          <t>1800 E 7th St, Charlotte, NC 28204</t>
        </is>
      </c>
      <c r="E47" s="16" t="inlineStr">
        <is>
          <t>YES</t>
        </is>
      </c>
      <c r="F47" s="79" t="n"/>
      <c r="G47" s="79" t="n"/>
      <c r="H47" s="65" t="n"/>
      <c r="I47" s="65" t="inlineStr">
        <is>
          <t>N/A</t>
        </is>
      </c>
      <c r="J47" s="81" t="inlineStr">
        <is>
          <t>N/A</t>
        </is>
      </c>
      <c r="K47" s="55" t="n"/>
      <c r="L47" s="55" t="n"/>
      <c r="M47" s="55" t="n"/>
      <c r="N47" s="79" t="n"/>
      <c r="O47" s="55" t="n"/>
      <c r="P47" s="29" t="n"/>
      <c r="Q47" s="65" t="n"/>
      <c r="R47" s="65" t="inlineStr">
        <is>
          <t>Park Inc</t>
        </is>
      </c>
      <c r="S47" s="55" t="n"/>
      <c r="T47" s="76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</row>
    <row r="48" ht="51.75" customHeight="1" s="211">
      <c r="A48" s="74" t="inlineStr">
        <is>
          <t>Bernardin's Restaurant At Ratcliffe</t>
        </is>
      </c>
      <c r="B48" s="55" t="inlineStr">
        <is>
          <t>Restaurant</t>
        </is>
      </c>
      <c r="C48" s="55" t="n"/>
      <c r="D48" s="16" t="inlineStr">
        <is>
          <t xml:space="preserve"> 435 S Tryon St Ste 100, Charlotte, NC 28202</t>
        </is>
      </c>
      <c r="E48" s="16" t="inlineStr">
        <is>
          <t>YES</t>
        </is>
      </c>
      <c r="F48" s="16" t="inlineStr">
        <is>
          <t>(704) 332-3188  No email available</t>
        </is>
      </c>
      <c r="G48" s="16" t="n"/>
      <c r="H48" s="65" t="n"/>
      <c r="I48" s="65" t="inlineStr">
        <is>
          <t>validated</t>
        </is>
      </c>
      <c r="J48" s="81" t="inlineStr">
        <is>
          <t>N/A</t>
        </is>
      </c>
      <c r="K48" s="55" t="n"/>
      <c r="L48" s="55" t="n"/>
      <c r="M48" s="55" t="n"/>
      <c r="N48" s="16" t="inlineStr">
        <is>
          <t>James Allen Walker</t>
        </is>
      </c>
      <c r="O48" s="55" t="n"/>
      <c r="P48" s="31" t="n"/>
      <c r="Q48" s="80" t="n"/>
      <c r="R48" s="65" t="inlineStr">
        <is>
          <t>None</t>
        </is>
      </c>
      <c r="S48" s="55" t="n"/>
      <c r="T48" s="16" t="inlineStr">
        <is>
          <t>only validate for 1 1/2 hours</t>
        </is>
      </c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</row>
    <row r="49" ht="51.75" customHeight="1" s="211">
      <c r="A49" s="74" t="inlineStr">
        <is>
          <t>Basil</t>
        </is>
      </c>
      <c r="B49" s="55" t="inlineStr">
        <is>
          <t>Restaurant</t>
        </is>
      </c>
      <c r="C49" s="55" t="n"/>
      <c r="D49" s="16" t="inlineStr">
        <is>
          <t>210 N Church St, Charlotte, NC 28202</t>
        </is>
      </c>
      <c r="E49" s="16" t="inlineStr">
        <is>
          <t>YES</t>
        </is>
      </c>
      <c r="F49" s="79" t="n"/>
      <c r="G49" s="79" t="n"/>
      <c r="H49" s="65" t="n"/>
      <c r="I49" s="65" t="n">
        <v>15</v>
      </c>
      <c r="J49" s="81" t="inlineStr">
        <is>
          <t>N/A</t>
        </is>
      </c>
      <c r="K49" s="55" t="n"/>
      <c r="L49" s="29" t="n"/>
      <c r="M49" s="55" t="n"/>
      <c r="N49" s="79" t="n"/>
      <c r="O49" s="29" t="n"/>
      <c r="P49" s="31" t="n"/>
      <c r="Q49" s="65" t="n"/>
      <c r="R49" s="65" t="inlineStr">
        <is>
          <t>None</t>
        </is>
      </c>
      <c r="S49" s="55" t="n"/>
      <c r="T49" s="76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</row>
    <row r="50" ht="51.75" customHeight="1" s="211">
      <c r="A50" s="74" t="inlineStr">
        <is>
          <t>Haymaker</t>
        </is>
      </c>
      <c r="B50" s="55" t="inlineStr">
        <is>
          <t>Restaurant</t>
        </is>
      </c>
      <c r="C50" s="55" t="n"/>
      <c r="D50" s="16" t="inlineStr">
        <is>
          <t>225 S Poplar St, Charlotte, NC 28202</t>
        </is>
      </c>
      <c r="E50" s="16" t="inlineStr">
        <is>
          <t>YES</t>
        </is>
      </c>
      <c r="F50" s="16" t="inlineStr">
        <is>
          <t>jacque@haymakerclt.com</t>
        </is>
      </c>
      <c r="G50" s="16" t="n"/>
      <c r="H50" s="65" t="n"/>
      <c r="I50" s="65" t="inlineStr">
        <is>
          <t>Closed</t>
        </is>
      </c>
      <c r="J50" s="81" t="inlineStr">
        <is>
          <t>N?A</t>
        </is>
      </c>
      <c r="K50" s="35" t="n"/>
      <c r="L50" s="35" t="n"/>
      <c r="M50" s="35" t="n"/>
      <c r="N50" s="78" t="inlineStr">
        <is>
          <t>Jacque</t>
        </is>
      </c>
      <c r="O50" s="35" t="n"/>
      <c r="P50" s="31" t="n"/>
      <c r="Q50" s="65" t="n"/>
      <c r="R50" s="65" t="inlineStr">
        <is>
          <t>None</t>
        </is>
      </c>
      <c r="S50" s="65" t="inlineStr">
        <is>
          <t>None but interested in valet</t>
        </is>
      </c>
      <c r="T50" s="16" t="inlineStr">
        <is>
          <t>2 Blocks away form the baseball stadium</t>
        </is>
      </c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</row>
    <row r="51" ht="51.75" customHeight="1" s="211">
      <c r="A51" s="74" t="inlineStr">
        <is>
          <t xml:space="preserve">McNinch House Restaurant </t>
        </is>
      </c>
      <c r="B51" s="55" t="inlineStr">
        <is>
          <t>Restaurant</t>
        </is>
      </c>
      <c r="C51" s="55" t="n"/>
      <c r="D51" s="16" t="inlineStr">
        <is>
          <t>511 N Church St, Charlotte, NC 28202</t>
        </is>
      </c>
      <c r="E51" s="16" t="inlineStr">
        <is>
          <t>YES</t>
        </is>
      </c>
      <c r="F51" s="79" t="n"/>
      <c r="G51" s="79" t="n"/>
      <c r="H51" s="65" t="n"/>
      <c r="I51" s="77" t="inlineStr">
        <is>
          <t>Free</t>
        </is>
      </c>
      <c r="J51" s="84" t="inlineStr">
        <is>
          <t>N/A</t>
        </is>
      </c>
      <c r="K51" s="55" t="n"/>
      <c r="L51" s="55" t="n"/>
      <c r="M51" s="55" t="n"/>
      <c r="N51" s="55" t="n"/>
      <c r="O51" s="55" t="n"/>
      <c r="P51" s="31" t="n"/>
      <c r="Q51" s="65" t="n"/>
      <c r="R51" s="77" t="n"/>
      <c r="S51" s="55" t="n"/>
      <c r="T51" s="76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</row>
    <row r="52" ht="51.75" customHeight="1" s="211">
      <c r="A52" s="74" t="inlineStr">
        <is>
          <t>Luce Ristorante &amp; Bar</t>
        </is>
      </c>
      <c r="B52" s="55" t="inlineStr">
        <is>
          <t>Restaurant</t>
        </is>
      </c>
      <c r="C52" s="55" t="n"/>
      <c r="D52" s="16" t="inlineStr">
        <is>
          <t>214 N Tryon St J, Charlotte, NC 28202</t>
        </is>
      </c>
      <c r="E52" s="16" t="inlineStr">
        <is>
          <t>YES</t>
        </is>
      </c>
      <c r="F52" s="16" t="inlineStr">
        <is>
          <t>7044926898.  maria@conterestaurangroup.com</t>
        </is>
      </c>
      <c r="G52" s="16" t="n"/>
      <c r="H52" s="65" t="n"/>
      <c r="I52" s="65" t="n">
        <v>20</v>
      </c>
      <c r="J52" s="81" t="inlineStr">
        <is>
          <t>N/A</t>
        </is>
      </c>
      <c r="K52" s="58" t="n"/>
      <c r="L52" s="83" t="n"/>
      <c r="M52" s="58" t="n"/>
      <c r="N52" s="83" t="n"/>
      <c r="O52" s="83" t="n"/>
      <c r="P52" s="44" t="n"/>
      <c r="Q52" s="65" t="n"/>
      <c r="R52" s="65" t="inlineStr">
        <is>
          <t>None</t>
        </is>
      </c>
      <c r="S52" s="55" t="n"/>
      <c r="T52" s="16" t="inlineStr">
        <is>
          <t>Might have a deal with the truist garage.  Thats where they validate from</t>
        </is>
      </c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</row>
    <row r="53" ht="51.75" customHeight="1" s="211">
      <c r="A53" s="74" t="inlineStr">
        <is>
          <t>Fin&amp;Fino</t>
        </is>
      </c>
      <c r="B53" s="55" t="inlineStr">
        <is>
          <t>Restaurant</t>
        </is>
      </c>
      <c r="C53" s="55" t="n"/>
      <c r="D53" s="16" t="inlineStr">
        <is>
          <t>135 Levine Avenue of the Arts #100, Charlotte, NC 28202</t>
        </is>
      </c>
      <c r="E53" s="16" t="inlineStr">
        <is>
          <t>YES</t>
        </is>
      </c>
      <c r="F53" s="16" t="inlineStr">
        <is>
          <t>7049096295.  jon@rarerootshospitality.com</t>
        </is>
      </c>
      <c r="G53" s="16" t="n"/>
      <c r="H53" s="31" t="n"/>
      <c r="I53" s="65" t="inlineStr">
        <is>
          <t>validated</t>
        </is>
      </c>
      <c r="J53" s="81" t="inlineStr">
        <is>
          <t>Not Available</t>
        </is>
      </c>
      <c r="K53" s="29" t="n"/>
      <c r="L53" s="55" t="n"/>
      <c r="M53" s="29" t="n"/>
      <c r="N53" s="16" t="inlineStr">
        <is>
          <t>Jon Dressler</t>
        </is>
      </c>
      <c r="O53" s="55" t="n"/>
      <c r="P53" s="44" t="n"/>
      <c r="Q53" s="65" t="n"/>
      <c r="R53" s="65" t="inlineStr">
        <is>
          <t>None</t>
        </is>
      </c>
      <c r="S53" s="55" t="n"/>
      <c r="T53" s="76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</row>
    <row r="54" ht="51.75" customHeight="1" s="211">
      <c r="A54" s="74" t="inlineStr">
        <is>
          <t>Forchetta</t>
        </is>
      </c>
      <c r="B54" s="55" t="inlineStr">
        <is>
          <t>Restaurant</t>
        </is>
      </c>
      <c r="C54" s="55" t="n"/>
      <c r="D54" s="16" t="inlineStr">
        <is>
          <t>230 N College St, Charlotte, NC 28202</t>
        </is>
      </c>
      <c r="E54" s="16" t="inlineStr">
        <is>
          <t>YES</t>
        </is>
      </c>
      <c r="F54" s="16" t="inlineStr">
        <is>
          <t>9802143427.  george.beattie@hilton.com</t>
        </is>
      </c>
      <c r="G54" s="16" t="n"/>
      <c r="H54" s="31" t="n"/>
      <c r="I54" s="65" t="inlineStr">
        <is>
          <t xml:space="preserve">Complimentary </t>
        </is>
      </c>
      <c r="J54" s="81" t="inlineStr">
        <is>
          <t>Not Available</t>
        </is>
      </c>
      <c r="K54" s="29" t="n"/>
      <c r="L54" s="29" t="n"/>
      <c r="M54" s="29" t="n"/>
      <c r="N54" s="16" t="inlineStr">
        <is>
          <t>George Beattie</t>
        </is>
      </c>
      <c r="O54" s="29" t="n"/>
      <c r="P54" s="44" t="n"/>
      <c r="Q54" s="65" t="n"/>
      <c r="R54" s="65" t="inlineStr">
        <is>
          <t>None</t>
        </is>
      </c>
      <c r="S54" s="55" t="n"/>
      <c r="T54" s="76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</row>
    <row r="55" ht="51.75" customHeight="1" s="211">
      <c r="A55" s="74" t="inlineStr">
        <is>
          <t>Indaco</t>
        </is>
      </c>
      <c r="B55" s="55" t="inlineStr">
        <is>
          <t>Restaurant</t>
        </is>
      </c>
      <c r="C55" s="55" t="n"/>
      <c r="D55" s="16" t="inlineStr">
        <is>
          <t>2046 South Blvd, Charlotte, NC 28203</t>
        </is>
      </c>
      <c r="E55" s="16" t="inlineStr">
        <is>
          <t>South End</t>
        </is>
      </c>
      <c r="F55" s="16" t="inlineStr">
        <is>
          <t>(704) 741-9004</t>
        </is>
      </c>
      <c r="G55" s="16" t="n"/>
      <c r="H55" s="31" t="n"/>
      <c r="I55" s="65" t="inlineStr">
        <is>
          <t>Free: Atherton Mill Deck, surface lots</t>
        </is>
      </c>
      <c r="J55" s="81" t="inlineStr">
        <is>
          <t>Not Available</t>
        </is>
      </c>
      <c r="K55" s="29" t="n"/>
      <c r="L55" s="29" t="n"/>
      <c r="M55" s="29" t="n"/>
      <c r="N55" s="16" t="inlineStr">
        <is>
          <t>Elizabeth Snodgrass</t>
        </is>
      </c>
      <c r="O55" s="29" t="n"/>
      <c r="P55" s="29" t="n"/>
      <c r="Q55" s="65" t="n"/>
      <c r="R55" s="65" t="inlineStr">
        <is>
          <t>None</t>
        </is>
      </c>
      <c r="S55" s="55" t="n"/>
      <c r="T55" s="76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</row>
    <row r="56" ht="51.75" customHeight="1" s="211">
      <c r="A56" s="74" t="inlineStr">
        <is>
          <t xml:space="preserve">Copper Restaurant </t>
        </is>
      </c>
      <c r="B56" s="55" t="inlineStr">
        <is>
          <t>Restaurant</t>
        </is>
      </c>
      <c r="C56" s="55" t="n"/>
      <c r="D56" s="16" t="inlineStr">
        <is>
          <t>311 East Blvd, Charlotte, NC 28203</t>
        </is>
      </c>
      <c r="E56" s="16" t="inlineStr">
        <is>
          <t>South End</t>
        </is>
      </c>
      <c r="F56" s="16" t="inlineStr">
        <is>
          <t>(704) 333-0063</t>
        </is>
      </c>
      <c r="G56" s="16" t="n"/>
      <c r="H56" s="65" t="n"/>
      <c r="I56" s="16" t="inlineStr">
        <is>
          <t>Complimentary</t>
        </is>
      </c>
      <c r="J56" s="81" t="inlineStr">
        <is>
          <t>Not Available</t>
        </is>
      </c>
      <c r="K56" s="29" t="n"/>
      <c r="L56" s="29" t="n"/>
      <c r="M56" s="29" t="n"/>
      <c r="N56" s="29" t="n"/>
      <c r="O56" s="29" t="n"/>
      <c r="P56" s="29" t="n"/>
      <c r="Q56" s="65" t="n"/>
      <c r="R56" s="65" t="inlineStr">
        <is>
          <t>None</t>
        </is>
      </c>
      <c r="S56" s="55" t="n"/>
      <c r="T56" s="76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</row>
    <row r="57" ht="51.75" customHeight="1" s="211">
      <c r="A57" s="74" t="inlineStr">
        <is>
          <t>Dolce Osteria</t>
        </is>
      </c>
      <c r="B57" s="55" t="inlineStr">
        <is>
          <t>Restaurant</t>
        </is>
      </c>
      <c r="C57" s="55" t="n"/>
      <c r="D57" s="16" t="inlineStr">
        <is>
          <t>1710 Kenilworth Ave, Charlotte, NC 28203</t>
        </is>
      </c>
      <c r="E57" s="16" t="inlineStr">
        <is>
          <t>NO</t>
        </is>
      </c>
      <c r="F57" s="79" t="n">
        <v>7043330063</v>
      </c>
      <c r="G57" s="79" t="n"/>
      <c r="H57" s="65" t="n"/>
      <c r="I57" s="79" t="inlineStr">
        <is>
          <t>Free lot on site</t>
        </is>
      </c>
      <c r="J57" s="81" t="inlineStr">
        <is>
          <t>N/A</t>
        </is>
      </c>
      <c r="K57" s="29" t="n"/>
      <c r="L57" s="55" t="n"/>
      <c r="M57" s="29" t="n"/>
      <c r="N57" s="55" t="n"/>
      <c r="O57" s="55" t="n"/>
      <c r="P57" s="29" t="n"/>
      <c r="Q57" s="65" t="n"/>
      <c r="R57" s="65" t="inlineStr">
        <is>
          <t>None</t>
        </is>
      </c>
      <c r="S57" s="55" t="n"/>
      <c r="T57" s="76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</row>
    <row r="58" ht="51.75" customHeight="1" s="211">
      <c r="A58" s="74" t="inlineStr">
        <is>
          <t xml:space="preserve">The Fig Tree Restaurant </t>
        </is>
      </c>
      <c r="B58" s="55" t="inlineStr">
        <is>
          <t>Restaurant</t>
        </is>
      </c>
      <c r="C58" s="55" t="n"/>
      <c r="D58" s="16" t="inlineStr">
        <is>
          <t>1601 E 7th St, Charlotte, NC 28204</t>
        </is>
      </c>
      <c r="E58" s="16" t="inlineStr">
        <is>
          <t>YES</t>
        </is>
      </c>
      <c r="F58" s="16" t="inlineStr">
        <is>
          <t>(704) 332-3322</t>
        </is>
      </c>
      <c r="G58" s="53" t="n"/>
      <c r="H58" s="65" t="n"/>
      <c r="I58" s="16" t="inlineStr">
        <is>
          <t>Complimentary after 5</t>
        </is>
      </c>
      <c r="J58" s="81" t="inlineStr">
        <is>
          <t>Not Available</t>
        </is>
      </c>
      <c r="K58" s="29" t="n"/>
      <c r="L58" s="55" t="n"/>
      <c r="M58" s="29" t="n"/>
      <c r="N58" s="16" t="inlineStr">
        <is>
          <t>Sara Scheidler</t>
        </is>
      </c>
      <c r="O58" s="55" t="n"/>
      <c r="P58" s="29" t="n"/>
      <c r="Q58" s="65" t="n"/>
      <c r="R58" s="77" t="inlineStr">
        <is>
          <t>None</t>
        </is>
      </c>
      <c r="S58" s="55" t="n"/>
      <c r="T58" s="76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</row>
    <row r="59" ht="51.75" customHeight="1" s="211">
      <c r="A59" s="74" t="inlineStr">
        <is>
          <t>The Melting Pot</t>
        </is>
      </c>
      <c r="B59" s="55" t="inlineStr">
        <is>
          <t>Restaurant</t>
        </is>
      </c>
      <c r="C59" s="55" t="n"/>
      <c r="D59" s="16" t="inlineStr">
        <is>
          <t>901 S Kings Dr #140B, Charlotte, NC 28204</t>
        </is>
      </c>
      <c r="E59" s="16" t="inlineStr">
        <is>
          <t>NO</t>
        </is>
      </c>
      <c r="F59" s="65" t="inlineStr">
        <is>
          <t>(704) 334-4400</t>
        </is>
      </c>
      <c r="G59" s="65" t="n"/>
      <c r="H59" s="65" t="n"/>
      <c r="I59" s="79" t="inlineStr">
        <is>
          <t>Free lot on site</t>
        </is>
      </c>
      <c r="J59" s="81" t="inlineStr">
        <is>
          <t>N/A</t>
        </is>
      </c>
      <c r="K59" s="29" t="n"/>
      <c r="L59" s="55" t="n"/>
      <c r="M59" s="29" t="n"/>
      <c r="N59" s="79" t="n"/>
      <c r="O59" s="55" t="n"/>
      <c r="P59" s="29" t="n"/>
      <c r="Q59" s="65" t="n"/>
      <c r="R59" s="77" t="inlineStr">
        <is>
          <t>None</t>
        </is>
      </c>
      <c r="S59" s="55" t="n"/>
      <c r="T59" s="76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</row>
    <row r="60" ht="51.75" customHeight="1" s="211">
      <c r="A60" s="74" t="inlineStr">
        <is>
          <t>The Cellar at Duckworth's</t>
        </is>
      </c>
      <c r="B60" s="55" t="inlineStr">
        <is>
          <t>Restaurant</t>
        </is>
      </c>
      <c r="C60" s="55" t="n"/>
      <c r="D60" s="53" t="inlineStr">
        <is>
          <t>330 N Tryon St, Charlotte, NC 28202</t>
        </is>
      </c>
      <c r="E60" s="53" t="inlineStr">
        <is>
          <t>YES</t>
        </is>
      </c>
      <c r="F60" s="16" t="n">
        <v>7049992150</v>
      </c>
      <c r="G60" s="16" t="n"/>
      <c r="H60" s="31" t="n"/>
      <c r="I60" s="65" t="inlineStr">
        <is>
          <t>street parking free all day sat-sun</t>
        </is>
      </c>
      <c r="J60" s="81" t="inlineStr">
        <is>
          <t>Not Available</t>
        </is>
      </c>
      <c r="K60" s="29" t="n"/>
      <c r="L60" s="29" t="n"/>
      <c r="M60" s="29" t="n"/>
      <c r="N60" s="16" t="inlineStr">
        <is>
          <t>Johnathan Baptist</t>
        </is>
      </c>
      <c r="O60" s="29" t="n"/>
      <c r="P60" s="29" t="n"/>
      <c r="Q60" s="65" t="n"/>
      <c r="R60" s="65" t="inlineStr">
        <is>
          <t>None</t>
        </is>
      </c>
      <c r="S60" s="55" t="n"/>
      <c r="T60" s="76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</row>
    <row r="61" ht="51.75" customHeight="1" s="211">
      <c r="A61" s="74" t="inlineStr">
        <is>
          <t>Ri Ra</t>
        </is>
      </c>
      <c r="B61" s="55" t="inlineStr">
        <is>
          <t>Restaurant</t>
        </is>
      </c>
      <c r="C61" s="55" t="n"/>
      <c r="D61" s="16" t="inlineStr">
        <is>
          <t>208 N Tryon St, Charlotte, NC 28202</t>
        </is>
      </c>
      <c r="E61" s="16" t="inlineStr">
        <is>
          <t>YES</t>
        </is>
      </c>
      <c r="F61" s="16" t="inlineStr">
        <is>
          <t xml:space="preserve">(704) 333-5554 </t>
        </is>
      </c>
      <c r="G61" s="16" t="inlineStr">
        <is>
          <t>bradypatterson@rira.com</t>
        </is>
      </c>
      <c r="H61" s="31" t="n"/>
      <c r="I61" s="65" t="n">
        <v>15</v>
      </c>
      <c r="J61" s="81" t="inlineStr">
        <is>
          <t>N/A</t>
        </is>
      </c>
      <c r="K61" s="29" t="n"/>
      <c r="L61" s="29" t="n"/>
      <c r="M61" s="29" t="n"/>
      <c r="N61" s="16" t="inlineStr">
        <is>
          <t>Brady Patterson</t>
        </is>
      </c>
      <c r="O61" s="29" t="n"/>
      <c r="P61" s="29" t="n"/>
      <c r="Q61" s="65" t="n"/>
      <c r="R61" s="65" t="inlineStr">
        <is>
          <t>None</t>
        </is>
      </c>
      <c r="S61" s="55" t="n"/>
      <c r="T61" s="76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</row>
    <row r="62" ht="51.75" customHeight="1" s="211">
      <c r="A62" s="74" t="inlineStr">
        <is>
          <t xml:space="preserve">McCormick &amp;Schmick's Seafood &amp;Steaks </t>
        </is>
      </c>
      <c r="B62" s="55" t="inlineStr">
        <is>
          <t>Restaurant</t>
        </is>
      </c>
      <c r="C62" s="55" t="n"/>
      <c r="D62" s="16" t="inlineStr">
        <is>
          <t>200 S Tryon St, Charlotte, NC 28202</t>
        </is>
      </c>
      <c r="E62" s="16" t="inlineStr">
        <is>
          <t>YES</t>
        </is>
      </c>
      <c r="F62" s="16" t="inlineStr">
        <is>
          <t>(704) 377-0201</t>
        </is>
      </c>
      <c r="G62" s="16" t="n"/>
      <c r="H62" s="65" t="n"/>
      <c r="I62" s="79" t="inlineStr">
        <is>
          <t>Closed</t>
        </is>
      </c>
      <c r="J62" s="84" t="inlineStr">
        <is>
          <t>Closed</t>
        </is>
      </c>
      <c r="K62" s="29" t="n"/>
      <c r="L62" s="29" t="n"/>
      <c r="M62" s="29" t="n"/>
      <c r="N62" s="29" t="n"/>
      <c r="O62" s="29" t="n"/>
      <c r="P62" s="29" t="n"/>
      <c r="Q62" s="65" t="n"/>
      <c r="R62" s="65" t="inlineStr">
        <is>
          <t>Closed</t>
        </is>
      </c>
      <c r="S62" s="55" t="n"/>
      <c r="T62" s="76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</row>
    <row r="63" ht="51.75" customHeight="1" s="211">
      <c r="A63" s="74" t="inlineStr">
        <is>
          <t>Firebirds Wood Fired Grill</t>
        </is>
      </c>
      <c r="B63" s="55" t="inlineStr">
        <is>
          <t>Restaurant</t>
        </is>
      </c>
      <c r="C63" s="55" t="n"/>
      <c r="D63" s="16" t="inlineStr">
        <is>
          <t>3920 Sharon Rd, Charlotte, NC 28211</t>
        </is>
      </c>
      <c r="E63" s="16" t="inlineStr">
        <is>
          <t>NO</t>
        </is>
      </c>
      <c r="F63" s="16" t="inlineStr">
        <is>
          <t>(704) 366-3655</t>
        </is>
      </c>
      <c r="G63" s="16" t="n"/>
      <c r="H63" s="65" t="n"/>
      <c r="I63" s="79" t="inlineStr">
        <is>
          <t>Free lot on site</t>
        </is>
      </c>
      <c r="J63" s="84" t="inlineStr">
        <is>
          <t>N/A</t>
        </is>
      </c>
      <c r="K63" s="54" t="n"/>
      <c r="L63" s="55" t="n"/>
      <c r="M63" s="55" t="n"/>
      <c r="N63" s="55" t="n"/>
      <c r="O63" s="55" t="n"/>
      <c r="P63" s="29" t="n"/>
      <c r="Q63" s="65" t="n"/>
      <c r="R63" s="65" t="inlineStr">
        <is>
          <t>None</t>
        </is>
      </c>
      <c r="S63" s="55" t="n"/>
      <c r="T63" s="76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</row>
    <row r="64" ht="51.75" customHeight="1" s="211">
      <c r="A64" s="74" t="inlineStr">
        <is>
          <t>Del Frisco's Double Eagle Steakhouse</t>
        </is>
      </c>
      <c r="B64" s="55" t="inlineStr">
        <is>
          <t>Restaurant</t>
        </is>
      </c>
      <c r="C64" s="55" t="n"/>
      <c r="D64" s="53" t="inlineStr">
        <is>
          <t>4725 Piedmont Row Dr Suite 170, Charlotte, NC 28210</t>
        </is>
      </c>
      <c r="E64" s="53" t="inlineStr">
        <is>
          <t>NO</t>
        </is>
      </c>
      <c r="F64" s="65" t="inlineStr">
        <is>
          <t>(704) 552-5502</t>
        </is>
      </c>
      <c r="G64" s="65" t="n"/>
      <c r="H64" s="65" t="n"/>
      <c r="I64" s="77" t="inlineStr">
        <is>
          <t>Free garage on site</t>
        </is>
      </c>
      <c r="J64" s="84" t="inlineStr">
        <is>
          <t>N/A</t>
        </is>
      </c>
      <c r="K64" s="55" t="n"/>
      <c r="L64" s="55" t="n"/>
      <c r="M64" s="55" t="n"/>
      <c r="N64" s="55" t="n"/>
      <c r="O64" s="55" t="n"/>
      <c r="P64" s="29" t="n"/>
      <c r="Q64" s="65" t="n"/>
      <c r="R64" s="65" t="inlineStr">
        <is>
          <t>None</t>
        </is>
      </c>
      <c r="S64" s="55" t="n"/>
      <c r="T64" s="76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</row>
    <row r="65" ht="51.75" customHeight="1" s="211">
      <c r="A65" s="74" t="inlineStr">
        <is>
          <t>Mariposa</t>
        </is>
      </c>
      <c r="B65" s="55" t="inlineStr">
        <is>
          <t>Restaurant</t>
        </is>
      </c>
      <c r="C65" s="55" t="n"/>
      <c r="D65" s="16" t="inlineStr">
        <is>
          <t>500 S Tryon St, Charlotte, NC 28202</t>
        </is>
      </c>
      <c r="E65" s="16" t="inlineStr">
        <is>
          <t>YES</t>
        </is>
      </c>
      <c r="F65" s="79" t="n"/>
      <c r="G65" s="79" t="n"/>
      <c r="H65" s="31" t="n"/>
      <c r="I65" s="77" t="n">
        <v>12</v>
      </c>
      <c r="J65" s="81" t="inlineStr">
        <is>
          <t>N/A</t>
        </is>
      </c>
      <c r="K65" s="29" t="n"/>
      <c r="L65" s="55" t="n"/>
      <c r="M65" s="29" t="n"/>
      <c r="N65" s="55" t="n"/>
      <c r="O65" s="55" t="n"/>
      <c r="P65" s="44" t="n"/>
      <c r="Q65" s="65" t="n"/>
      <c r="R65" s="77" t="inlineStr">
        <is>
          <t>None</t>
        </is>
      </c>
      <c r="S65" s="55" t="n"/>
      <c r="T65" s="76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</row>
    <row r="66" ht="51.75" customHeight="1" s="211">
      <c r="A66" s="74" t="inlineStr">
        <is>
          <t xml:space="preserve">204 North </t>
        </is>
      </c>
      <c r="B66" s="55" t="inlineStr">
        <is>
          <t>Restaurant</t>
        </is>
      </c>
      <c r="C66" s="55" t="n"/>
      <c r="D66" s="16" t="inlineStr">
        <is>
          <t>204 N Tryon St, Charlotte, NC 28202</t>
        </is>
      </c>
      <c r="E66" s="16" t="inlineStr">
        <is>
          <t>YES</t>
        </is>
      </c>
      <c r="F66" s="16" t="inlineStr">
        <is>
          <t>(704) 910-9891</t>
        </is>
      </c>
      <c r="G66" s="16" t="n"/>
      <c r="H66" s="31" t="n"/>
      <c r="I66" s="65" t="inlineStr">
        <is>
          <t>no validate</t>
        </is>
      </c>
      <c r="J66" s="81" t="inlineStr">
        <is>
          <t>N/A</t>
        </is>
      </c>
      <c r="K66" s="29" t="n"/>
      <c r="L66" s="55" t="n"/>
      <c r="M66" s="29" t="n"/>
      <c r="N66" s="16" t="inlineStr">
        <is>
          <t>Katelyn Gearhart and Chris Cooper - Chris@masonjargroup.com</t>
        </is>
      </c>
      <c r="O66" s="55" t="n"/>
      <c r="P66" s="44" t="n"/>
      <c r="Q66" s="65" t="n"/>
      <c r="R66" s="65" t="inlineStr">
        <is>
          <t>None</t>
        </is>
      </c>
      <c r="S66" s="55" t="n"/>
      <c r="T66" s="79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</row>
    <row r="67" ht="51.75" customHeight="1" s="211">
      <c r="A67" s="74" t="inlineStr">
        <is>
          <t>Deluxe The Fun Art of Dining</t>
        </is>
      </c>
      <c r="B67" s="55" t="inlineStr">
        <is>
          <t>Restaurant</t>
        </is>
      </c>
      <c r="C67" s="55" t="n"/>
      <c r="D67" s="16" t="inlineStr">
        <is>
          <t>305 W 4th St, Charlotte, NC 28202</t>
        </is>
      </c>
      <c r="E67" s="16" t="inlineStr">
        <is>
          <t>YES</t>
        </is>
      </c>
      <c r="F67" s="16" t="inlineStr">
        <is>
          <t>(980) 237-8042</t>
        </is>
      </c>
      <c r="G67" s="16" t="n"/>
      <c r="H67" s="31" t="n"/>
      <c r="I67" s="65" t="inlineStr">
        <is>
          <t>$10-$25</t>
        </is>
      </c>
      <c r="J67" s="81" t="inlineStr">
        <is>
          <t>N/A</t>
        </is>
      </c>
      <c r="K67" s="29" t="n"/>
      <c r="L67" s="55" t="n"/>
      <c r="M67" s="29" t="n"/>
      <c r="N67" s="79" t="n"/>
      <c r="O67" s="55" t="n"/>
      <c r="P67" s="44" t="n"/>
      <c r="Q67" s="65" t="n"/>
      <c r="R67" s="65" t="inlineStr">
        <is>
          <t>None</t>
        </is>
      </c>
      <c r="S67" s="55" t="n"/>
      <c r="T67" s="79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</row>
    <row r="68" ht="51.75" customHeight="1" s="211">
      <c r="A68" s="74" t="inlineStr">
        <is>
          <t>Sea Level NC</t>
        </is>
      </c>
      <c r="B68" s="55" t="inlineStr">
        <is>
          <t>Restaurant</t>
        </is>
      </c>
      <c r="C68" s="55" t="n"/>
      <c r="D68" s="16" t="inlineStr">
        <is>
          <t>129 E 5th St, Charlotte, NC 28202</t>
        </is>
      </c>
      <c r="E68" s="16" t="inlineStr">
        <is>
          <t>YES</t>
        </is>
      </c>
      <c r="F68" s="16" t="inlineStr">
        <is>
          <t>(704) 412-2616</t>
        </is>
      </c>
      <c r="G68" s="16" t="n"/>
      <c r="H68" s="31" t="n"/>
      <c r="I68" s="65" t="inlineStr">
        <is>
          <t>validate</t>
        </is>
      </c>
      <c r="J68" s="81" t="inlineStr">
        <is>
          <t>Not Available</t>
        </is>
      </c>
      <c r="K68" s="29" t="n"/>
      <c r="L68" s="29" t="n"/>
      <c r="M68" s="29" t="n"/>
      <c r="N68" s="16" t="inlineStr">
        <is>
          <t>Can't do valet due to truist center garage deal</t>
        </is>
      </c>
      <c r="O68" s="29" t="n"/>
      <c r="P68" s="44" t="n"/>
      <c r="Q68" s="65" t="n"/>
      <c r="R68" s="85" t="inlineStr">
        <is>
          <t>None</t>
        </is>
      </c>
      <c r="S68" s="55" t="n"/>
      <c r="T68" s="16" t="inlineStr">
        <is>
          <t>mlight@eat704.com</t>
        </is>
      </c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</row>
    <row r="69" ht="51.75" customHeight="1" s="211">
      <c r="A69" s="74" t="inlineStr">
        <is>
          <t>Red Salt by David Burke</t>
        </is>
      </c>
      <c r="B69" s="55" t="inlineStr">
        <is>
          <t>Restaurant</t>
        </is>
      </c>
      <c r="C69" s="55" t="n"/>
      <c r="D69" s="16" t="inlineStr">
        <is>
          <t>555 S McDowell St
Charlotte, NC 28204</t>
        </is>
      </c>
      <c r="E69" s="16" t="inlineStr">
        <is>
          <t>YES</t>
        </is>
      </c>
      <c r="F69" s="16" t="inlineStr">
        <is>
          <t>704-516-6422</t>
        </is>
      </c>
      <c r="G69" s="16" t="n"/>
      <c r="H69" s="31" t="n"/>
      <c r="I69" s="65" t="inlineStr">
        <is>
          <t>$5 per hour*</t>
        </is>
      </c>
      <c r="J69" s="81" t="inlineStr">
        <is>
          <t>N/A</t>
        </is>
      </c>
      <c r="K69" s="29" t="n"/>
      <c r="L69" s="29" t="n"/>
      <c r="M69" s="29" t="n"/>
      <c r="N69" s="16" t="inlineStr">
        <is>
          <t>Steve Johnson</t>
        </is>
      </c>
      <c r="O69" s="29" t="n"/>
      <c r="P69" s="44" t="n"/>
      <c r="Q69" s="65" t="n"/>
      <c r="R69" s="65" t="inlineStr">
        <is>
          <t>None</t>
        </is>
      </c>
      <c r="S69" s="55" t="n"/>
      <c r="T69" s="79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</row>
    <row r="70" ht="51.75" customHeight="1" s="211">
      <c r="A70" s="74" t="inlineStr">
        <is>
          <t>Chima Steakhouse</t>
        </is>
      </c>
      <c r="B70" s="55" t="inlineStr">
        <is>
          <t>Restaurant</t>
        </is>
      </c>
      <c r="C70" s="55" t="n"/>
      <c r="D70" s="16" t="inlineStr">
        <is>
          <t>139 S Tryon St, Charlotte, NC 28202</t>
        </is>
      </c>
      <c r="E70" s="16" t="inlineStr">
        <is>
          <t>YES</t>
        </is>
      </c>
      <c r="F70" s="16" t="inlineStr">
        <is>
          <t>(980) 293-1030</t>
        </is>
      </c>
      <c r="G70" s="16" t="n"/>
      <c r="H70" s="31" t="n"/>
      <c r="I70" s="65" t="inlineStr">
        <is>
          <t>N/A</t>
        </is>
      </c>
      <c r="J70" s="81" t="n">
        <v>15</v>
      </c>
      <c r="K70" s="29" t="n"/>
      <c r="L70" s="29" t="n"/>
      <c r="M70" s="29" t="n"/>
      <c r="N70" s="16" t="inlineStr">
        <is>
          <t>Vini</t>
        </is>
      </c>
      <c r="O70" s="29" t="n"/>
      <c r="P70" s="44" t="n"/>
      <c r="Q70" s="65" t="n"/>
      <c r="R70" s="65" t="inlineStr">
        <is>
          <t>SOPHI</t>
        </is>
      </c>
      <c r="S70" s="55" t="n"/>
      <c r="T70" s="86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</row>
    <row r="71" ht="51.75" customHeight="1" s="211">
      <c r="A71" s="74" t="inlineStr">
        <is>
          <t>Eddie V's Prime Seafood</t>
        </is>
      </c>
      <c r="B71" s="55" t="inlineStr">
        <is>
          <t>Restaurant</t>
        </is>
      </c>
      <c r="C71" s="55" t="n"/>
      <c r="D71" s="16" t="inlineStr">
        <is>
          <t>101 S Tryon St Suite 100, Charlotte, NC 28280 (Still Uptown)</t>
        </is>
      </c>
      <c r="E71" s="16" t="inlineStr">
        <is>
          <t>YES</t>
        </is>
      </c>
      <c r="F71" s="16" t="inlineStr">
        <is>
          <t>Have the card in ym car, just have to find it</t>
        </is>
      </c>
      <c r="G71" s="16" t="n"/>
      <c r="H71" s="31" t="n"/>
      <c r="I71" s="65" t="inlineStr">
        <is>
          <t>$6 per half hour. $30 Max</t>
        </is>
      </c>
      <c r="J71" s="81" t="inlineStr">
        <is>
          <t>Complimentary for resturant.  Transient $15 first 3 hours. $30 for 3-6 hours</t>
        </is>
      </c>
      <c r="K71" s="29" t="n"/>
      <c r="L71" s="87" t="n"/>
      <c r="M71" s="87" t="n"/>
      <c r="N71" s="53" t="inlineStr">
        <is>
          <t>Andrew</t>
        </is>
      </c>
      <c r="O71" s="87" t="n"/>
      <c r="P71" s="44" t="n"/>
      <c r="Q71" s="65" t="n"/>
      <c r="R71" s="65" t="inlineStr">
        <is>
          <t>Preferred Parking</t>
        </is>
      </c>
      <c r="S71" s="55" t="n"/>
      <c r="T71" s="76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</row>
    <row r="72" ht="51.75" customHeight="1" s="211">
      <c r="A72" s="74" t="inlineStr">
        <is>
          <t>Dean's Italian Steakhouse</t>
        </is>
      </c>
      <c r="B72" s="55" t="inlineStr">
        <is>
          <t>Restaurant</t>
        </is>
      </c>
      <c r="C72" s="55" t="n"/>
      <c r="D72" s="16" t="inlineStr">
        <is>
          <t>128 E Stonewall St, Charlotte, NC 28202</t>
        </is>
      </c>
      <c r="E72" s="16" t="inlineStr">
        <is>
          <t>YES</t>
        </is>
      </c>
      <c r="F72" s="16" t="n">
        <v>7044996626</v>
      </c>
      <c r="G72" s="16" t="inlineStr">
        <is>
          <t>natalie.shulman@whitelodging.com</t>
        </is>
      </c>
      <c r="H72" s="31" t="n"/>
      <c r="I72" s="77" t="n"/>
      <c r="J72" s="81" t="inlineStr">
        <is>
          <t>$15 she thinks</t>
        </is>
      </c>
      <c r="K72" s="29" t="n"/>
      <c r="L72" s="29" t="n"/>
      <c r="M72" s="29" t="n"/>
      <c r="N72" s="16" t="inlineStr">
        <is>
          <t>Natalie Shulman</t>
        </is>
      </c>
      <c r="O72" s="29" t="n"/>
      <c r="P72" s="29" t="n"/>
      <c r="Q72" s="65" t="inlineStr">
        <is>
          <t>LAZ</t>
        </is>
      </c>
      <c r="R72" s="65" t="inlineStr">
        <is>
          <t>PMC</t>
        </is>
      </c>
      <c r="S72" s="55" t="n"/>
      <c r="T72" s="76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</row>
    <row r="73" ht="51.75" customHeight="1" s="211">
      <c r="A73" s="74" t="inlineStr">
        <is>
          <t>Fleming's Prime Steakhouse &amp; Wine Bar</t>
        </is>
      </c>
      <c r="B73" s="55" t="inlineStr">
        <is>
          <t>Restaurant</t>
        </is>
      </c>
      <c r="C73" s="55" t="n"/>
      <c r="D73" s="16" t="inlineStr">
        <is>
          <t>210 E Trade St Suite C-110, Charlotte, NC 28202</t>
        </is>
      </c>
      <c r="E73" s="16" t="inlineStr">
        <is>
          <t>YES</t>
        </is>
      </c>
      <c r="F73" s="79">
        <f>17043334266</f>
        <v/>
      </c>
      <c r="G73" s="79" t="n"/>
      <c r="H73" s="65" t="n"/>
      <c r="I73" s="79" t="inlineStr">
        <is>
          <t>$6 per half hour (QCQ)</t>
        </is>
      </c>
      <c r="J73" s="81" t="inlineStr">
        <is>
          <t>$17 for guest $13 to resturant</t>
        </is>
      </c>
      <c r="K73" s="29" t="n"/>
      <c r="L73" s="29" t="n"/>
      <c r="M73" s="29" t="n"/>
      <c r="N73" s="29" t="inlineStr">
        <is>
          <t>Robert Fritschle</t>
        </is>
      </c>
      <c r="O73" s="29" t="n"/>
      <c r="P73" s="44" t="n"/>
      <c r="Q73" s="65" t="n"/>
      <c r="R73" s="65" t="inlineStr">
        <is>
          <t>Preferred Parking</t>
        </is>
      </c>
      <c r="S73" s="65" t="inlineStr">
        <is>
          <t>Preferred QCQG</t>
        </is>
      </c>
      <c r="T73" s="76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</row>
    <row r="74" ht="51.75" customHeight="1" s="211">
      <c r="A74" s="74" t="inlineStr">
        <is>
          <t>204 kitchen + cocktails</t>
        </is>
      </c>
      <c r="B74" s="54" t="inlineStr">
        <is>
          <t>Restaurant</t>
        </is>
      </c>
      <c r="C74" s="55" t="n"/>
      <c r="D74" s="25" t="inlineStr">
        <is>
          <t>204 North tryon Street, Charlotte, NC 28202</t>
        </is>
      </c>
      <c r="E74" s="25" t="inlineStr">
        <is>
          <t>YES</t>
        </is>
      </c>
      <c r="F74" s="29">
        <f>17043333747</f>
        <v/>
      </c>
      <c r="G74" s="29" t="n"/>
      <c r="H74" s="31" t="n"/>
      <c r="I74" s="79" t="inlineStr">
        <is>
          <t>$6 per half hour (QCQ)</t>
        </is>
      </c>
      <c r="J74" s="81" t="inlineStr">
        <is>
          <t>$17 for guest $13 to resturant</t>
        </is>
      </c>
      <c r="K74" s="29" t="n"/>
      <c r="L74" s="29" t="n"/>
      <c r="M74" s="29" t="n"/>
      <c r="N74" s="29" t="n"/>
      <c r="O74" s="29" t="n"/>
      <c r="P74" s="44" t="n"/>
      <c r="Q74" s="65" t="n"/>
      <c r="R74" s="65" t="inlineStr">
        <is>
          <t>Preferred Parking</t>
        </is>
      </c>
      <c r="S74" s="65" t="inlineStr">
        <is>
          <t>Preferred QCQG</t>
        </is>
      </c>
      <c r="T74" s="55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</row>
    <row r="75" ht="51.75" customHeight="1" s="211">
      <c r="A75" s="74" t="inlineStr">
        <is>
          <t>The Palm</t>
        </is>
      </c>
      <c r="B75" s="54" t="inlineStr">
        <is>
          <t>Restaurant</t>
        </is>
      </c>
      <c r="C75" s="55" t="n"/>
      <c r="D75" s="16" t="inlineStr">
        <is>
          <t>6705-B, Phillips Pl Ct, Charlotte, NC 28210</t>
        </is>
      </c>
      <c r="E75" s="16" t="inlineStr">
        <is>
          <t>NO</t>
        </is>
      </c>
      <c r="F75" s="16" t="inlineStr">
        <is>
          <t>(704) 552-7450</t>
        </is>
      </c>
      <c r="G75" s="16" t="n"/>
      <c r="H75" s="65" t="n"/>
      <c r="I75" s="16" t="inlineStr">
        <is>
          <t>no validation</t>
        </is>
      </c>
      <c r="J75" s="81" t="inlineStr">
        <is>
          <t xml:space="preserve">complimentary </t>
        </is>
      </c>
      <c r="K75" s="55" t="n"/>
      <c r="L75" s="55" t="n"/>
      <c r="M75" s="55" t="n"/>
      <c r="N75" s="55" t="n"/>
      <c r="O75" s="55" t="n"/>
      <c r="P75" s="29" t="n"/>
      <c r="Q75" s="65" t="n"/>
      <c r="R75" s="65" t="inlineStr">
        <is>
          <t>Park Inc</t>
        </is>
      </c>
      <c r="S75" s="55" t="n"/>
      <c r="T75" s="76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</row>
    <row r="76" ht="51.75" customHeight="1" s="211">
      <c r="A76" s="74" t="inlineStr">
        <is>
          <t>Sullivan's Steakhouse</t>
        </is>
      </c>
      <c r="B76" s="54" t="inlineStr">
        <is>
          <t>Restaurant</t>
        </is>
      </c>
      <c r="C76" s="55" t="n"/>
      <c r="D76" s="16" t="inlineStr">
        <is>
          <t>1928 South Blvd Suite 200 Suite 200, Charlotte, NC 28203</t>
        </is>
      </c>
      <c r="E76" s="16" t="inlineStr">
        <is>
          <t>South End</t>
        </is>
      </c>
      <c r="F76" s="88" t="inlineStr">
        <is>
          <t>(919)833-2888</t>
        </is>
      </c>
      <c r="G76" s="88" t="n"/>
      <c r="H76" s="65" t="n"/>
      <c r="I76" s="65" t="inlineStr">
        <is>
          <t>No Self-Parking</t>
        </is>
      </c>
      <c r="J76" s="81" t="inlineStr">
        <is>
          <t>Complimentary Valet</t>
        </is>
      </c>
      <c r="K76" s="35" t="n"/>
      <c r="L76" s="55" t="n"/>
      <c r="M76" s="35" t="n"/>
      <c r="N76" s="89" t="inlineStr">
        <is>
          <t>Christopher Rodgers</t>
        </is>
      </c>
      <c r="O76" s="55" t="n"/>
      <c r="P76" s="31" t="n"/>
      <c r="Q76" s="65" t="n"/>
      <c r="R76" s="65" t="inlineStr">
        <is>
          <t>Park Inc</t>
        </is>
      </c>
      <c r="S76" s="55" t="n"/>
      <c r="T76" s="16" t="inlineStr">
        <is>
          <t xml:space="preserve">free for 2 hours </t>
        </is>
      </c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</row>
    <row r="77" ht="51.75" customHeight="1" s="211">
      <c r="A77" s="74" t="inlineStr">
        <is>
          <t>Aria and Cicchetti</t>
        </is>
      </c>
      <c r="B77" s="54" t="inlineStr">
        <is>
          <t>Restaurant</t>
        </is>
      </c>
      <c r="C77" s="55" t="n"/>
      <c r="D77" s="16" t="inlineStr">
        <is>
          <t>100 N Tryon St, Charlotte, NC 28202</t>
        </is>
      </c>
      <c r="E77" s="16" t="inlineStr">
        <is>
          <t>YES</t>
        </is>
      </c>
      <c r="F77" s="79">
        <f>17043768880</f>
        <v/>
      </c>
      <c r="G77" s="79" t="n"/>
      <c r="H77" s="31" t="n"/>
      <c r="I77" s="65" t="inlineStr">
        <is>
          <t>Validated</t>
        </is>
      </c>
      <c r="J77" s="81" t="inlineStr">
        <is>
          <t>Complimentary Valet</t>
        </is>
      </c>
      <c r="K77" s="29" t="n"/>
      <c r="L77" s="29" t="n"/>
      <c r="M77" s="29" t="n"/>
      <c r="N77" s="29" t="n"/>
      <c r="O77" s="29" t="n"/>
      <c r="P77" s="44" t="n"/>
      <c r="Q77" s="65" t="n"/>
      <c r="R77" s="65" t="inlineStr">
        <is>
          <t>Park Inc</t>
        </is>
      </c>
      <c r="S77" s="55" t="n"/>
      <c r="T77" s="76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</row>
    <row r="78" ht="51.75" customHeight="1" s="211">
      <c r="A78" s="74" t="inlineStr">
        <is>
          <t>Dressler's Steakhouse</t>
        </is>
      </c>
      <c r="B78" s="54" t="inlineStr">
        <is>
          <t>Restaurant</t>
        </is>
      </c>
      <c r="C78" s="55" t="n"/>
      <c r="D78" s="16" t="inlineStr">
        <is>
          <t>1100 Metropolitan Ave #125, Charlotte, NC 28204</t>
        </is>
      </c>
      <c r="E78" s="16" t="inlineStr">
        <is>
          <t>YES</t>
        </is>
      </c>
      <c r="F78" s="16" t="inlineStr">
        <is>
          <t>(877) 626-1183</t>
        </is>
      </c>
      <c r="G78" s="16" t="n"/>
      <c r="H78" s="65" t="n"/>
      <c r="I78" s="65" t="inlineStr">
        <is>
          <t>Free for 4 hours</t>
        </is>
      </c>
      <c r="J78" s="81" t="inlineStr">
        <is>
          <t>Complimentary Valet</t>
        </is>
      </c>
      <c r="K78" s="29" t="n"/>
      <c r="L78" s="29" t="n"/>
      <c r="M78" s="29" t="n"/>
      <c r="N78" s="29" t="n"/>
      <c r="O78" s="29" t="n"/>
      <c r="P78" s="29" t="n"/>
      <c r="Q78" s="65" t="n"/>
      <c r="R78" s="77" t="n"/>
      <c r="S78" s="55" t="n"/>
      <c r="T78" s="76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</row>
    <row r="79" ht="51.75" customHeight="1" s="211">
      <c r="A79" s="74" t="inlineStr">
        <is>
          <t>Ruth's Chris</t>
        </is>
      </c>
      <c r="B79" s="54" t="inlineStr">
        <is>
          <t>Restaurant</t>
        </is>
      </c>
      <c r="C79" s="55" t="n"/>
      <c r="D79" s="16" t="inlineStr">
        <is>
          <t>222 S Tryon St, Charlotte, NC 28202</t>
        </is>
      </c>
      <c r="E79" s="16" t="inlineStr">
        <is>
          <t>YES</t>
        </is>
      </c>
      <c r="F79" s="16" t="inlineStr">
        <is>
          <t>(704) 261-5202</t>
        </is>
      </c>
      <c r="G79" s="16" t="n"/>
      <c r="H79" s="31" t="n"/>
      <c r="I79" s="77" t="inlineStr">
        <is>
          <t>N/A</t>
        </is>
      </c>
      <c r="J79" s="81" t="n">
        <v>15</v>
      </c>
      <c r="K79" s="29" t="n"/>
      <c r="L79" s="55" t="n"/>
      <c r="M79" s="29" t="n"/>
      <c r="N79" s="16" t="inlineStr">
        <is>
          <t>Eric</t>
        </is>
      </c>
      <c r="O79" s="54" t="n"/>
      <c r="P79" s="44" t="n"/>
      <c r="Q79" s="65" t="n"/>
      <c r="R79" s="65" t="inlineStr">
        <is>
          <t>SOPHI</t>
        </is>
      </c>
      <c r="S79" s="55" t="n"/>
      <c r="T79" s="16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</row>
    <row r="80" ht="51.75" customHeight="1" s="211">
      <c r="A80" s="74" t="inlineStr">
        <is>
          <t>Ruth's Chris #2</t>
        </is>
      </c>
      <c r="B80" s="54" t="inlineStr">
        <is>
          <t>Restaurant</t>
        </is>
      </c>
      <c r="C80" s="55" t="n"/>
      <c r="D80" s="16" t="inlineStr">
        <is>
          <t>6000 Fairview Rd, Charlotte, NC 28210</t>
        </is>
      </c>
      <c r="E80" s="16" t="inlineStr">
        <is>
          <t>NO</t>
        </is>
      </c>
      <c r="F80" s="16" t="inlineStr">
        <is>
          <t>(704)-726-3200</t>
        </is>
      </c>
      <c r="G80" s="16" t="n"/>
      <c r="H80" s="65" t="n"/>
      <c r="I80" s="65" t="inlineStr">
        <is>
          <t>FREE</t>
        </is>
      </c>
      <c r="J80" s="81" t="inlineStr">
        <is>
          <t>Valet "temporaliy suspended"</t>
        </is>
      </c>
      <c r="K80" s="29" t="n"/>
      <c r="L80" s="29" t="n"/>
      <c r="M80" s="29" t="n"/>
      <c r="N80" s="29" t="inlineStr">
        <is>
          <t>Kristen Brodosi</t>
        </is>
      </c>
      <c r="O80" s="29" t="n"/>
      <c r="P80" s="29" t="n"/>
      <c r="Q80" s="65" t="n"/>
      <c r="R80" s="65" t="inlineStr">
        <is>
          <t>Park Inc</t>
        </is>
      </c>
      <c r="S80" s="55" t="n"/>
      <c r="T80" s="76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</row>
    <row r="81" ht="51.75" customHeight="1" s="211">
      <c r="A81" s="74" t="inlineStr">
        <is>
          <t>Oak Steakhouse</t>
        </is>
      </c>
      <c r="B81" s="54" t="inlineStr">
        <is>
          <t>Restaurant</t>
        </is>
      </c>
      <c r="C81" s="55" t="n"/>
      <c r="D81" s="16" t="inlineStr">
        <is>
          <t>4777 Sharon Rd Suite 125, Charlotte, NC 28210</t>
        </is>
      </c>
      <c r="E81" s="16" t="inlineStr">
        <is>
          <t>NO</t>
        </is>
      </c>
      <c r="F81" s="79">
        <f>17049548900</f>
        <v/>
      </c>
      <c r="G81" s="79" t="n"/>
      <c r="H81" s="31" t="n"/>
      <c r="I81" s="65" t="inlineStr">
        <is>
          <t>FREE all day</t>
        </is>
      </c>
      <c r="J81" s="81" t="inlineStr">
        <is>
          <t>Valet "temporaliy suspended"</t>
        </is>
      </c>
      <c r="K81" s="29" t="n"/>
      <c r="L81" s="29" t="n"/>
      <c r="M81" s="29" t="n"/>
      <c r="N81" s="29" t="n"/>
      <c r="O81" s="29" t="n"/>
      <c r="P81" s="44" t="n"/>
      <c r="Q81" s="65" t="n"/>
      <c r="R81" s="65" t="inlineStr">
        <is>
          <t>None</t>
        </is>
      </c>
      <c r="S81" s="55" t="n"/>
      <c r="T81" s="76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</row>
    <row r="82" ht="51.75" customHeight="1" s="211">
      <c r="A82" s="16" t="n"/>
      <c r="B82" s="54" t="n"/>
      <c r="C82" s="55" t="n"/>
      <c r="D82" s="50" t="n"/>
      <c r="E82" s="50" t="n"/>
      <c r="F82" s="22" t="n"/>
      <c r="G82" s="22" t="n"/>
      <c r="H82" s="41" t="n"/>
      <c r="I82" s="23" t="n"/>
      <c r="J82" s="56" t="n"/>
      <c r="K82" s="47" t="n"/>
      <c r="L82" s="21" t="n"/>
      <c r="M82" s="22" t="n"/>
      <c r="N82" s="22" t="n"/>
      <c r="O82" s="22" t="n"/>
      <c r="P82" s="23" t="n"/>
      <c r="Q82" s="65" t="n"/>
      <c r="R82" s="65" t="n"/>
      <c r="S82" s="55" t="n"/>
      <c r="T82" s="55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</row>
    <row r="83" ht="51.75" customHeight="1" s="211">
      <c r="A83" s="16" t="n"/>
      <c r="B83" s="54" t="n"/>
      <c r="C83" s="55" t="n"/>
      <c r="D83" s="16" t="n"/>
      <c r="E83" s="16" t="n"/>
      <c r="F83" s="22" t="n"/>
      <c r="G83" s="22" t="n"/>
      <c r="H83" s="31" t="n"/>
      <c r="I83" s="23" t="n"/>
      <c r="J83" s="56" t="n"/>
      <c r="K83" s="22" t="n"/>
      <c r="L83" s="21" t="n"/>
      <c r="M83" s="22" t="n"/>
      <c r="N83" s="22" t="n"/>
      <c r="O83" s="22" t="n"/>
      <c r="P83" s="23" t="n"/>
      <c r="Q83" s="65" t="n"/>
      <c r="R83" s="65" t="n"/>
      <c r="S83" s="55" t="n"/>
      <c r="T83" s="55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</row>
    <row r="84" ht="51.75" customHeight="1" s="211">
      <c r="A84" s="16" t="n"/>
      <c r="B84" s="12" t="n"/>
      <c r="C84" s="55">
        <f>'Sales Candence'!B84</f>
        <v/>
      </c>
      <c r="D84" s="71" t="n"/>
      <c r="E84" s="71" t="n"/>
      <c r="F84" s="22" t="n"/>
      <c r="G84" s="22" t="n"/>
      <c r="H84" s="31" t="n"/>
      <c r="I84" s="23" t="n"/>
      <c r="J84" s="56" t="n"/>
      <c r="K84" s="22" t="n"/>
      <c r="L84" s="22" t="n"/>
      <c r="M84" s="22" t="n"/>
      <c r="N84" s="22" t="n"/>
      <c r="O84" s="22" t="n"/>
      <c r="P84" s="23" t="n"/>
      <c r="Q84" s="65" t="n"/>
      <c r="R84" s="65" t="n"/>
      <c r="S84" s="55" t="n"/>
      <c r="T84" s="55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</row>
    <row r="85" ht="51.75" customHeight="1" s="211">
      <c r="A85" s="16" t="n"/>
      <c r="B85" s="12" t="n"/>
      <c r="C85" s="55">
        <f>'Sales Candence'!B85</f>
        <v/>
      </c>
      <c r="D85" s="71" t="n"/>
      <c r="E85" s="71" t="n"/>
      <c r="F85" s="22" t="n"/>
      <c r="G85" s="22" t="n"/>
      <c r="H85" s="31" t="n"/>
      <c r="I85" s="23" t="n"/>
      <c r="J85" s="56" t="n"/>
      <c r="K85" s="22" t="n"/>
      <c r="L85" s="22" t="n"/>
      <c r="M85" s="22" t="n"/>
      <c r="N85" s="22" t="n"/>
      <c r="O85" s="22" t="n"/>
      <c r="P85" s="23" t="n"/>
      <c r="Q85" s="65" t="n"/>
      <c r="R85" s="65" t="n"/>
      <c r="S85" s="55" t="n"/>
      <c r="T85" s="55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</row>
    <row r="86" ht="51.75" customHeight="1" s="211">
      <c r="A86" s="16" t="n"/>
      <c r="B86" s="12" t="n"/>
      <c r="C86" s="55">
        <f>'Sales Candence'!B86</f>
        <v/>
      </c>
      <c r="D86" s="71" t="n"/>
      <c r="E86" s="71" t="n"/>
      <c r="F86" s="22" t="n"/>
      <c r="G86" s="22" t="n"/>
      <c r="H86" s="31" t="n"/>
      <c r="I86" s="23" t="n"/>
      <c r="J86" s="56" t="n"/>
      <c r="K86" s="22" t="n"/>
      <c r="L86" s="22" t="n"/>
      <c r="M86" s="22" t="n"/>
      <c r="N86" s="22" t="n"/>
      <c r="O86" s="22" t="n"/>
      <c r="P86" s="23" t="n"/>
      <c r="Q86" s="65" t="n"/>
      <c r="R86" s="65" t="n"/>
      <c r="S86" s="55" t="n"/>
      <c r="T86" s="55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</row>
    <row r="87" ht="51.75" customHeight="1" s="211">
      <c r="A87" s="16" t="n"/>
      <c r="B87" s="12" t="n"/>
      <c r="C87" s="55">
        <f>'Sales Candence'!B87</f>
        <v/>
      </c>
      <c r="D87" s="71" t="n"/>
      <c r="E87" s="71" t="n"/>
      <c r="F87" s="22" t="n"/>
      <c r="G87" s="22" t="n"/>
      <c r="H87" s="31" t="n"/>
      <c r="I87" s="23" t="n"/>
      <c r="J87" s="56" t="n"/>
      <c r="K87" s="22" t="n"/>
      <c r="L87" s="22" t="n"/>
      <c r="M87" s="22" t="n"/>
      <c r="N87" s="22" t="n"/>
      <c r="O87" s="22" t="n"/>
      <c r="P87" s="23" t="n"/>
      <c r="Q87" s="65" t="n"/>
      <c r="R87" s="65" t="n"/>
      <c r="S87" s="55" t="n"/>
      <c r="T87" s="55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</row>
    <row r="88" ht="51.75" customHeight="1" s="211">
      <c r="A88" s="16" t="n"/>
      <c r="B88" s="12" t="n"/>
      <c r="C88" s="55">
        <f>'Sales Candence'!B88</f>
        <v/>
      </c>
      <c r="D88" s="71" t="n"/>
      <c r="E88" s="71" t="n"/>
      <c r="F88" s="22" t="n"/>
      <c r="G88" s="22" t="n"/>
      <c r="H88" s="31" t="n"/>
      <c r="I88" s="23" t="n"/>
      <c r="J88" s="56" t="n"/>
      <c r="K88" s="22" t="n"/>
      <c r="L88" s="22" t="n"/>
      <c r="M88" s="22" t="n"/>
      <c r="N88" s="22" t="n"/>
      <c r="O88" s="22" t="n"/>
      <c r="P88" s="23" t="n"/>
      <c r="Q88" s="65" t="n"/>
      <c r="R88" s="65" t="n"/>
      <c r="S88" s="55" t="n"/>
      <c r="T88" s="55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</row>
    <row r="89" ht="51.75" customHeight="1" s="211">
      <c r="A89" s="16" t="n"/>
      <c r="B89" s="12" t="n"/>
      <c r="C89" s="55">
        <f>'Sales Candence'!B89</f>
        <v/>
      </c>
      <c r="D89" s="71" t="n"/>
      <c r="E89" s="71" t="n"/>
      <c r="F89" s="22" t="n"/>
      <c r="G89" s="22" t="n"/>
      <c r="H89" s="31" t="n"/>
      <c r="I89" s="23" t="n"/>
      <c r="J89" s="56" t="n"/>
      <c r="K89" s="22" t="n"/>
      <c r="L89" s="22" t="n"/>
      <c r="M89" s="22" t="n"/>
      <c r="N89" s="22" t="n"/>
      <c r="O89" s="22" t="n"/>
      <c r="P89" s="23" t="n"/>
      <c r="Q89" s="65" t="n"/>
      <c r="R89" s="65" t="n"/>
      <c r="S89" s="55" t="n"/>
      <c r="T89" s="55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</row>
    <row r="90" ht="51.75" customHeight="1" s="211">
      <c r="A90" s="16" t="n"/>
      <c r="B90" s="12" t="n"/>
      <c r="C90" s="55">
        <f>'Sales Candence'!B90</f>
        <v/>
      </c>
      <c r="D90" s="71" t="n"/>
      <c r="E90" s="71" t="n"/>
      <c r="F90" s="22" t="n"/>
      <c r="G90" s="22" t="n"/>
      <c r="H90" s="31" t="n"/>
      <c r="I90" s="23" t="n"/>
      <c r="J90" s="56" t="n"/>
      <c r="K90" s="22" t="n"/>
      <c r="L90" s="22" t="n"/>
      <c r="M90" s="22" t="n"/>
      <c r="N90" s="22" t="n"/>
      <c r="O90" s="22" t="n"/>
      <c r="P90" s="23" t="n"/>
      <c r="Q90" s="65" t="n"/>
      <c r="R90" s="65" t="n"/>
      <c r="S90" s="55" t="n"/>
      <c r="T90" s="55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</row>
    <row r="91" ht="51.75" customHeight="1" s="211">
      <c r="A91" s="16" t="n"/>
      <c r="B91" s="12" t="n"/>
      <c r="C91" s="55">
        <f>'Sales Candence'!B91</f>
        <v/>
      </c>
      <c r="D91" s="71" t="n"/>
      <c r="E91" s="71" t="n"/>
      <c r="F91" s="22" t="n"/>
      <c r="G91" s="22" t="n"/>
      <c r="H91" s="31" t="n"/>
      <c r="I91" s="23" t="n"/>
      <c r="J91" s="56" t="n"/>
      <c r="K91" s="22" t="n"/>
      <c r="L91" s="22" t="n"/>
      <c r="M91" s="22" t="n"/>
      <c r="N91" s="22" t="n"/>
      <c r="O91" s="22" t="n"/>
      <c r="P91" s="23" t="n"/>
      <c r="Q91" s="65" t="n"/>
      <c r="R91" s="65" t="n"/>
      <c r="S91" s="55" t="n"/>
      <c r="T91" s="55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</row>
    <row r="92" ht="51.75" customHeight="1" s="211">
      <c r="A92" s="16" t="n"/>
      <c r="B92" s="12" t="n"/>
      <c r="C92" s="55">
        <f>'Sales Candence'!B92</f>
        <v/>
      </c>
      <c r="D92" s="71" t="n"/>
      <c r="E92" s="71" t="n"/>
      <c r="F92" s="22" t="n"/>
      <c r="G92" s="22" t="n"/>
      <c r="H92" s="31" t="n"/>
      <c r="I92" s="23" t="n"/>
      <c r="J92" s="56" t="n"/>
      <c r="K92" s="22" t="n"/>
      <c r="L92" s="22" t="n"/>
      <c r="M92" s="22" t="n"/>
      <c r="N92" s="22" t="n"/>
      <c r="O92" s="22" t="n"/>
      <c r="P92" s="23" t="n"/>
      <c r="Q92" s="65" t="n"/>
      <c r="R92" s="65" t="n"/>
      <c r="S92" s="55" t="n"/>
      <c r="T92" s="55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</row>
    <row r="93" ht="51.75" customHeight="1" s="211">
      <c r="A93" s="16" t="n"/>
      <c r="B93" s="12" t="n"/>
      <c r="C93" s="55">
        <f>'Sales Candence'!B93</f>
        <v/>
      </c>
      <c r="D93" s="71" t="n"/>
      <c r="E93" s="71" t="n"/>
      <c r="F93" s="22" t="n"/>
      <c r="G93" s="22" t="n"/>
      <c r="H93" s="31" t="n"/>
      <c r="I93" s="23" t="n"/>
      <c r="J93" s="56" t="n"/>
      <c r="K93" s="22" t="n"/>
      <c r="L93" s="22" t="n"/>
      <c r="M93" s="22" t="n"/>
      <c r="N93" s="22" t="n"/>
      <c r="O93" s="22" t="n"/>
      <c r="P93" s="23" t="n"/>
      <c r="Q93" s="65" t="n"/>
      <c r="R93" s="65" t="n"/>
      <c r="S93" s="55" t="n"/>
      <c r="T93" s="55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</row>
    <row r="94" ht="51.75" customHeight="1" s="211">
      <c r="A94" s="55" t="n"/>
      <c r="B94" s="12" t="n"/>
      <c r="C94" s="55">
        <f>'Sales Candence'!B94</f>
        <v/>
      </c>
      <c r="D94" s="71" t="n"/>
      <c r="E94" s="71" t="n"/>
      <c r="F94" s="22" t="n"/>
      <c r="G94" s="22" t="n"/>
      <c r="H94" s="31" t="n"/>
      <c r="I94" s="23" t="n"/>
      <c r="J94" s="56" t="n"/>
      <c r="K94" s="22" t="n"/>
      <c r="L94" s="22" t="n"/>
      <c r="M94" s="22" t="n"/>
      <c r="N94" s="22" t="n"/>
      <c r="O94" s="22" t="n"/>
      <c r="P94" s="23" t="n"/>
      <c r="Q94" s="65" t="n"/>
      <c r="R94" s="65" t="n"/>
      <c r="S94" s="55" t="n"/>
      <c r="T94" s="55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</row>
    <row r="95" ht="51.75" customHeight="1" s="211">
      <c r="A95" s="55" t="n"/>
      <c r="B95" s="12" t="n"/>
      <c r="C95" s="55">
        <f>'Sales Candence'!B95</f>
        <v/>
      </c>
      <c r="D95" s="71" t="n"/>
      <c r="E95" s="71" t="n"/>
      <c r="F95" s="22" t="n"/>
      <c r="G95" s="22" t="n"/>
      <c r="H95" s="31" t="n"/>
      <c r="I95" s="23" t="n"/>
      <c r="J95" s="56" t="n"/>
      <c r="K95" s="22" t="n"/>
      <c r="L95" s="22" t="n"/>
      <c r="M95" s="22" t="n"/>
      <c r="N95" s="22" t="n"/>
      <c r="O95" s="22" t="n"/>
      <c r="P95" s="23" t="n"/>
      <c r="Q95" s="65" t="n"/>
      <c r="R95" s="65" t="n"/>
      <c r="S95" s="55" t="n"/>
      <c r="T95" s="55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</row>
    <row r="96" ht="51.75" customHeight="1" s="211">
      <c r="A96" s="55" t="n"/>
      <c r="B96" s="12" t="n"/>
      <c r="C96" s="55">
        <f>'Sales Candence'!B96</f>
        <v/>
      </c>
      <c r="D96" s="71" t="n"/>
      <c r="E96" s="71" t="n"/>
      <c r="F96" s="22" t="n"/>
      <c r="G96" s="22" t="n"/>
      <c r="H96" s="31" t="n"/>
      <c r="I96" s="23" t="n"/>
      <c r="J96" s="56" t="n"/>
      <c r="K96" s="22" t="n"/>
      <c r="L96" s="22" t="n"/>
      <c r="M96" s="22" t="n"/>
      <c r="N96" s="22" t="n"/>
      <c r="O96" s="22" t="n"/>
      <c r="P96" s="23" t="n"/>
      <c r="Q96" s="65" t="n"/>
      <c r="R96" s="65" t="n"/>
      <c r="S96" s="55" t="n"/>
      <c r="T96" s="55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</row>
    <row r="97" ht="51.75" customHeight="1" s="211">
      <c r="A97" s="55" t="n"/>
      <c r="B97" s="12" t="n"/>
      <c r="C97" s="55">
        <f>'Sales Candence'!B97</f>
        <v/>
      </c>
      <c r="D97" s="71" t="n"/>
      <c r="E97" s="71" t="n"/>
      <c r="F97" s="22" t="n"/>
      <c r="G97" s="22" t="n"/>
      <c r="H97" s="31" t="n"/>
      <c r="I97" s="23" t="n"/>
      <c r="J97" s="56" t="n"/>
      <c r="K97" s="22" t="n"/>
      <c r="L97" s="22" t="n"/>
      <c r="M97" s="22" t="n"/>
      <c r="N97" s="22" t="n"/>
      <c r="O97" s="22" t="n"/>
      <c r="P97" s="23" t="n"/>
      <c r="Q97" s="65" t="n"/>
      <c r="R97" s="65" t="n"/>
      <c r="S97" s="55" t="n"/>
      <c r="T97" s="55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</row>
    <row r="98" ht="51.75" customHeight="1" s="211">
      <c r="A98" s="55" t="n"/>
      <c r="B98" s="12" t="n"/>
      <c r="C98" s="55">
        <f>'Sales Candence'!B98</f>
        <v/>
      </c>
      <c r="D98" s="71" t="n"/>
      <c r="E98" s="71" t="n"/>
      <c r="F98" s="22" t="n"/>
      <c r="G98" s="22" t="n"/>
      <c r="H98" s="31" t="n"/>
      <c r="I98" s="23" t="n"/>
      <c r="J98" s="56" t="n"/>
      <c r="K98" s="22" t="n"/>
      <c r="L98" s="22" t="n"/>
      <c r="M98" s="22" t="n"/>
      <c r="N98" s="22" t="n"/>
      <c r="O98" s="22" t="n"/>
      <c r="P98" s="23" t="n"/>
      <c r="Q98" s="65" t="n"/>
      <c r="R98" s="65" t="n"/>
      <c r="S98" s="55" t="n"/>
      <c r="T98" s="55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</row>
    <row r="99" ht="51.75" customHeight="1" s="211">
      <c r="A99" s="55" t="n"/>
      <c r="B99" s="12" t="n"/>
      <c r="C99" s="55">
        <f>'Sales Candence'!B99</f>
        <v/>
      </c>
      <c r="D99" s="71" t="n"/>
      <c r="E99" s="71" t="n"/>
      <c r="F99" s="22" t="n"/>
      <c r="G99" s="22" t="n"/>
      <c r="H99" s="31" t="n"/>
      <c r="I99" s="23" t="n"/>
      <c r="J99" s="56" t="n"/>
      <c r="K99" s="22" t="n"/>
      <c r="L99" s="22" t="n"/>
      <c r="M99" s="22" t="n"/>
      <c r="N99" s="22" t="n"/>
      <c r="O99" s="22" t="n"/>
      <c r="P99" s="23" t="n"/>
      <c r="Q99" s="65" t="n"/>
      <c r="R99" s="65" t="n"/>
      <c r="S99" s="55" t="n"/>
      <c r="T99" s="55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</row>
    <row r="100" ht="51.75" customHeight="1" s="211">
      <c r="A100" s="55" t="n"/>
      <c r="B100" s="12" t="n"/>
      <c r="C100" s="55">
        <f>'Sales Candence'!B100</f>
        <v/>
      </c>
      <c r="D100" s="71" t="n"/>
      <c r="E100" s="71" t="n"/>
      <c r="F100" s="22" t="n"/>
      <c r="G100" s="22" t="n"/>
      <c r="H100" s="31" t="n"/>
      <c r="I100" s="23" t="n"/>
      <c r="J100" s="56" t="n"/>
      <c r="K100" s="22" t="n"/>
      <c r="L100" s="22" t="n"/>
      <c r="M100" s="22" t="n"/>
      <c r="N100" s="22" t="n"/>
      <c r="O100" s="22" t="n"/>
      <c r="P100" s="23" t="n"/>
      <c r="Q100" s="65" t="n"/>
      <c r="R100" s="65" t="n"/>
      <c r="S100" s="55" t="n"/>
      <c r="T100" s="55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</row>
    <row r="101" ht="51.75" customHeight="1" s="211">
      <c r="A101" s="55" t="n"/>
      <c r="B101" s="12" t="n"/>
      <c r="C101" s="55">
        <f>'Sales Candence'!B101</f>
        <v/>
      </c>
      <c r="D101" s="71" t="n"/>
      <c r="E101" s="71" t="n"/>
      <c r="F101" s="22" t="n"/>
      <c r="G101" s="22" t="n"/>
      <c r="H101" s="31" t="n"/>
      <c r="I101" s="23" t="n"/>
      <c r="J101" s="56" t="n"/>
      <c r="K101" s="22" t="n"/>
      <c r="L101" s="22" t="n"/>
      <c r="M101" s="22" t="n"/>
      <c r="N101" s="22" t="n"/>
      <c r="O101" s="22" t="n"/>
      <c r="P101" s="23" t="n"/>
      <c r="Q101" s="65" t="n"/>
      <c r="R101" s="65" t="n"/>
      <c r="S101" s="55" t="n"/>
      <c r="T101" s="55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</row>
    <row r="102" ht="51.75" customHeight="1" s="211">
      <c r="A102" s="55" t="n"/>
      <c r="B102" s="12" t="n"/>
      <c r="C102" s="55">
        <f>'Sales Candence'!B102</f>
        <v/>
      </c>
      <c r="D102" s="71" t="n"/>
      <c r="E102" s="71" t="n"/>
      <c r="F102" s="22" t="n"/>
      <c r="G102" s="22" t="n"/>
      <c r="H102" s="31" t="n"/>
      <c r="I102" s="23" t="n"/>
      <c r="J102" s="56" t="n"/>
      <c r="K102" s="22" t="n"/>
      <c r="L102" s="22" t="n"/>
      <c r="M102" s="22" t="n"/>
      <c r="N102" s="22" t="n"/>
      <c r="O102" s="22" t="n"/>
      <c r="P102" s="23" t="n"/>
      <c r="Q102" s="65" t="n"/>
      <c r="R102" s="65" t="n"/>
      <c r="S102" s="55" t="n"/>
      <c r="T102" s="55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</row>
    <row r="103" ht="51.75" customHeight="1" s="211">
      <c r="A103" s="55" t="n"/>
      <c r="B103" s="12" t="n"/>
      <c r="C103" s="55">
        <f>'Sales Candence'!B103</f>
        <v/>
      </c>
      <c r="D103" s="71" t="n"/>
      <c r="E103" s="71" t="n"/>
      <c r="F103" s="22" t="n"/>
      <c r="G103" s="22" t="n"/>
      <c r="H103" s="31" t="n"/>
      <c r="I103" s="23" t="n"/>
      <c r="J103" s="56" t="n"/>
      <c r="K103" s="22" t="n"/>
      <c r="L103" s="22" t="n"/>
      <c r="M103" s="22" t="n"/>
      <c r="N103" s="22" t="n"/>
      <c r="O103" s="22" t="n"/>
      <c r="P103" s="23" t="n"/>
      <c r="Q103" s="65" t="n"/>
      <c r="R103" s="65" t="n"/>
      <c r="S103" s="55" t="n"/>
      <c r="T103" s="55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</row>
    <row r="104" ht="51.75" customHeight="1" s="211">
      <c r="A104" s="55" t="n"/>
      <c r="B104" s="12" t="n"/>
      <c r="C104" s="55">
        <f>'Sales Candence'!B104</f>
        <v/>
      </c>
      <c r="D104" s="71" t="n"/>
      <c r="E104" s="71" t="n"/>
      <c r="F104" s="22" t="n"/>
      <c r="G104" s="22" t="n"/>
      <c r="H104" s="31" t="n"/>
      <c r="I104" s="23" t="n"/>
      <c r="J104" s="56" t="n"/>
      <c r="K104" s="22" t="n"/>
      <c r="L104" s="22" t="n"/>
      <c r="M104" s="22" t="n"/>
      <c r="N104" s="22" t="n"/>
      <c r="O104" s="22" t="n"/>
      <c r="P104" s="23" t="n"/>
      <c r="Q104" s="65" t="n"/>
      <c r="R104" s="65" t="n"/>
      <c r="S104" s="55" t="n"/>
      <c r="T104" s="55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</row>
    <row r="105" ht="51.75" customHeight="1" s="211">
      <c r="A105" s="55" t="n"/>
      <c r="B105" s="12" t="n"/>
      <c r="C105" s="55">
        <f>'Sales Candence'!B105</f>
        <v/>
      </c>
      <c r="D105" s="71" t="n"/>
      <c r="E105" s="71" t="n"/>
      <c r="F105" s="22" t="n"/>
      <c r="G105" s="22" t="n"/>
      <c r="H105" s="31" t="n"/>
      <c r="I105" s="23" t="n"/>
      <c r="J105" s="56" t="n"/>
      <c r="K105" s="22" t="n"/>
      <c r="L105" s="22" t="n"/>
      <c r="M105" s="22" t="n"/>
      <c r="N105" s="22" t="n"/>
      <c r="O105" s="22" t="n"/>
      <c r="P105" s="23" t="n"/>
      <c r="Q105" s="65" t="n"/>
      <c r="R105" s="65" t="n"/>
      <c r="S105" s="55" t="n"/>
      <c r="T105" s="55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</row>
    <row r="106" ht="51.75" customHeight="1" s="211">
      <c r="A106" s="55" t="n"/>
      <c r="B106" s="12" t="n"/>
      <c r="C106" s="55">
        <f>'Sales Candence'!B106</f>
        <v/>
      </c>
      <c r="D106" s="71" t="n"/>
      <c r="E106" s="71" t="n"/>
      <c r="F106" s="22" t="n"/>
      <c r="G106" s="22" t="n"/>
      <c r="H106" s="31" t="n"/>
      <c r="I106" s="23" t="n"/>
      <c r="J106" s="56" t="n"/>
      <c r="K106" s="22" t="n"/>
      <c r="L106" s="22" t="n"/>
      <c r="M106" s="22" t="n"/>
      <c r="N106" s="22" t="n"/>
      <c r="O106" s="22" t="n"/>
      <c r="P106" s="23" t="n"/>
      <c r="Q106" s="65" t="n"/>
      <c r="R106" s="65" t="n"/>
      <c r="S106" s="55" t="n"/>
      <c r="T106" s="55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</row>
    <row r="107" ht="51.75" customHeight="1" s="211">
      <c r="A107" s="55" t="n"/>
      <c r="B107" s="12" t="n"/>
      <c r="C107" s="55">
        <f>'Sales Candence'!B107</f>
        <v/>
      </c>
      <c r="D107" s="71" t="n"/>
      <c r="E107" s="71" t="n"/>
      <c r="F107" s="22" t="n"/>
      <c r="G107" s="22" t="n"/>
      <c r="H107" s="31" t="n"/>
      <c r="I107" s="23" t="n"/>
      <c r="J107" s="56" t="n"/>
      <c r="K107" s="22" t="n"/>
      <c r="L107" s="22" t="n"/>
      <c r="M107" s="22" t="n"/>
      <c r="N107" s="22" t="n"/>
      <c r="O107" s="22" t="n"/>
      <c r="P107" s="23" t="n"/>
      <c r="Q107" s="65" t="n"/>
      <c r="R107" s="65" t="n"/>
      <c r="S107" s="55" t="n"/>
      <c r="T107" s="55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</row>
    <row r="108" ht="51.75" customHeight="1" s="211">
      <c r="A108" s="55" t="n"/>
      <c r="B108" s="12" t="n"/>
      <c r="C108" s="55">
        <f>'Sales Candence'!B108</f>
        <v/>
      </c>
      <c r="D108" s="71" t="n"/>
      <c r="E108" s="71" t="n"/>
      <c r="F108" s="22" t="n"/>
      <c r="G108" s="22" t="n"/>
      <c r="H108" s="31" t="n"/>
      <c r="I108" s="23" t="n"/>
      <c r="J108" s="56" t="n"/>
      <c r="K108" s="22" t="n"/>
      <c r="L108" s="22" t="n"/>
      <c r="M108" s="22" t="n"/>
      <c r="N108" s="22" t="n"/>
      <c r="O108" s="22" t="n"/>
      <c r="P108" s="23" t="n"/>
      <c r="Q108" s="65" t="n"/>
      <c r="R108" s="65" t="n"/>
      <c r="S108" s="55" t="n"/>
      <c r="T108" s="55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</row>
    <row r="109" ht="51.75" customHeight="1" s="211">
      <c r="A109" s="55" t="n"/>
      <c r="B109" s="12" t="n"/>
      <c r="C109" s="55">
        <f>'Sales Candence'!B109</f>
        <v/>
      </c>
      <c r="D109" s="71" t="n"/>
      <c r="E109" s="71" t="n"/>
      <c r="F109" s="22" t="n"/>
      <c r="G109" s="22" t="n"/>
      <c r="H109" s="31" t="n"/>
      <c r="I109" s="23" t="n"/>
      <c r="J109" s="56" t="n"/>
      <c r="K109" s="22" t="n"/>
      <c r="L109" s="22" t="n"/>
      <c r="M109" s="22" t="n"/>
      <c r="N109" s="22" t="n"/>
      <c r="O109" s="22" t="n"/>
      <c r="P109" s="23" t="n"/>
      <c r="Q109" s="65" t="n"/>
      <c r="R109" s="65" t="n"/>
      <c r="S109" s="55" t="n"/>
      <c r="T109" s="55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</row>
    <row r="110" ht="51.75" customHeight="1" s="211">
      <c r="A110" s="55" t="n"/>
      <c r="B110" s="12" t="n"/>
      <c r="C110" s="55">
        <f>'Sales Candence'!B110</f>
        <v/>
      </c>
      <c r="D110" s="71" t="n"/>
      <c r="E110" s="71" t="n"/>
      <c r="F110" s="22" t="n"/>
      <c r="G110" s="22" t="n"/>
      <c r="H110" s="31" t="n"/>
      <c r="I110" s="23" t="n"/>
      <c r="J110" s="56" t="n"/>
      <c r="K110" s="22" t="n"/>
      <c r="L110" s="22" t="n"/>
      <c r="M110" s="22" t="n"/>
      <c r="N110" s="22" t="n"/>
      <c r="O110" s="22" t="n"/>
      <c r="P110" s="23" t="n"/>
      <c r="Q110" s="65" t="n"/>
      <c r="R110" s="65" t="n"/>
      <c r="S110" s="55" t="n"/>
      <c r="T110" s="55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</row>
    <row r="111" ht="51.75" customHeight="1" s="211">
      <c r="A111" s="55" t="n"/>
      <c r="B111" s="12" t="n"/>
      <c r="C111" s="55">
        <f>'Sales Candence'!B111</f>
        <v/>
      </c>
      <c r="D111" s="71" t="n"/>
      <c r="E111" s="71" t="n"/>
      <c r="F111" s="22" t="n"/>
      <c r="G111" s="22" t="n"/>
      <c r="H111" s="31" t="n"/>
      <c r="I111" s="23" t="n"/>
      <c r="J111" s="56" t="n"/>
      <c r="K111" s="22" t="n"/>
      <c r="L111" s="22" t="n"/>
      <c r="M111" s="22" t="n"/>
      <c r="N111" s="22" t="n"/>
      <c r="O111" s="22" t="n"/>
      <c r="P111" s="23" t="n"/>
      <c r="Q111" s="65" t="n"/>
      <c r="R111" s="65" t="n"/>
      <c r="S111" s="55" t="n"/>
      <c r="T111" s="55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</row>
    <row r="112" ht="51.75" customHeight="1" s="211">
      <c r="A112" s="55" t="n"/>
      <c r="B112" s="12" t="n"/>
      <c r="C112" s="55">
        <f>'Sales Candence'!B112</f>
        <v/>
      </c>
      <c r="D112" s="71" t="n"/>
      <c r="E112" s="71" t="n"/>
      <c r="F112" s="22" t="n"/>
      <c r="G112" s="22" t="n"/>
      <c r="H112" s="31" t="n"/>
      <c r="I112" s="23" t="n"/>
      <c r="J112" s="56" t="n"/>
      <c r="K112" s="22" t="n"/>
      <c r="L112" s="22" t="n"/>
      <c r="M112" s="22" t="n"/>
      <c r="N112" s="22" t="n"/>
      <c r="O112" s="22" t="n"/>
      <c r="P112" s="23" t="n"/>
      <c r="Q112" s="65" t="n"/>
      <c r="R112" s="65" t="n"/>
      <c r="S112" s="55" t="n"/>
      <c r="T112" s="55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</row>
    <row r="113" ht="51.75" customHeight="1" s="211">
      <c r="A113" s="55" t="n"/>
      <c r="B113" s="12" t="n"/>
      <c r="C113" s="55">
        <f>'Sales Candence'!B113</f>
        <v/>
      </c>
      <c r="D113" s="71" t="n"/>
      <c r="E113" s="71" t="n"/>
      <c r="F113" s="22" t="n"/>
      <c r="G113" s="22" t="n"/>
      <c r="H113" s="31" t="n"/>
      <c r="I113" s="23" t="n"/>
      <c r="J113" s="56" t="n"/>
      <c r="K113" s="22" t="n"/>
      <c r="L113" s="22" t="n"/>
      <c r="M113" s="22" t="n"/>
      <c r="N113" s="22" t="n"/>
      <c r="O113" s="22" t="n"/>
      <c r="P113" s="23" t="n"/>
      <c r="Q113" s="65" t="n"/>
      <c r="R113" s="65" t="n"/>
      <c r="S113" s="55" t="n"/>
      <c r="T113" s="55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</row>
    <row r="114" ht="51.75" customHeight="1" s="211">
      <c r="A114" s="55" t="n"/>
      <c r="B114" s="12" t="n"/>
      <c r="C114" s="55">
        <f>'Sales Candence'!B114</f>
        <v/>
      </c>
      <c r="D114" s="71" t="n"/>
      <c r="E114" s="71" t="n"/>
      <c r="F114" s="22" t="n"/>
      <c r="G114" s="22" t="n"/>
      <c r="H114" s="31" t="n"/>
      <c r="I114" s="23" t="n"/>
      <c r="J114" s="56" t="n"/>
      <c r="K114" s="22" t="n"/>
      <c r="L114" s="22" t="n"/>
      <c r="M114" s="22" t="n"/>
      <c r="N114" s="22" t="n"/>
      <c r="O114" s="22" t="n"/>
      <c r="P114" s="23" t="n"/>
      <c r="Q114" s="65" t="n"/>
      <c r="R114" s="65" t="n"/>
      <c r="S114" s="55" t="n"/>
      <c r="T114" s="55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</row>
    <row r="115" ht="51.75" customHeight="1" s="211">
      <c r="A115" s="55" t="n"/>
      <c r="B115" s="12" t="n"/>
      <c r="C115" s="55">
        <f>'Sales Candence'!B115</f>
        <v/>
      </c>
      <c r="D115" s="71" t="n"/>
      <c r="E115" s="71" t="n"/>
      <c r="F115" s="22" t="n"/>
      <c r="G115" s="22" t="n"/>
      <c r="H115" s="31" t="n"/>
      <c r="I115" s="23" t="n"/>
      <c r="J115" s="56" t="n"/>
      <c r="K115" s="22" t="n"/>
      <c r="L115" s="22" t="n"/>
      <c r="M115" s="22" t="n"/>
      <c r="N115" s="22" t="n"/>
      <c r="O115" s="22" t="n"/>
      <c r="P115" s="23" t="n"/>
      <c r="Q115" s="65" t="n"/>
      <c r="R115" s="65" t="n"/>
      <c r="S115" s="55" t="n"/>
      <c r="T115" s="55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</row>
    <row r="116" ht="51.75" customHeight="1" s="211">
      <c r="A116" s="55" t="n"/>
      <c r="B116" s="12" t="n"/>
      <c r="C116" s="55">
        <f>'Sales Candence'!B116</f>
        <v/>
      </c>
      <c r="D116" s="71" t="n"/>
      <c r="E116" s="71" t="n"/>
      <c r="F116" s="22" t="n"/>
      <c r="G116" s="22" t="n"/>
      <c r="H116" s="31" t="n"/>
      <c r="I116" s="23" t="n"/>
      <c r="J116" s="56" t="n"/>
      <c r="K116" s="22" t="n"/>
      <c r="L116" s="22" t="n"/>
      <c r="M116" s="22" t="n"/>
      <c r="N116" s="22" t="n"/>
      <c r="O116" s="22" t="n"/>
      <c r="P116" s="23" t="n"/>
      <c r="Q116" s="65" t="n"/>
      <c r="R116" s="65" t="n"/>
      <c r="S116" s="55" t="n"/>
      <c r="T116" s="55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</row>
    <row r="117" ht="51.75" customHeight="1" s="211">
      <c r="A117" s="55" t="n"/>
      <c r="B117" s="12" t="n"/>
      <c r="C117" s="55">
        <f>'Sales Candence'!B117</f>
        <v/>
      </c>
      <c r="D117" s="71" t="n"/>
      <c r="E117" s="71" t="n"/>
      <c r="F117" s="22" t="n"/>
      <c r="G117" s="22" t="n"/>
      <c r="H117" s="31" t="n"/>
      <c r="I117" s="23" t="n"/>
      <c r="J117" s="56" t="n"/>
      <c r="K117" s="22" t="n"/>
      <c r="L117" s="22" t="n"/>
      <c r="M117" s="22" t="n"/>
      <c r="N117" s="22" t="n"/>
      <c r="O117" s="22" t="n"/>
      <c r="P117" s="23" t="n"/>
      <c r="Q117" s="65" t="n"/>
      <c r="R117" s="65" t="n"/>
      <c r="S117" s="55" t="n"/>
      <c r="T117" s="55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</row>
    <row r="118" ht="51.75" customHeight="1" s="211">
      <c r="A118" s="55" t="n"/>
      <c r="B118" s="12" t="n"/>
      <c r="C118" s="55">
        <f>'Sales Candence'!B118</f>
        <v/>
      </c>
      <c r="D118" s="71" t="n"/>
      <c r="E118" s="71" t="n"/>
      <c r="F118" s="22" t="n"/>
      <c r="G118" s="22" t="n"/>
      <c r="H118" s="31" t="n"/>
      <c r="I118" s="23" t="n"/>
      <c r="J118" s="56" t="n"/>
      <c r="K118" s="22" t="n"/>
      <c r="L118" s="22" t="n"/>
      <c r="M118" s="22" t="n"/>
      <c r="N118" s="22" t="n"/>
      <c r="O118" s="22" t="n"/>
      <c r="P118" s="23" t="n"/>
      <c r="Q118" s="65" t="n"/>
      <c r="R118" s="65" t="n"/>
      <c r="S118" s="55" t="n"/>
      <c r="T118" s="55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</row>
    <row r="119" ht="51.75" customHeight="1" s="211">
      <c r="A119" s="55" t="n"/>
      <c r="B119" s="12" t="n"/>
      <c r="C119" s="55">
        <f>'Sales Candence'!B119</f>
        <v/>
      </c>
      <c r="D119" s="71" t="n"/>
      <c r="E119" s="71" t="n"/>
      <c r="F119" s="22" t="n"/>
      <c r="G119" s="22" t="n"/>
      <c r="H119" s="31" t="n"/>
      <c r="I119" s="23" t="n"/>
      <c r="J119" s="56" t="n"/>
      <c r="K119" s="22" t="n"/>
      <c r="L119" s="22" t="n"/>
      <c r="M119" s="22" t="n"/>
      <c r="N119" s="22" t="n"/>
      <c r="O119" s="22" t="n"/>
      <c r="P119" s="23" t="n"/>
      <c r="Q119" s="65" t="n"/>
      <c r="R119" s="65" t="n"/>
      <c r="S119" s="55" t="n"/>
      <c r="T119" s="55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</row>
    <row r="120" ht="51.75" customHeight="1" s="211">
      <c r="A120" s="55" t="n"/>
      <c r="B120" s="12" t="n"/>
      <c r="C120" s="55">
        <f>'Sales Candence'!B120</f>
        <v/>
      </c>
      <c r="D120" s="71" t="n"/>
      <c r="E120" s="71" t="n"/>
      <c r="F120" s="22" t="n"/>
      <c r="G120" s="22" t="n"/>
      <c r="H120" s="31" t="n"/>
      <c r="I120" s="23" t="n"/>
      <c r="J120" s="56" t="n"/>
      <c r="K120" s="22" t="n"/>
      <c r="L120" s="22" t="n"/>
      <c r="M120" s="22" t="n"/>
      <c r="N120" s="22" t="n"/>
      <c r="O120" s="22" t="n"/>
      <c r="P120" s="23" t="n"/>
      <c r="Q120" s="65" t="n"/>
      <c r="R120" s="65" t="n"/>
      <c r="S120" s="55" t="n"/>
      <c r="T120" s="55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</row>
    <row r="121" ht="51.75" customHeight="1" s="211">
      <c r="A121" s="55" t="n"/>
      <c r="B121" s="12" t="n"/>
      <c r="C121" s="55">
        <f>'Sales Candence'!B121</f>
        <v/>
      </c>
      <c r="D121" s="71" t="n"/>
      <c r="E121" s="71" t="n"/>
      <c r="F121" s="22" t="n"/>
      <c r="G121" s="22" t="n"/>
      <c r="H121" s="31" t="n"/>
      <c r="I121" s="23" t="n"/>
      <c r="J121" s="56" t="n"/>
      <c r="K121" s="22" t="n"/>
      <c r="L121" s="22" t="n"/>
      <c r="M121" s="22" t="n"/>
      <c r="N121" s="22" t="n"/>
      <c r="O121" s="22" t="n"/>
      <c r="P121" s="23" t="n"/>
      <c r="Q121" s="65" t="n"/>
      <c r="R121" s="65" t="n"/>
      <c r="S121" s="55" t="n"/>
      <c r="T121" s="55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</row>
    <row r="122" ht="51.75" customHeight="1" s="211">
      <c r="A122" s="55" t="n"/>
      <c r="B122" s="12" t="n"/>
      <c r="C122" s="55">
        <f>'Sales Candence'!B122</f>
        <v/>
      </c>
      <c r="D122" s="71" t="n"/>
      <c r="E122" s="71" t="n"/>
      <c r="F122" s="22" t="n"/>
      <c r="G122" s="22" t="n"/>
      <c r="H122" s="31" t="n"/>
      <c r="I122" s="23" t="n"/>
      <c r="J122" s="56" t="n"/>
      <c r="K122" s="22" t="n"/>
      <c r="L122" s="22" t="n"/>
      <c r="M122" s="22" t="n"/>
      <c r="N122" s="22" t="n"/>
      <c r="O122" s="22" t="n"/>
      <c r="P122" s="23" t="n"/>
      <c r="Q122" s="65" t="n"/>
      <c r="R122" s="65" t="n"/>
      <c r="S122" s="55" t="n"/>
      <c r="T122" s="55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</row>
    <row r="123" ht="51.75" customHeight="1" s="211">
      <c r="A123" s="55" t="n"/>
      <c r="B123" s="12" t="n"/>
      <c r="C123" s="55">
        <f>'Sales Candence'!B123</f>
        <v/>
      </c>
      <c r="D123" s="71" t="n"/>
      <c r="E123" s="71" t="n"/>
      <c r="F123" s="22" t="n"/>
      <c r="G123" s="22" t="n"/>
      <c r="H123" s="31" t="n"/>
      <c r="I123" s="23" t="n"/>
      <c r="J123" s="56" t="n"/>
      <c r="K123" s="22" t="n"/>
      <c r="L123" s="22" t="n"/>
      <c r="M123" s="22" t="n"/>
      <c r="N123" s="22" t="n"/>
      <c r="O123" s="22" t="n"/>
      <c r="P123" s="23" t="n"/>
      <c r="Q123" s="65" t="n"/>
      <c r="R123" s="65" t="n"/>
      <c r="S123" s="55" t="n"/>
      <c r="T123" s="55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</row>
    <row r="124" ht="51.75" customHeight="1" s="211">
      <c r="A124" s="55" t="n"/>
      <c r="B124" s="12" t="n"/>
      <c r="C124" s="55">
        <f>'Sales Candence'!B124</f>
        <v/>
      </c>
      <c r="D124" s="71" t="n"/>
      <c r="E124" s="71" t="n"/>
      <c r="F124" s="22" t="n"/>
      <c r="G124" s="22" t="n"/>
      <c r="H124" s="31" t="n"/>
      <c r="I124" s="23" t="n"/>
      <c r="J124" s="56" t="n"/>
      <c r="K124" s="22" t="n"/>
      <c r="L124" s="22" t="n"/>
      <c r="M124" s="22" t="n"/>
      <c r="N124" s="22" t="n"/>
      <c r="O124" s="22" t="n"/>
      <c r="P124" s="23" t="n"/>
      <c r="Q124" s="65" t="n"/>
      <c r="R124" s="65" t="n"/>
      <c r="S124" s="55" t="n"/>
      <c r="T124" s="55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</row>
    <row r="125" ht="51.75" customHeight="1" s="211">
      <c r="A125" s="55" t="n"/>
      <c r="B125" s="12" t="n"/>
      <c r="C125" s="55">
        <f>'Sales Candence'!B125</f>
        <v/>
      </c>
      <c r="D125" s="71" t="n"/>
      <c r="E125" s="71" t="n"/>
      <c r="F125" s="22" t="n"/>
      <c r="G125" s="22" t="n"/>
      <c r="H125" s="31" t="n"/>
      <c r="I125" s="23" t="n"/>
      <c r="J125" s="56" t="n"/>
      <c r="K125" s="22" t="n"/>
      <c r="L125" s="22" t="n"/>
      <c r="M125" s="22" t="n"/>
      <c r="N125" s="22" t="n"/>
      <c r="O125" s="22" t="n"/>
      <c r="P125" s="23" t="n"/>
      <c r="Q125" s="65" t="n"/>
      <c r="R125" s="65" t="n"/>
      <c r="S125" s="55" t="n"/>
      <c r="T125" s="55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</row>
    <row r="126" ht="51.75" customHeight="1" s="211">
      <c r="A126" s="55" t="n"/>
      <c r="B126" s="12" t="n"/>
      <c r="C126" s="55">
        <f>'Sales Candence'!B126</f>
        <v/>
      </c>
      <c r="D126" s="71" t="n"/>
      <c r="E126" s="71" t="n"/>
      <c r="F126" s="22" t="n"/>
      <c r="G126" s="22" t="n"/>
      <c r="H126" s="31" t="n"/>
      <c r="I126" s="23" t="n"/>
      <c r="J126" s="56" t="n"/>
      <c r="K126" s="22" t="n"/>
      <c r="L126" s="22" t="n"/>
      <c r="M126" s="22" t="n"/>
      <c r="N126" s="22" t="n"/>
      <c r="O126" s="22" t="n"/>
      <c r="P126" s="23" t="n"/>
      <c r="Q126" s="65" t="n"/>
      <c r="R126" s="65" t="n"/>
      <c r="S126" s="55" t="n"/>
      <c r="T126" s="55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</row>
    <row r="127" ht="51.75" customHeight="1" s="211">
      <c r="A127" s="55" t="n"/>
      <c r="B127" s="12" t="n"/>
      <c r="C127" s="55">
        <f>'Sales Candence'!B127</f>
        <v/>
      </c>
      <c r="D127" s="71" t="n"/>
      <c r="E127" s="71" t="n"/>
      <c r="F127" s="22" t="n"/>
      <c r="G127" s="22" t="n"/>
      <c r="H127" s="31" t="n"/>
      <c r="I127" s="23" t="n"/>
      <c r="J127" s="56" t="n"/>
      <c r="K127" s="22" t="n"/>
      <c r="L127" s="22" t="n"/>
      <c r="M127" s="22" t="n"/>
      <c r="N127" s="22" t="n"/>
      <c r="O127" s="22" t="n"/>
      <c r="P127" s="23" t="n"/>
      <c r="Q127" s="65" t="n"/>
      <c r="R127" s="65" t="n"/>
      <c r="S127" s="55" t="n"/>
      <c r="T127" s="55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</row>
    <row r="128" ht="51.75" customHeight="1" s="211">
      <c r="A128" s="55" t="n"/>
      <c r="B128" s="12" t="n"/>
      <c r="C128" s="55">
        <f>'Sales Candence'!B128</f>
        <v/>
      </c>
      <c r="D128" s="71" t="n"/>
      <c r="E128" s="71" t="n"/>
      <c r="F128" s="22" t="n"/>
      <c r="G128" s="22" t="n"/>
      <c r="H128" s="31" t="n"/>
      <c r="I128" s="23" t="n"/>
      <c r="J128" s="56" t="n"/>
      <c r="K128" s="22" t="n"/>
      <c r="L128" s="22" t="n"/>
      <c r="M128" s="22" t="n"/>
      <c r="N128" s="22" t="n"/>
      <c r="O128" s="22" t="n"/>
      <c r="P128" s="23" t="n"/>
      <c r="Q128" s="65" t="n"/>
      <c r="R128" s="65" t="n"/>
      <c r="S128" s="55" t="n"/>
      <c r="T128" s="55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</row>
    <row r="129" ht="51.75" customHeight="1" s="211">
      <c r="A129" s="55" t="n"/>
      <c r="B129" s="12" t="n"/>
      <c r="C129" s="55">
        <f>'Sales Candence'!B129</f>
        <v/>
      </c>
      <c r="D129" s="71" t="n"/>
      <c r="E129" s="71" t="n"/>
      <c r="F129" s="22" t="n"/>
      <c r="G129" s="22" t="n"/>
      <c r="H129" s="31" t="n"/>
      <c r="I129" s="23" t="n"/>
      <c r="J129" s="56" t="n"/>
      <c r="K129" s="22" t="n"/>
      <c r="L129" s="22" t="n"/>
      <c r="M129" s="22" t="n"/>
      <c r="N129" s="22" t="n"/>
      <c r="O129" s="22" t="n"/>
      <c r="P129" s="23" t="n"/>
      <c r="Q129" s="65" t="n"/>
      <c r="R129" s="65" t="n"/>
      <c r="S129" s="55" t="n"/>
      <c r="T129" s="55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</row>
    <row r="130" ht="51.75" customHeight="1" s="211">
      <c r="A130" s="55" t="n"/>
      <c r="B130" s="12" t="n"/>
      <c r="C130" s="55">
        <f>'Sales Candence'!B130</f>
        <v/>
      </c>
      <c r="D130" s="71" t="n"/>
      <c r="E130" s="71" t="n"/>
      <c r="F130" s="22" t="n"/>
      <c r="G130" s="22" t="n"/>
      <c r="H130" s="31" t="n"/>
      <c r="I130" s="23" t="n"/>
      <c r="J130" s="56" t="n"/>
      <c r="K130" s="22" t="n"/>
      <c r="L130" s="22" t="n"/>
      <c r="M130" s="22" t="n"/>
      <c r="N130" s="22" t="n"/>
      <c r="O130" s="22" t="n"/>
      <c r="P130" s="23" t="n"/>
      <c r="Q130" s="65" t="n"/>
      <c r="R130" s="65" t="n"/>
      <c r="S130" s="55" t="n"/>
      <c r="T130" s="55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</row>
    <row r="131" ht="51.75" customHeight="1" s="211">
      <c r="A131" s="55" t="n"/>
      <c r="B131" s="12" t="n"/>
      <c r="C131" s="55">
        <f>'Sales Candence'!B131</f>
        <v/>
      </c>
      <c r="D131" s="71" t="n"/>
      <c r="E131" s="71" t="n"/>
      <c r="F131" s="22" t="n"/>
      <c r="G131" s="22" t="n"/>
      <c r="H131" s="31" t="n"/>
      <c r="I131" s="23" t="n"/>
      <c r="J131" s="56" t="n"/>
      <c r="K131" s="22" t="n"/>
      <c r="L131" s="22" t="n"/>
      <c r="M131" s="22" t="n"/>
      <c r="N131" s="22" t="n"/>
      <c r="O131" s="22" t="n"/>
      <c r="P131" s="23" t="n"/>
      <c r="Q131" s="65" t="n"/>
      <c r="R131" s="65" t="n"/>
      <c r="S131" s="55" t="n"/>
      <c r="T131" s="55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</row>
    <row r="132" ht="51.75" customHeight="1" s="211">
      <c r="A132" s="55" t="n"/>
      <c r="B132" s="12" t="n"/>
      <c r="C132" s="55">
        <f>'Sales Candence'!B132</f>
        <v/>
      </c>
      <c r="D132" s="71" t="n"/>
      <c r="E132" s="71" t="n"/>
      <c r="F132" s="22" t="n"/>
      <c r="G132" s="22" t="n"/>
      <c r="H132" s="31" t="n"/>
      <c r="I132" s="23" t="n"/>
      <c r="J132" s="56" t="n"/>
      <c r="K132" s="22" t="n"/>
      <c r="L132" s="22" t="n"/>
      <c r="M132" s="22" t="n"/>
      <c r="N132" s="22" t="n"/>
      <c r="O132" s="22" t="n"/>
      <c r="P132" s="23" t="n"/>
      <c r="Q132" s="65" t="n"/>
      <c r="R132" s="65" t="n"/>
      <c r="S132" s="55" t="n"/>
      <c r="T132" s="55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</row>
    <row r="133" ht="51.75" customHeight="1" s="211">
      <c r="A133" s="55" t="n"/>
      <c r="B133" s="12" t="n"/>
      <c r="C133" s="55">
        <f>'Sales Candence'!B133</f>
        <v/>
      </c>
      <c r="D133" s="71" t="n"/>
      <c r="E133" s="71" t="n"/>
      <c r="F133" s="22" t="n"/>
      <c r="G133" s="22" t="n"/>
      <c r="H133" s="31" t="n"/>
      <c r="I133" s="23" t="n"/>
      <c r="J133" s="56" t="n"/>
      <c r="K133" s="22" t="n"/>
      <c r="L133" s="22" t="n"/>
      <c r="M133" s="22" t="n"/>
      <c r="N133" s="22" t="n"/>
      <c r="O133" s="22" t="n"/>
      <c r="P133" s="23" t="n"/>
      <c r="Q133" s="65" t="n"/>
      <c r="R133" s="65" t="n"/>
      <c r="S133" s="55" t="n"/>
      <c r="T133" s="55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</row>
    <row r="134" ht="51.75" customHeight="1" s="211">
      <c r="A134" s="55" t="n"/>
      <c r="B134" s="12" t="n"/>
      <c r="C134" s="55">
        <f>'Sales Candence'!B134</f>
        <v/>
      </c>
      <c r="D134" s="71" t="n"/>
      <c r="E134" s="71" t="n"/>
      <c r="F134" s="22" t="n"/>
      <c r="G134" s="22" t="n"/>
      <c r="H134" s="31" t="n"/>
      <c r="I134" s="23" t="n"/>
      <c r="J134" s="56" t="n"/>
      <c r="K134" s="22" t="n"/>
      <c r="L134" s="22" t="n"/>
      <c r="M134" s="22" t="n"/>
      <c r="N134" s="22" t="n"/>
      <c r="O134" s="22" t="n"/>
      <c r="P134" s="23" t="n"/>
      <c r="Q134" s="65" t="n"/>
      <c r="R134" s="65" t="n"/>
      <c r="S134" s="55" t="n"/>
      <c r="T134" s="55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</row>
    <row r="135" ht="51.75" customHeight="1" s="211">
      <c r="A135" s="55" t="n"/>
      <c r="B135" s="12" t="n"/>
      <c r="C135" s="55">
        <f>'Sales Candence'!B135</f>
        <v/>
      </c>
      <c r="D135" s="71" t="n"/>
      <c r="E135" s="71" t="n"/>
      <c r="F135" s="22" t="n"/>
      <c r="G135" s="22" t="n"/>
      <c r="H135" s="31" t="n"/>
      <c r="I135" s="23" t="n"/>
      <c r="J135" s="56" t="n"/>
      <c r="K135" s="22" t="n"/>
      <c r="L135" s="22" t="n"/>
      <c r="M135" s="22" t="n"/>
      <c r="N135" s="22" t="n"/>
      <c r="O135" s="22" t="n"/>
      <c r="P135" s="23" t="n"/>
      <c r="Q135" s="65" t="n"/>
      <c r="R135" s="65" t="n"/>
      <c r="S135" s="55" t="n"/>
      <c r="T135" s="55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</row>
    <row r="136" ht="51.75" customHeight="1" s="211">
      <c r="A136" s="55" t="n"/>
      <c r="B136" s="12" t="n"/>
      <c r="C136" s="55">
        <f>'Sales Candence'!B136</f>
        <v/>
      </c>
      <c r="D136" s="71" t="n"/>
      <c r="E136" s="71" t="n"/>
      <c r="F136" s="22" t="n"/>
      <c r="G136" s="22" t="n"/>
      <c r="H136" s="31" t="n"/>
      <c r="I136" s="23" t="n"/>
      <c r="J136" s="56" t="n"/>
      <c r="K136" s="22" t="n"/>
      <c r="L136" s="22" t="n"/>
      <c r="M136" s="22" t="n"/>
      <c r="N136" s="22" t="n"/>
      <c r="O136" s="22" t="n"/>
      <c r="P136" s="23" t="n"/>
      <c r="Q136" s="65" t="n"/>
      <c r="R136" s="65" t="n"/>
      <c r="S136" s="55" t="n"/>
      <c r="T136" s="55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</row>
    <row r="137" ht="51.75" customHeight="1" s="211">
      <c r="A137" s="55" t="n"/>
      <c r="B137" s="12" t="n"/>
      <c r="C137" s="55">
        <f>'Sales Candence'!B137</f>
        <v/>
      </c>
      <c r="D137" s="71" t="n"/>
      <c r="E137" s="71" t="n"/>
      <c r="F137" s="22" t="n"/>
      <c r="G137" s="22" t="n"/>
      <c r="H137" s="31" t="n"/>
      <c r="I137" s="23" t="n"/>
      <c r="J137" s="56" t="n"/>
      <c r="K137" s="22" t="n"/>
      <c r="L137" s="22" t="n"/>
      <c r="M137" s="22" t="n"/>
      <c r="N137" s="22" t="n"/>
      <c r="O137" s="22" t="n"/>
      <c r="P137" s="23" t="n"/>
      <c r="Q137" s="65" t="n"/>
      <c r="R137" s="65" t="n"/>
      <c r="S137" s="55" t="n"/>
      <c r="T137" s="55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</row>
    <row r="138" ht="51.75" customHeight="1" s="211">
      <c r="A138" s="55" t="n"/>
      <c r="B138" s="12" t="n"/>
      <c r="C138" s="55">
        <f>'Sales Candence'!B138</f>
        <v/>
      </c>
      <c r="D138" s="71" t="n"/>
      <c r="E138" s="71" t="n"/>
      <c r="F138" s="22" t="n"/>
      <c r="G138" s="22" t="n"/>
      <c r="H138" s="31" t="n"/>
      <c r="I138" s="23" t="n"/>
      <c r="J138" s="56" t="n"/>
      <c r="K138" s="22" t="n"/>
      <c r="L138" s="22" t="n"/>
      <c r="M138" s="22" t="n"/>
      <c r="N138" s="22" t="n"/>
      <c r="O138" s="22" t="n"/>
      <c r="P138" s="23" t="n"/>
      <c r="Q138" s="65" t="n"/>
      <c r="R138" s="65" t="n"/>
      <c r="S138" s="55" t="n"/>
      <c r="T138" s="55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</row>
    <row r="139" ht="51.75" customHeight="1" s="211">
      <c r="A139" s="55" t="n"/>
      <c r="B139" s="12" t="n"/>
      <c r="C139" s="55">
        <f>'Sales Candence'!B139</f>
        <v/>
      </c>
      <c r="D139" s="71" t="n"/>
      <c r="E139" s="71" t="n"/>
      <c r="F139" s="22" t="n"/>
      <c r="G139" s="22" t="n"/>
      <c r="H139" s="31" t="n"/>
      <c r="I139" s="23" t="n"/>
      <c r="J139" s="56" t="n"/>
      <c r="K139" s="22" t="n"/>
      <c r="L139" s="22" t="n"/>
      <c r="M139" s="22" t="n"/>
      <c r="N139" s="22" t="n"/>
      <c r="O139" s="22" t="n"/>
      <c r="P139" s="23" t="n"/>
      <c r="Q139" s="65" t="n"/>
      <c r="R139" s="65" t="n"/>
      <c r="S139" s="55" t="n"/>
      <c r="T139" s="55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</row>
    <row r="140" ht="51.75" customHeight="1" s="211">
      <c r="A140" s="55" t="n"/>
      <c r="B140" s="12" t="n"/>
      <c r="C140" s="55">
        <f>'Sales Candence'!B140</f>
        <v/>
      </c>
      <c r="D140" s="71" t="n"/>
      <c r="E140" s="71" t="n"/>
      <c r="F140" s="22" t="n"/>
      <c r="G140" s="22" t="n"/>
      <c r="H140" s="31" t="n"/>
      <c r="I140" s="23" t="n"/>
      <c r="J140" s="56" t="n"/>
      <c r="K140" s="22" t="n"/>
      <c r="L140" s="22" t="n"/>
      <c r="M140" s="22" t="n"/>
      <c r="N140" s="22" t="n"/>
      <c r="O140" s="22" t="n"/>
      <c r="P140" s="23" t="n"/>
      <c r="Q140" s="65" t="n"/>
      <c r="R140" s="65" t="n"/>
      <c r="S140" s="55" t="n"/>
      <c r="T140" s="55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</row>
    <row r="141" ht="51.75" customHeight="1" s="211">
      <c r="A141" s="55" t="n"/>
      <c r="B141" s="12" t="n"/>
      <c r="C141" s="55">
        <f>'Sales Candence'!B141</f>
        <v/>
      </c>
      <c r="D141" s="71" t="n"/>
      <c r="E141" s="71" t="n"/>
      <c r="F141" s="22" t="n"/>
      <c r="G141" s="22" t="n"/>
      <c r="H141" s="31" t="n"/>
      <c r="I141" s="23" t="n"/>
      <c r="J141" s="56" t="n"/>
      <c r="K141" s="22" t="n"/>
      <c r="L141" s="22" t="n"/>
      <c r="M141" s="22" t="n"/>
      <c r="N141" s="22" t="n"/>
      <c r="O141" s="22" t="n"/>
      <c r="P141" s="23" t="n"/>
      <c r="Q141" s="65" t="n"/>
      <c r="R141" s="65" t="n"/>
      <c r="S141" s="55" t="n"/>
      <c r="T141" s="55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</row>
    <row r="142" ht="51.75" customHeight="1" s="211">
      <c r="A142" s="55" t="n"/>
      <c r="B142" s="12" t="n"/>
      <c r="C142" s="55">
        <f>'Sales Candence'!B142</f>
        <v/>
      </c>
      <c r="D142" s="71" t="n"/>
      <c r="E142" s="71" t="n"/>
      <c r="F142" s="22" t="n"/>
      <c r="G142" s="22" t="n"/>
      <c r="H142" s="31" t="n"/>
      <c r="I142" s="23" t="n"/>
      <c r="J142" s="56" t="n"/>
      <c r="K142" s="22" t="n"/>
      <c r="L142" s="22" t="n"/>
      <c r="M142" s="22" t="n"/>
      <c r="N142" s="22" t="n"/>
      <c r="O142" s="22" t="n"/>
      <c r="P142" s="23" t="n"/>
      <c r="Q142" s="65" t="n"/>
      <c r="R142" s="65" t="n"/>
      <c r="S142" s="55" t="n"/>
      <c r="T142" s="55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</row>
    <row r="143" ht="51.75" customHeight="1" s="211">
      <c r="A143" s="55" t="n"/>
      <c r="B143" s="12" t="n"/>
      <c r="C143" s="55">
        <f>'Sales Candence'!B143</f>
        <v/>
      </c>
      <c r="D143" s="71" t="n"/>
      <c r="E143" s="71" t="n"/>
      <c r="F143" s="22" t="n"/>
      <c r="G143" s="22" t="n"/>
      <c r="H143" s="31" t="n"/>
      <c r="I143" s="23" t="n"/>
      <c r="J143" s="56" t="n"/>
      <c r="K143" s="22" t="n"/>
      <c r="L143" s="22" t="n"/>
      <c r="M143" s="22" t="n"/>
      <c r="N143" s="22" t="n"/>
      <c r="O143" s="22" t="n"/>
      <c r="P143" s="23" t="n"/>
      <c r="Q143" s="65" t="n"/>
      <c r="R143" s="65" t="n"/>
      <c r="S143" s="55" t="n"/>
      <c r="T143" s="55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</row>
    <row r="144" ht="51.75" customHeight="1" s="211">
      <c r="A144" s="55" t="n"/>
      <c r="B144" s="12" t="n"/>
      <c r="C144" s="55">
        <f>'Sales Candence'!B144</f>
        <v/>
      </c>
      <c r="D144" s="71" t="n"/>
      <c r="E144" s="71" t="n"/>
      <c r="F144" s="22" t="n"/>
      <c r="G144" s="22" t="n"/>
      <c r="H144" s="31" t="n"/>
      <c r="I144" s="23" t="n"/>
      <c r="J144" s="56" t="n"/>
      <c r="K144" s="22" t="n"/>
      <c r="L144" s="22" t="n"/>
      <c r="M144" s="22" t="n"/>
      <c r="N144" s="22" t="n"/>
      <c r="O144" s="22" t="n"/>
      <c r="P144" s="23" t="n"/>
      <c r="Q144" s="65" t="n"/>
      <c r="R144" s="65" t="n"/>
      <c r="S144" s="55" t="n"/>
      <c r="T144" s="55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</row>
    <row r="145" ht="51.75" customHeight="1" s="211">
      <c r="A145" s="55" t="n"/>
      <c r="B145" s="12" t="n"/>
      <c r="C145" s="55">
        <f>'Sales Candence'!B145</f>
        <v/>
      </c>
      <c r="D145" s="71" t="n"/>
      <c r="E145" s="71" t="n"/>
      <c r="F145" s="22" t="n"/>
      <c r="G145" s="22" t="n"/>
      <c r="H145" s="31" t="n"/>
      <c r="I145" s="23" t="n"/>
      <c r="J145" s="56" t="n"/>
      <c r="K145" s="22" t="n"/>
      <c r="L145" s="22" t="n"/>
      <c r="M145" s="22" t="n"/>
      <c r="N145" s="22" t="n"/>
      <c r="O145" s="22" t="n"/>
      <c r="P145" s="23" t="n"/>
      <c r="Q145" s="65" t="n"/>
      <c r="R145" s="65" t="n"/>
      <c r="S145" s="55" t="n"/>
      <c r="T145" s="55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</row>
    <row r="146" ht="51.75" customHeight="1" s="211">
      <c r="A146" s="55" t="n"/>
      <c r="B146" s="12" t="n"/>
      <c r="C146" s="55">
        <f>'Sales Candence'!B146</f>
        <v/>
      </c>
      <c r="D146" s="71" t="n"/>
      <c r="E146" s="71" t="n"/>
      <c r="F146" s="22" t="n"/>
      <c r="G146" s="22" t="n"/>
      <c r="H146" s="31" t="n"/>
      <c r="I146" s="23" t="n"/>
      <c r="J146" s="56" t="n"/>
      <c r="K146" s="22" t="n"/>
      <c r="L146" s="22" t="n"/>
      <c r="M146" s="22" t="n"/>
      <c r="N146" s="22" t="n"/>
      <c r="O146" s="22" t="n"/>
      <c r="P146" s="23" t="n"/>
      <c r="Q146" s="65" t="n"/>
      <c r="R146" s="65" t="n"/>
      <c r="S146" s="55" t="n"/>
      <c r="T146" s="55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</row>
    <row r="147" ht="51.75" customHeight="1" s="211">
      <c r="A147" s="55" t="n"/>
      <c r="B147" s="12" t="n"/>
      <c r="C147" s="55">
        <f>'Sales Candence'!B147</f>
        <v/>
      </c>
      <c r="D147" s="71" t="n"/>
      <c r="E147" s="71" t="n"/>
      <c r="F147" s="22" t="n"/>
      <c r="G147" s="22" t="n"/>
      <c r="H147" s="31" t="n"/>
      <c r="I147" s="23" t="n"/>
      <c r="J147" s="56" t="n"/>
      <c r="K147" s="22" t="n"/>
      <c r="L147" s="22" t="n"/>
      <c r="M147" s="22" t="n"/>
      <c r="N147" s="22" t="n"/>
      <c r="O147" s="22" t="n"/>
      <c r="P147" s="23" t="n"/>
      <c r="Q147" s="65" t="n"/>
      <c r="R147" s="65" t="n"/>
      <c r="S147" s="55" t="n"/>
      <c r="T147" s="55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</row>
    <row r="148" ht="51.75" customHeight="1" s="211">
      <c r="A148" s="55" t="n"/>
      <c r="B148" s="12" t="n"/>
      <c r="C148" s="55">
        <f>'Sales Candence'!B148</f>
        <v/>
      </c>
      <c r="D148" s="71" t="n"/>
      <c r="E148" s="71" t="n"/>
      <c r="F148" s="22" t="n"/>
      <c r="G148" s="22" t="n"/>
      <c r="H148" s="31" t="n"/>
      <c r="I148" s="23" t="n"/>
      <c r="J148" s="56" t="n"/>
      <c r="K148" s="22" t="n"/>
      <c r="L148" s="22" t="n"/>
      <c r="M148" s="22" t="n"/>
      <c r="N148" s="22" t="n"/>
      <c r="O148" s="22" t="n"/>
      <c r="P148" s="23" t="n"/>
      <c r="Q148" s="65" t="n"/>
      <c r="R148" s="65" t="n"/>
      <c r="S148" s="55" t="n"/>
      <c r="T148" s="55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</row>
    <row r="149" ht="51.75" customHeight="1" s="211">
      <c r="A149" s="55" t="n"/>
      <c r="B149" s="12" t="n"/>
      <c r="C149" s="55">
        <f>'Sales Candence'!B149</f>
        <v/>
      </c>
      <c r="D149" s="71" t="n"/>
      <c r="E149" s="71" t="n"/>
      <c r="F149" s="22" t="n"/>
      <c r="G149" s="22" t="n"/>
      <c r="H149" s="31" t="n"/>
      <c r="I149" s="23" t="n"/>
      <c r="J149" s="56" t="n"/>
      <c r="K149" s="22" t="n"/>
      <c r="L149" s="22" t="n"/>
      <c r="M149" s="22" t="n"/>
      <c r="N149" s="22" t="n"/>
      <c r="O149" s="22" t="n"/>
      <c r="P149" s="23" t="n"/>
      <c r="Q149" s="65" t="n"/>
      <c r="R149" s="65" t="n"/>
      <c r="S149" s="55" t="n"/>
      <c r="T149" s="55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</row>
    <row r="150" ht="51.75" customHeight="1" s="211">
      <c r="A150" s="55" t="n"/>
      <c r="B150" s="12" t="n"/>
      <c r="C150" s="55">
        <f>'Sales Candence'!B150</f>
        <v/>
      </c>
      <c r="D150" s="71" t="n"/>
      <c r="E150" s="71" t="n"/>
      <c r="F150" s="22" t="n"/>
      <c r="G150" s="22" t="n"/>
      <c r="H150" s="31" t="n"/>
      <c r="I150" s="23" t="n"/>
      <c r="J150" s="56" t="n"/>
      <c r="K150" s="22" t="n"/>
      <c r="L150" s="22" t="n"/>
      <c r="M150" s="22" t="n"/>
      <c r="N150" s="22" t="n"/>
      <c r="O150" s="22" t="n"/>
      <c r="P150" s="23" t="n"/>
      <c r="Q150" s="65" t="n"/>
      <c r="R150" s="65" t="n"/>
      <c r="S150" s="55" t="n"/>
      <c r="T150" s="55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</row>
    <row r="151" ht="51.75" customHeight="1" s="211">
      <c r="A151" s="55" t="n"/>
      <c r="B151" s="12" t="n"/>
      <c r="C151" s="55">
        <f>'Sales Candence'!B151</f>
        <v/>
      </c>
      <c r="D151" s="71" t="n"/>
      <c r="E151" s="71" t="n"/>
      <c r="F151" s="22" t="n"/>
      <c r="G151" s="22" t="n"/>
      <c r="H151" s="31" t="n"/>
      <c r="I151" s="23" t="n"/>
      <c r="J151" s="56" t="n"/>
      <c r="K151" s="22" t="n"/>
      <c r="L151" s="22" t="n"/>
      <c r="M151" s="22" t="n"/>
      <c r="N151" s="22" t="n"/>
      <c r="O151" s="22" t="n"/>
      <c r="P151" s="23" t="n"/>
      <c r="Q151" s="65" t="n"/>
      <c r="R151" s="65" t="n"/>
      <c r="S151" s="55" t="n"/>
      <c r="T151" s="55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</row>
    <row r="152" ht="51.75" customHeight="1" s="211">
      <c r="A152" s="55" t="n"/>
      <c r="B152" s="12" t="n"/>
      <c r="C152" s="55">
        <f>'Sales Candence'!B152</f>
        <v/>
      </c>
      <c r="D152" s="71" t="n"/>
      <c r="E152" s="71" t="n"/>
      <c r="F152" s="22" t="n"/>
      <c r="G152" s="22" t="n"/>
      <c r="H152" s="31" t="n"/>
      <c r="I152" s="23" t="n"/>
      <c r="J152" s="56" t="n"/>
      <c r="K152" s="22" t="n"/>
      <c r="L152" s="22" t="n"/>
      <c r="M152" s="22" t="n"/>
      <c r="N152" s="22" t="n"/>
      <c r="O152" s="22" t="n"/>
      <c r="P152" s="23" t="n"/>
      <c r="Q152" s="65" t="n"/>
      <c r="R152" s="65" t="n"/>
      <c r="S152" s="55" t="n"/>
      <c r="T152" s="55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</row>
    <row r="153" ht="51.75" customHeight="1" s="211">
      <c r="A153" s="55" t="n"/>
      <c r="B153" s="12" t="n"/>
      <c r="C153" s="55">
        <f>'Sales Candence'!B153</f>
        <v/>
      </c>
      <c r="D153" s="71" t="n"/>
      <c r="E153" s="71" t="n"/>
      <c r="F153" s="22" t="n"/>
      <c r="G153" s="22" t="n"/>
      <c r="H153" s="31" t="n"/>
      <c r="I153" s="23" t="n"/>
      <c r="J153" s="56" t="n"/>
      <c r="K153" s="22" t="n"/>
      <c r="L153" s="22" t="n"/>
      <c r="M153" s="22" t="n"/>
      <c r="N153" s="22" t="n"/>
      <c r="O153" s="22" t="n"/>
      <c r="P153" s="23" t="n"/>
      <c r="Q153" s="65" t="n"/>
      <c r="R153" s="65" t="n"/>
      <c r="S153" s="55" t="n"/>
      <c r="T153" s="55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</row>
    <row r="154" ht="51.75" customHeight="1" s="211">
      <c r="A154" s="55" t="n"/>
      <c r="B154" s="12" t="n"/>
      <c r="C154" s="55">
        <f>'Sales Candence'!B154</f>
        <v/>
      </c>
      <c r="D154" s="71" t="n"/>
      <c r="E154" s="71" t="n"/>
      <c r="F154" s="22" t="n"/>
      <c r="G154" s="22" t="n"/>
      <c r="H154" s="31" t="n"/>
      <c r="I154" s="23" t="n"/>
      <c r="J154" s="56" t="n"/>
      <c r="K154" s="22" t="n"/>
      <c r="L154" s="22" t="n"/>
      <c r="M154" s="22" t="n"/>
      <c r="N154" s="22" t="n"/>
      <c r="O154" s="22" t="n"/>
      <c r="P154" s="23" t="n"/>
      <c r="Q154" s="65" t="n"/>
      <c r="R154" s="65" t="n"/>
      <c r="S154" s="55" t="n"/>
      <c r="T154" s="55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</row>
    <row r="155" ht="51.75" customHeight="1" s="211">
      <c r="A155" s="55" t="n"/>
      <c r="B155" s="12" t="n"/>
      <c r="C155" s="55">
        <f>'Sales Candence'!B155</f>
        <v/>
      </c>
      <c r="D155" s="71" t="n"/>
      <c r="E155" s="71" t="n"/>
      <c r="F155" s="22" t="n"/>
      <c r="G155" s="22" t="n"/>
      <c r="H155" s="31" t="n"/>
      <c r="I155" s="23" t="n"/>
      <c r="J155" s="56" t="n"/>
      <c r="K155" s="22" t="n"/>
      <c r="L155" s="22" t="n"/>
      <c r="M155" s="22" t="n"/>
      <c r="N155" s="22" t="n"/>
      <c r="O155" s="22" t="n"/>
      <c r="P155" s="23" t="n"/>
      <c r="Q155" s="65" t="n"/>
      <c r="R155" s="65" t="n"/>
      <c r="S155" s="55" t="n"/>
      <c r="T155" s="55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</row>
    <row r="156" ht="51.75" customHeight="1" s="211">
      <c r="A156" s="55" t="n"/>
      <c r="B156" s="12" t="n"/>
      <c r="C156" s="55">
        <f>'Sales Candence'!B156</f>
        <v/>
      </c>
      <c r="D156" s="71" t="n"/>
      <c r="E156" s="71" t="n"/>
      <c r="F156" s="22" t="n"/>
      <c r="G156" s="22" t="n"/>
      <c r="H156" s="31" t="n"/>
      <c r="I156" s="23" t="n"/>
      <c r="J156" s="56" t="n"/>
      <c r="K156" s="22" t="n"/>
      <c r="L156" s="22" t="n"/>
      <c r="M156" s="22" t="n"/>
      <c r="N156" s="22" t="n"/>
      <c r="O156" s="22" t="n"/>
      <c r="P156" s="23" t="n"/>
      <c r="Q156" s="65" t="n"/>
      <c r="R156" s="65" t="n"/>
      <c r="S156" s="55" t="n"/>
      <c r="T156" s="55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</row>
    <row r="157" ht="51.75" customHeight="1" s="211">
      <c r="A157" s="55" t="n"/>
      <c r="B157" s="12" t="n"/>
      <c r="C157" s="55">
        <f>'Sales Candence'!B157</f>
        <v/>
      </c>
      <c r="D157" s="71" t="n"/>
      <c r="E157" s="71" t="n"/>
      <c r="F157" s="22" t="n"/>
      <c r="G157" s="22" t="n"/>
      <c r="H157" s="31" t="n"/>
      <c r="I157" s="23" t="n"/>
      <c r="J157" s="56" t="n"/>
      <c r="K157" s="22" t="n"/>
      <c r="L157" s="22" t="n"/>
      <c r="M157" s="22" t="n"/>
      <c r="N157" s="22" t="n"/>
      <c r="O157" s="22" t="n"/>
      <c r="P157" s="23" t="n"/>
      <c r="Q157" s="65" t="n"/>
      <c r="R157" s="65" t="n"/>
      <c r="S157" s="55" t="n"/>
      <c r="T157" s="55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</row>
    <row r="158" ht="51.75" customHeight="1" s="211">
      <c r="A158" s="55" t="n"/>
      <c r="B158" s="12" t="n"/>
      <c r="C158" s="55">
        <f>'Sales Candence'!B158</f>
        <v/>
      </c>
      <c r="D158" s="71" t="n"/>
      <c r="E158" s="71" t="n"/>
      <c r="F158" s="22" t="n"/>
      <c r="G158" s="22" t="n"/>
      <c r="H158" s="31" t="n"/>
      <c r="I158" s="23" t="n"/>
      <c r="J158" s="56" t="n"/>
      <c r="K158" s="22" t="n"/>
      <c r="L158" s="22" t="n"/>
      <c r="M158" s="22" t="n"/>
      <c r="N158" s="22" t="n"/>
      <c r="O158" s="22" t="n"/>
      <c r="P158" s="23" t="n"/>
      <c r="Q158" s="65" t="n"/>
      <c r="R158" s="65" t="n"/>
      <c r="S158" s="55" t="n"/>
      <c r="T158" s="55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</row>
    <row r="159" ht="51.75" customHeight="1" s="211">
      <c r="A159" s="55" t="n"/>
      <c r="B159" s="12" t="n"/>
      <c r="C159" s="55">
        <f>'Sales Candence'!B159</f>
        <v/>
      </c>
      <c r="D159" s="71" t="n"/>
      <c r="E159" s="71" t="n"/>
      <c r="F159" s="22" t="n"/>
      <c r="G159" s="22" t="n"/>
      <c r="H159" s="31" t="n"/>
      <c r="I159" s="23" t="n"/>
      <c r="J159" s="56" t="n"/>
      <c r="K159" s="22" t="n"/>
      <c r="L159" s="22" t="n"/>
      <c r="M159" s="22" t="n"/>
      <c r="N159" s="22" t="n"/>
      <c r="O159" s="22" t="n"/>
      <c r="P159" s="23" t="n"/>
      <c r="Q159" s="65" t="n"/>
      <c r="R159" s="65" t="n"/>
      <c r="S159" s="55" t="n"/>
      <c r="T159" s="55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</row>
    <row r="160" ht="51.75" customHeight="1" s="211">
      <c r="A160" s="55" t="n"/>
      <c r="B160" s="12" t="n"/>
      <c r="C160" s="55">
        <f>'Sales Candence'!B160</f>
        <v/>
      </c>
      <c r="D160" s="71" t="n"/>
      <c r="E160" s="71" t="n"/>
      <c r="F160" s="22" t="n"/>
      <c r="G160" s="22" t="n"/>
      <c r="H160" s="31" t="n"/>
      <c r="I160" s="23" t="n"/>
      <c r="J160" s="56" t="n"/>
      <c r="K160" s="22" t="n"/>
      <c r="L160" s="22" t="n"/>
      <c r="M160" s="22" t="n"/>
      <c r="N160" s="22" t="n"/>
      <c r="O160" s="22" t="n"/>
      <c r="P160" s="23" t="n"/>
      <c r="Q160" s="65" t="n"/>
      <c r="R160" s="65" t="n"/>
      <c r="S160" s="55" t="n"/>
      <c r="T160" s="55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</row>
    <row r="161" ht="51.75" customHeight="1" s="211">
      <c r="A161" s="55" t="n"/>
      <c r="B161" s="12" t="n"/>
      <c r="C161" s="55">
        <f>'Sales Candence'!B161</f>
        <v/>
      </c>
      <c r="D161" s="71" t="n"/>
      <c r="E161" s="71" t="n"/>
      <c r="F161" s="22" t="n"/>
      <c r="G161" s="22" t="n"/>
      <c r="H161" s="31" t="n"/>
      <c r="I161" s="23" t="n"/>
      <c r="J161" s="56" t="n"/>
      <c r="K161" s="22" t="n"/>
      <c r="L161" s="22" t="n"/>
      <c r="M161" s="22" t="n"/>
      <c r="N161" s="22" t="n"/>
      <c r="O161" s="22" t="n"/>
      <c r="P161" s="23" t="n"/>
      <c r="Q161" s="65" t="n"/>
      <c r="R161" s="65" t="n"/>
      <c r="S161" s="55" t="n"/>
      <c r="T161" s="55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</row>
    <row r="162" ht="51.75" customHeight="1" s="211">
      <c r="A162" s="55" t="n"/>
      <c r="B162" s="12" t="n"/>
      <c r="C162" s="55">
        <f>'Sales Candence'!B162</f>
        <v/>
      </c>
      <c r="D162" s="71" t="n"/>
      <c r="E162" s="71" t="n"/>
      <c r="F162" s="22" t="n"/>
      <c r="G162" s="22" t="n"/>
      <c r="H162" s="31" t="n"/>
      <c r="I162" s="23" t="n"/>
      <c r="J162" s="56" t="n"/>
      <c r="K162" s="22" t="n"/>
      <c r="L162" s="22" t="n"/>
      <c r="M162" s="22" t="n"/>
      <c r="N162" s="22" t="n"/>
      <c r="O162" s="22" t="n"/>
      <c r="P162" s="23" t="n"/>
      <c r="Q162" s="65" t="n"/>
      <c r="R162" s="65" t="n"/>
      <c r="S162" s="55" t="n"/>
      <c r="T162" s="55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</row>
    <row r="163" ht="51.75" customHeight="1" s="211">
      <c r="A163" s="55" t="n"/>
      <c r="B163" s="12" t="n"/>
      <c r="C163" s="55">
        <f>'Sales Candence'!B163</f>
        <v/>
      </c>
      <c r="D163" s="71" t="n"/>
      <c r="E163" s="71" t="n"/>
      <c r="F163" s="22" t="n"/>
      <c r="G163" s="22" t="n"/>
      <c r="H163" s="31" t="n"/>
      <c r="I163" s="23" t="n"/>
      <c r="J163" s="56" t="n"/>
      <c r="K163" s="22" t="n"/>
      <c r="L163" s="22" t="n"/>
      <c r="M163" s="22" t="n"/>
      <c r="N163" s="22" t="n"/>
      <c r="O163" s="22" t="n"/>
      <c r="P163" s="23" t="n"/>
      <c r="Q163" s="65" t="n"/>
      <c r="R163" s="65" t="n"/>
      <c r="S163" s="55" t="n"/>
      <c r="T163" s="55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</row>
    <row r="164" ht="51.75" customHeight="1" s="211">
      <c r="A164" s="55" t="n"/>
      <c r="B164" s="12" t="n"/>
      <c r="C164" s="55">
        <f>'Sales Candence'!B164</f>
        <v/>
      </c>
      <c r="D164" s="71" t="n"/>
      <c r="E164" s="71" t="n"/>
      <c r="F164" s="22" t="n"/>
      <c r="G164" s="22" t="n"/>
      <c r="H164" s="31" t="n"/>
      <c r="I164" s="23" t="n"/>
      <c r="J164" s="56" t="n"/>
      <c r="K164" s="22" t="n"/>
      <c r="L164" s="22" t="n"/>
      <c r="M164" s="22" t="n"/>
      <c r="N164" s="22" t="n"/>
      <c r="O164" s="22" t="n"/>
      <c r="P164" s="23" t="n"/>
      <c r="Q164" s="65" t="n"/>
      <c r="R164" s="65" t="n"/>
      <c r="S164" s="55" t="n"/>
      <c r="T164" s="55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</row>
    <row r="165" ht="51.75" customHeight="1" s="211">
      <c r="A165" s="55" t="n"/>
      <c r="B165" s="12" t="n"/>
      <c r="C165" s="55">
        <f>'Sales Candence'!B165</f>
        <v/>
      </c>
      <c r="D165" s="71" t="n"/>
      <c r="E165" s="71" t="n"/>
      <c r="F165" s="22" t="n"/>
      <c r="G165" s="22" t="n"/>
      <c r="H165" s="31" t="n"/>
      <c r="I165" s="23" t="n"/>
      <c r="J165" s="56" t="n"/>
      <c r="K165" s="22" t="n"/>
      <c r="L165" s="22" t="n"/>
      <c r="M165" s="22" t="n"/>
      <c r="N165" s="22" t="n"/>
      <c r="O165" s="22" t="n"/>
      <c r="P165" s="23" t="n"/>
      <c r="Q165" s="65" t="n"/>
      <c r="R165" s="65" t="n"/>
      <c r="S165" s="55" t="n"/>
      <c r="T165" s="55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</row>
    <row r="166" ht="51.75" customHeight="1" s="211">
      <c r="A166" s="55" t="n"/>
      <c r="B166" s="12" t="n"/>
      <c r="C166" s="55">
        <f>'Sales Candence'!B166</f>
        <v/>
      </c>
      <c r="D166" s="71" t="n"/>
      <c r="E166" s="71" t="n"/>
      <c r="F166" s="22" t="n"/>
      <c r="G166" s="22" t="n"/>
      <c r="H166" s="31" t="n"/>
      <c r="I166" s="23" t="n"/>
      <c r="J166" s="56" t="n"/>
      <c r="K166" s="22" t="n"/>
      <c r="L166" s="22" t="n"/>
      <c r="M166" s="22" t="n"/>
      <c r="N166" s="22" t="n"/>
      <c r="O166" s="22" t="n"/>
      <c r="P166" s="23" t="n"/>
      <c r="Q166" s="65" t="n"/>
      <c r="R166" s="65" t="n"/>
      <c r="S166" s="55" t="n"/>
      <c r="T166" s="55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</row>
    <row r="167" ht="51.75" customHeight="1" s="211">
      <c r="A167" s="55" t="n"/>
      <c r="B167" s="12" t="n"/>
      <c r="C167" s="55">
        <f>'Sales Candence'!B167</f>
        <v/>
      </c>
      <c r="D167" s="71" t="n"/>
      <c r="E167" s="71" t="n"/>
      <c r="F167" s="22" t="n"/>
      <c r="G167" s="22" t="n"/>
      <c r="H167" s="31" t="n"/>
      <c r="I167" s="23" t="n"/>
      <c r="J167" s="56" t="n"/>
      <c r="K167" s="22" t="n"/>
      <c r="L167" s="22" t="n"/>
      <c r="M167" s="22" t="n"/>
      <c r="N167" s="22" t="n"/>
      <c r="O167" s="22" t="n"/>
      <c r="P167" s="23" t="n"/>
      <c r="Q167" s="65" t="n"/>
      <c r="R167" s="65" t="n"/>
      <c r="S167" s="55" t="n"/>
      <c r="T167" s="55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</row>
    <row r="168" ht="51.75" customHeight="1" s="211">
      <c r="A168" s="55" t="n"/>
      <c r="B168" s="12" t="n"/>
      <c r="C168" s="55">
        <f>'Sales Candence'!B168</f>
        <v/>
      </c>
      <c r="D168" s="71" t="n"/>
      <c r="E168" s="71" t="n"/>
      <c r="F168" s="22" t="n"/>
      <c r="G168" s="22" t="n"/>
      <c r="H168" s="31" t="n"/>
      <c r="I168" s="23" t="n"/>
      <c r="J168" s="56" t="n"/>
      <c r="K168" s="22" t="n"/>
      <c r="L168" s="22" t="n"/>
      <c r="M168" s="22" t="n"/>
      <c r="N168" s="22" t="n"/>
      <c r="O168" s="22" t="n"/>
      <c r="P168" s="23" t="n"/>
      <c r="Q168" s="65" t="n"/>
      <c r="R168" s="65" t="n"/>
      <c r="S168" s="55" t="n"/>
      <c r="T168" s="55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</row>
    <row r="169" ht="51.75" customHeight="1" s="211">
      <c r="A169" s="55" t="n"/>
      <c r="B169" s="12" t="n"/>
      <c r="C169" s="55">
        <f>'Sales Candence'!B169</f>
        <v/>
      </c>
      <c r="D169" s="71" t="n"/>
      <c r="E169" s="71" t="n"/>
      <c r="F169" s="22" t="n"/>
      <c r="G169" s="22" t="n"/>
      <c r="H169" s="31" t="n"/>
      <c r="I169" s="23" t="n"/>
      <c r="J169" s="56" t="n"/>
      <c r="K169" s="22" t="n"/>
      <c r="L169" s="22" t="n"/>
      <c r="M169" s="22" t="n"/>
      <c r="N169" s="22" t="n"/>
      <c r="O169" s="22" t="n"/>
      <c r="P169" s="23" t="n"/>
      <c r="Q169" s="65" t="n"/>
      <c r="R169" s="65" t="n"/>
      <c r="S169" s="55" t="n"/>
      <c r="T169" s="55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</row>
    <row r="170" ht="51.75" customHeight="1" s="211">
      <c r="A170" s="55" t="n"/>
      <c r="B170" s="12" t="n"/>
      <c r="C170" s="55">
        <f>'Sales Candence'!B170</f>
        <v/>
      </c>
      <c r="D170" s="71" t="n"/>
      <c r="E170" s="71" t="n"/>
      <c r="F170" s="22" t="n"/>
      <c r="G170" s="22" t="n"/>
      <c r="H170" s="31" t="n"/>
      <c r="I170" s="23" t="n"/>
      <c r="J170" s="56" t="n"/>
      <c r="K170" s="22" t="n"/>
      <c r="L170" s="22" t="n"/>
      <c r="M170" s="22" t="n"/>
      <c r="N170" s="22" t="n"/>
      <c r="O170" s="22" t="n"/>
      <c r="P170" s="23" t="n"/>
      <c r="Q170" s="65" t="n"/>
      <c r="R170" s="65" t="n"/>
      <c r="S170" s="55" t="n"/>
      <c r="T170" s="55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</row>
    <row r="171" ht="51.75" customHeight="1" s="211">
      <c r="A171" s="55" t="n"/>
      <c r="B171" s="12" t="n"/>
      <c r="C171" s="55">
        <f>'Sales Candence'!B171</f>
        <v/>
      </c>
      <c r="D171" s="71" t="n"/>
      <c r="E171" s="71" t="n"/>
      <c r="F171" s="22" t="n"/>
      <c r="G171" s="22" t="n"/>
      <c r="H171" s="31" t="n"/>
      <c r="I171" s="23" t="n"/>
      <c r="J171" s="56" t="n"/>
      <c r="K171" s="22" t="n"/>
      <c r="L171" s="22" t="n"/>
      <c r="M171" s="22" t="n"/>
      <c r="N171" s="22" t="n"/>
      <c r="O171" s="22" t="n"/>
      <c r="P171" s="23" t="n"/>
      <c r="Q171" s="65" t="n"/>
      <c r="R171" s="65" t="n"/>
      <c r="S171" s="55" t="n"/>
      <c r="T171" s="55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</row>
    <row r="172" ht="51.75" customHeight="1" s="211">
      <c r="A172" s="55" t="n"/>
      <c r="B172" s="12" t="n"/>
      <c r="C172" s="55">
        <f>'Sales Candence'!B172</f>
        <v/>
      </c>
      <c r="D172" s="71" t="n"/>
      <c r="E172" s="71" t="n"/>
      <c r="F172" s="22" t="n"/>
      <c r="G172" s="22" t="n"/>
      <c r="H172" s="31" t="n"/>
      <c r="I172" s="23" t="n"/>
      <c r="J172" s="56" t="n"/>
      <c r="K172" s="22" t="n"/>
      <c r="L172" s="22" t="n"/>
      <c r="M172" s="22" t="n"/>
      <c r="N172" s="22" t="n"/>
      <c r="O172" s="22" t="n"/>
      <c r="P172" s="23" t="n"/>
      <c r="Q172" s="65" t="n"/>
      <c r="R172" s="65" t="n"/>
      <c r="S172" s="55" t="n"/>
      <c r="T172" s="55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</row>
    <row r="173" ht="51.75" customHeight="1" s="211">
      <c r="A173" s="55" t="n"/>
      <c r="B173" s="12" t="n"/>
      <c r="C173" s="55">
        <f>'Sales Candence'!B173</f>
        <v/>
      </c>
      <c r="D173" s="71" t="n"/>
      <c r="E173" s="71" t="n"/>
      <c r="F173" s="22" t="n"/>
      <c r="G173" s="22" t="n"/>
      <c r="H173" s="31" t="n"/>
      <c r="I173" s="23" t="n"/>
      <c r="J173" s="56" t="n"/>
      <c r="K173" s="22" t="n"/>
      <c r="L173" s="22" t="n"/>
      <c r="M173" s="22" t="n"/>
      <c r="N173" s="22" t="n"/>
      <c r="O173" s="22" t="n"/>
      <c r="P173" s="23" t="n"/>
      <c r="Q173" s="65" t="n"/>
      <c r="R173" s="65" t="n"/>
      <c r="S173" s="55" t="n"/>
      <c r="T173" s="55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</row>
    <row r="174" ht="51.75" customHeight="1" s="211">
      <c r="A174" s="55" t="n"/>
      <c r="B174" s="12" t="n"/>
      <c r="C174" s="55">
        <f>'Sales Candence'!B174</f>
        <v/>
      </c>
      <c r="D174" s="71" t="n"/>
      <c r="E174" s="71" t="n"/>
      <c r="F174" s="22" t="n"/>
      <c r="G174" s="22" t="n"/>
      <c r="H174" s="31" t="n"/>
      <c r="I174" s="23" t="n"/>
      <c r="J174" s="56" t="n"/>
      <c r="K174" s="22" t="n"/>
      <c r="L174" s="22" t="n"/>
      <c r="M174" s="22" t="n"/>
      <c r="N174" s="22" t="n"/>
      <c r="O174" s="22" t="n"/>
      <c r="P174" s="23" t="n"/>
      <c r="Q174" s="65" t="n"/>
      <c r="R174" s="65" t="n"/>
      <c r="S174" s="55" t="n"/>
      <c r="T174" s="55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</row>
    <row r="175" ht="51.75" customHeight="1" s="211">
      <c r="A175" s="55" t="n"/>
      <c r="B175" s="12" t="n"/>
      <c r="C175" s="55">
        <f>'Sales Candence'!B175</f>
        <v/>
      </c>
      <c r="D175" s="71" t="n"/>
      <c r="E175" s="71" t="n"/>
      <c r="F175" s="22" t="n"/>
      <c r="G175" s="22" t="n"/>
      <c r="H175" s="31" t="n"/>
      <c r="I175" s="23" t="n"/>
      <c r="J175" s="56" t="n"/>
      <c r="K175" s="22" t="n"/>
      <c r="L175" s="22" t="n"/>
      <c r="M175" s="22" t="n"/>
      <c r="N175" s="22" t="n"/>
      <c r="O175" s="22" t="n"/>
      <c r="P175" s="23" t="n"/>
      <c r="Q175" s="65" t="n"/>
      <c r="R175" s="65" t="n"/>
      <c r="S175" s="55" t="n"/>
      <c r="T175" s="55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</row>
    <row r="176" ht="51.75" customHeight="1" s="211">
      <c r="A176" s="55" t="n"/>
      <c r="B176" s="12" t="n"/>
      <c r="C176" s="55">
        <f>'Sales Candence'!B176</f>
        <v/>
      </c>
      <c r="D176" s="71" t="n"/>
      <c r="E176" s="71" t="n"/>
      <c r="F176" s="22" t="n"/>
      <c r="G176" s="22" t="n"/>
      <c r="H176" s="31" t="n"/>
      <c r="I176" s="23" t="n"/>
      <c r="J176" s="56" t="n"/>
      <c r="K176" s="22" t="n"/>
      <c r="L176" s="22" t="n"/>
      <c r="M176" s="22" t="n"/>
      <c r="N176" s="22" t="n"/>
      <c r="O176" s="22" t="n"/>
      <c r="P176" s="23" t="n"/>
      <c r="Q176" s="65" t="n"/>
      <c r="R176" s="65" t="n"/>
      <c r="S176" s="55" t="n"/>
      <c r="T176" s="55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</row>
    <row r="177" ht="51.75" customHeight="1" s="211">
      <c r="A177" s="55" t="n"/>
      <c r="B177" s="12" t="n"/>
      <c r="C177" s="55">
        <f>'Sales Candence'!B177</f>
        <v/>
      </c>
      <c r="D177" s="71" t="n"/>
      <c r="E177" s="71" t="n"/>
      <c r="F177" s="22" t="n"/>
      <c r="G177" s="22" t="n"/>
      <c r="H177" s="31" t="n"/>
      <c r="I177" s="23" t="n"/>
      <c r="J177" s="56" t="n"/>
      <c r="K177" s="22" t="n"/>
      <c r="L177" s="22" t="n"/>
      <c r="M177" s="22" t="n"/>
      <c r="N177" s="22" t="n"/>
      <c r="O177" s="22" t="n"/>
      <c r="P177" s="23" t="n"/>
      <c r="Q177" s="65" t="n"/>
      <c r="R177" s="65" t="n"/>
      <c r="S177" s="55" t="n"/>
      <c r="T177" s="55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</row>
    <row r="178" ht="51.75" customHeight="1" s="211">
      <c r="A178" s="55" t="n"/>
      <c r="B178" s="12" t="n"/>
      <c r="C178" s="55">
        <f>'Sales Candence'!B178</f>
        <v/>
      </c>
      <c r="D178" s="71" t="n"/>
      <c r="E178" s="71" t="n"/>
      <c r="F178" s="22" t="n"/>
      <c r="G178" s="22" t="n"/>
      <c r="H178" s="31" t="n"/>
      <c r="I178" s="23" t="n"/>
      <c r="J178" s="56" t="n"/>
      <c r="K178" s="22" t="n"/>
      <c r="L178" s="22" t="n"/>
      <c r="M178" s="22" t="n"/>
      <c r="N178" s="22" t="n"/>
      <c r="O178" s="22" t="n"/>
      <c r="P178" s="23" t="n"/>
      <c r="Q178" s="65" t="n"/>
      <c r="R178" s="65" t="n"/>
      <c r="S178" s="55" t="n"/>
      <c r="T178" s="55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</row>
    <row r="179" ht="51.75" customHeight="1" s="211">
      <c r="A179" s="55" t="n"/>
      <c r="B179" s="12" t="n"/>
      <c r="C179" s="55">
        <f>'Sales Candence'!B179</f>
        <v/>
      </c>
      <c r="D179" s="71" t="n"/>
      <c r="E179" s="71" t="n"/>
      <c r="F179" s="22" t="n"/>
      <c r="G179" s="22" t="n"/>
      <c r="H179" s="31" t="n"/>
      <c r="I179" s="23" t="n"/>
      <c r="J179" s="56" t="n"/>
      <c r="K179" s="22" t="n"/>
      <c r="L179" s="22" t="n"/>
      <c r="M179" s="22" t="n"/>
      <c r="N179" s="22" t="n"/>
      <c r="O179" s="22" t="n"/>
      <c r="P179" s="23" t="n"/>
      <c r="Q179" s="65" t="n"/>
      <c r="R179" s="65" t="n"/>
      <c r="S179" s="55" t="n"/>
      <c r="T179" s="55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</row>
    <row r="180" ht="51.75" customHeight="1" s="211">
      <c r="A180" s="55" t="n"/>
      <c r="B180" s="12" t="n"/>
      <c r="C180" s="55">
        <f>'Sales Candence'!B180</f>
        <v/>
      </c>
      <c r="D180" s="71" t="n"/>
      <c r="E180" s="71" t="n"/>
      <c r="F180" s="22" t="n"/>
      <c r="G180" s="22" t="n"/>
      <c r="H180" s="31" t="n"/>
      <c r="I180" s="23" t="n"/>
      <c r="J180" s="56" t="n"/>
      <c r="K180" s="22" t="n"/>
      <c r="L180" s="22" t="n"/>
      <c r="M180" s="22" t="n"/>
      <c r="N180" s="22" t="n"/>
      <c r="O180" s="22" t="n"/>
      <c r="P180" s="23" t="n"/>
      <c r="Q180" s="65" t="n"/>
      <c r="R180" s="65" t="n"/>
      <c r="S180" s="55" t="n"/>
      <c r="T180" s="55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</row>
    <row r="181" ht="51.75" customHeight="1" s="211">
      <c r="A181" s="55" t="n"/>
      <c r="B181" s="12" t="n"/>
      <c r="C181" s="55">
        <f>'Sales Candence'!B181</f>
        <v/>
      </c>
      <c r="D181" s="71" t="n"/>
      <c r="E181" s="71" t="n"/>
      <c r="F181" s="22" t="n"/>
      <c r="G181" s="22" t="n"/>
      <c r="H181" s="31" t="n"/>
      <c r="I181" s="23" t="n"/>
      <c r="J181" s="56" t="n"/>
      <c r="K181" s="22" t="n"/>
      <c r="L181" s="22" t="n"/>
      <c r="M181" s="22" t="n"/>
      <c r="N181" s="22" t="n"/>
      <c r="O181" s="22" t="n"/>
      <c r="P181" s="23" t="n"/>
      <c r="Q181" s="65" t="n"/>
      <c r="R181" s="65" t="n"/>
      <c r="S181" s="55" t="n"/>
      <c r="T181" s="55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</row>
    <row r="182" ht="51.75" customHeight="1" s="211">
      <c r="A182" s="55" t="n"/>
      <c r="B182" s="12" t="n"/>
      <c r="C182" s="55">
        <f>'Sales Candence'!B182</f>
        <v/>
      </c>
      <c r="D182" s="71" t="n"/>
      <c r="E182" s="71" t="n"/>
      <c r="F182" s="22" t="n"/>
      <c r="G182" s="22" t="n"/>
      <c r="H182" s="31" t="n"/>
      <c r="I182" s="23" t="n"/>
      <c r="J182" s="56" t="n"/>
      <c r="K182" s="22" t="n"/>
      <c r="L182" s="22" t="n"/>
      <c r="M182" s="22" t="n"/>
      <c r="N182" s="22" t="n"/>
      <c r="O182" s="22" t="n"/>
      <c r="P182" s="23" t="n"/>
      <c r="Q182" s="65" t="n"/>
      <c r="R182" s="65" t="n"/>
      <c r="S182" s="55" t="n"/>
      <c r="T182" s="55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</row>
    <row r="183" ht="51.75" customHeight="1" s="211">
      <c r="A183" s="55" t="n"/>
      <c r="B183" s="12" t="n"/>
      <c r="C183" s="55">
        <f>'Sales Candence'!B183</f>
        <v/>
      </c>
      <c r="D183" s="71" t="n"/>
      <c r="E183" s="71" t="n"/>
      <c r="F183" s="22" t="n"/>
      <c r="G183" s="22" t="n"/>
      <c r="H183" s="31" t="n"/>
      <c r="I183" s="23" t="n"/>
      <c r="J183" s="56" t="n"/>
      <c r="K183" s="22" t="n"/>
      <c r="L183" s="22" t="n"/>
      <c r="M183" s="22" t="n"/>
      <c r="N183" s="22" t="n"/>
      <c r="O183" s="22" t="n"/>
      <c r="P183" s="23" t="n"/>
      <c r="Q183" s="65" t="n"/>
      <c r="R183" s="65" t="n"/>
      <c r="S183" s="55" t="n"/>
      <c r="T183" s="55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</row>
    <row r="184" ht="51.75" customHeight="1" s="211">
      <c r="A184" s="55" t="n"/>
      <c r="B184" s="12" t="n"/>
      <c r="C184" s="55">
        <f>'Sales Candence'!B184</f>
        <v/>
      </c>
      <c r="D184" s="71" t="n"/>
      <c r="E184" s="71" t="n"/>
      <c r="F184" s="22" t="n"/>
      <c r="G184" s="22" t="n"/>
      <c r="H184" s="31" t="n"/>
      <c r="I184" s="23" t="n"/>
      <c r="J184" s="56" t="n"/>
      <c r="K184" s="22" t="n"/>
      <c r="L184" s="22" t="n"/>
      <c r="M184" s="22" t="n"/>
      <c r="N184" s="22" t="n"/>
      <c r="O184" s="22" t="n"/>
      <c r="P184" s="23" t="n"/>
      <c r="Q184" s="65" t="n"/>
      <c r="R184" s="65" t="n"/>
      <c r="S184" s="55" t="n"/>
      <c r="T184" s="55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</row>
    <row r="185" ht="51.75" customHeight="1" s="211">
      <c r="A185" s="55" t="n"/>
      <c r="B185" s="12" t="n"/>
      <c r="C185" s="55">
        <f>'Sales Candence'!B185</f>
        <v/>
      </c>
      <c r="D185" s="71" t="n"/>
      <c r="E185" s="71" t="n"/>
      <c r="F185" s="22" t="n"/>
      <c r="G185" s="22" t="n"/>
      <c r="H185" s="31" t="n"/>
      <c r="I185" s="23" t="n"/>
      <c r="J185" s="56" t="n"/>
      <c r="K185" s="22" t="n"/>
      <c r="L185" s="22" t="n"/>
      <c r="M185" s="22" t="n"/>
      <c r="N185" s="22" t="n"/>
      <c r="O185" s="22" t="n"/>
      <c r="P185" s="23" t="n"/>
      <c r="Q185" s="65" t="n"/>
      <c r="R185" s="65" t="n"/>
      <c r="S185" s="55" t="n"/>
      <c r="T185" s="55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</row>
    <row r="186" ht="51.75" customHeight="1" s="211">
      <c r="A186" s="55" t="n"/>
      <c r="B186" s="12" t="n"/>
      <c r="C186" s="55">
        <f>'Sales Candence'!B186</f>
        <v/>
      </c>
      <c r="D186" s="71" t="n"/>
      <c r="E186" s="71" t="n"/>
      <c r="F186" s="22" t="n"/>
      <c r="G186" s="22" t="n"/>
      <c r="H186" s="31" t="n"/>
      <c r="I186" s="23" t="n"/>
      <c r="J186" s="56" t="n"/>
      <c r="K186" s="22" t="n"/>
      <c r="L186" s="22" t="n"/>
      <c r="M186" s="22" t="n"/>
      <c r="N186" s="22" t="n"/>
      <c r="O186" s="22" t="n"/>
      <c r="P186" s="23" t="n"/>
      <c r="Q186" s="65" t="n"/>
      <c r="R186" s="65" t="n"/>
      <c r="S186" s="55" t="n"/>
      <c r="T186" s="55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</row>
    <row r="187" ht="51.75" customHeight="1" s="211">
      <c r="A187" s="55" t="n"/>
      <c r="B187" s="12" t="n"/>
      <c r="C187" s="55">
        <f>'Sales Candence'!B187</f>
        <v/>
      </c>
      <c r="D187" s="71" t="n"/>
      <c r="E187" s="71" t="n"/>
      <c r="F187" s="22" t="n"/>
      <c r="G187" s="22" t="n"/>
      <c r="H187" s="31" t="n"/>
      <c r="I187" s="23" t="n"/>
      <c r="J187" s="56" t="n"/>
      <c r="K187" s="22" t="n"/>
      <c r="L187" s="22" t="n"/>
      <c r="M187" s="22" t="n"/>
      <c r="N187" s="22" t="n"/>
      <c r="O187" s="22" t="n"/>
      <c r="P187" s="23" t="n"/>
      <c r="Q187" s="65" t="n"/>
      <c r="R187" s="65" t="n"/>
      <c r="S187" s="55" t="n"/>
      <c r="T187" s="55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</row>
    <row r="188" ht="51.75" customHeight="1" s="211">
      <c r="A188" s="55" t="n"/>
      <c r="B188" s="12" t="n"/>
      <c r="C188" s="55">
        <f>'Sales Candence'!B188</f>
        <v/>
      </c>
      <c r="D188" s="71" t="n"/>
      <c r="E188" s="71" t="n"/>
      <c r="F188" s="22" t="n"/>
      <c r="G188" s="22" t="n"/>
      <c r="H188" s="31" t="n"/>
      <c r="I188" s="23" t="n"/>
      <c r="J188" s="56" t="n"/>
      <c r="K188" s="22" t="n"/>
      <c r="L188" s="22" t="n"/>
      <c r="M188" s="22" t="n"/>
      <c r="N188" s="22" t="n"/>
      <c r="O188" s="22" t="n"/>
      <c r="P188" s="23" t="n"/>
      <c r="Q188" s="65" t="n"/>
      <c r="R188" s="65" t="n"/>
      <c r="S188" s="55" t="n"/>
      <c r="T188" s="55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</row>
    <row r="189" ht="51.75" customHeight="1" s="211">
      <c r="A189" s="55" t="n"/>
      <c r="B189" s="12" t="n"/>
      <c r="C189" s="55">
        <f>'Sales Candence'!B189</f>
        <v/>
      </c>
      <c r="D189" s="71" t="n"/>
      <c r="E189" s="71" t="n"/>
      <c r="F189" s="22" t="n"/>
      <c r="G189" s="22" t="n"/>
      <c r="H189" s="31" t="n"/>
      <c r="I189" s="23" t="n"/>
      <c r="J189" s="56" t="n"/>
      <c r="K189" s="22" t="n"/>
      <c r="L189" s="22" t="n"/>
      <c r="M189" s="22" t="n"/>
      <c r="N189" s="22" t="n"/>
      <c r="O189" s="22" t="n"/>
      <c r="P189" s="23" t="n"/>
      <c r="Q189" s="65" t="n"/>
      <c r="R189" s="65" t="n"/>
      <c r="S189" s="55" t="n"/>
      <c r="T189" s="55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</row>
    <row r="190" ht="51.75" customHeight="1" s="211">
      <c r="A190" s="55" t="n"/>
      <c r="B190" s="12" t="n"/>
      <c r="C190" s="55">
        <f>'Sales Candence'!B190</f>
        <v/>
      </c>
      <c r="D190" s="71" t="n"/>
      <c r="E190" s="71" t="n"/>
      <c r="F190" s="22" t="n"/>
      <c r="G190" s="22" t="n"/>
      <c r="H190" s="31" t="n"/>
      <c r="I190" s="23" t="n"/>
      <c r="J190" s="56" t="n"/>
      <c r="K190" s="22" t="n"/>
      <c r="L190" s="22" t="n"/>
      <c r="M190" s="22" t="n"/>
      <c r="N190" s="22" t="n"/>
      <c r="O190" s="22" t="n"/>
      <c r="P190" s="23" t="n"/>
      <c r="Q190" s="65" t="n"/>
      <c r="R190" s="65" t="n"/>
      <c r="S190" s="55" t="n"/>
      <c r="T190" s="55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</row>
    <row r="191" ht="51.75" customHeight="1" s="211">
      <c r="A191" s="55" t="n"/>
      <c r="B191" s="12" t="n"/>
      <c r="C191" s="55">
        <f>'Sales Candence'!B191</f>
        <v/>
      </c>
      <c r="D191" s="71" t="n"/>
      <c r="E191" s="71" t="n"/>
      <c r="F191" s="22" t="n"/>
      <c r="G191" s="22" t="n"/>
      <c r="H191" s="31" t="n"/>
      <c r="I191" s="23" t="n"/>
      <c r="J191" s="56" t="n"/>
      <c r="K191" s="22" t="n"/>
      <c r="L191" s="22" t="n"/>
      <c r="M191" s="22" t="n"/>
      <c r="N191" s="22" t="n"/>
      <c r="O191" s="22" t="n"/>
      <c r="P191" s="23" t="n"/>
      <c r="Q191" s="65" t="n"/>
      <c r="R191" s="65" t="n"/>
      <c r="S191" s="55" t="n"/>
      <c r="T191" s="55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</row>
    <row r="192" ht="51.75" customHeight="1" s="211">
      <c r="A192" s="55" t="n"/>
      <c r="B192" s="12" t="n"/>
      <c r="C192" s="55">
        <f>'Sales Candence'!B192</f>
        <v/>
      </c>
      <c r="D192" s="71" t="n"/>
      <c r="E192" s="71" t="n"/>
      <c r="F192" s="22" t="n"/>
      <c r="G192" s="22" t="n"/>
      <c r="H192" s="31" t="n"/>
      <c r="I192" s="23" t="n"/>
      <c r="J192" s="56" t="n"/>
      <c r="K192" s="22" t="n"/>
      <c r="L192" s="22" t="n"/>
      <c r="M192" s="22" t="n"/>
      <c r="N192" s="22" t="n"/>
      <c r="O192" s="22" t="n"/>
      <c r="P192" s="23" t="n"/>
      <c r="Q192" s="65" t="n"/>
      <c r="R192" s="65" t="n"/>
      <c r="S192" s="55" t="n"/>
      <c r="T192" s="55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</row>
    <row r="193" ht="51.75" customHeight="1" s="211">
      <c r="A193" s="55" t="n"/>
      <c r="B193" s="12" t="n"/>
      <c r="C193" s="55">
        <f>'Sales Candence'!B193</f>
        <v/>
      </c>
      <c r="D193" s="71" t="n"/>
      <c r="E193" s="71" t="n"/>
      <c r="F193" s="22" t="n"/>
      <c r="G193" s="22" t="n"/>
      <c r="H193" s="31" t="n"/>
      <c r="I193" s="23" t="n"/>
      <c r="J193" s="56" t="n"/>
      <c r="K193" s="22" t="n"/>
      <c r="L193" s="22" t="n"/>
      <c r="M193" s="22" t="n"/>
      <c r="N193" s="22" t="n"/>
      <c r="O193" s="22" t="n"/>
      <c r="P193" s="23" t="n"/>
      <c r="Q193" s="65" t="n"/>
      <c r="R193" s="65" t="n"/>
      <c r="S193" s="55" t="n"/>
      <c r="T193" s="55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</row>
    <row r="194" ht="51.75" customHeight="1" s="211">
      <c r="A194" s="55" t="n"/>
      <c r="B194" s="12" t="n"/>
      <c r="C194" s="55">
        <f>'Sales Candence'!B194</f>
        <v/>
      </c>
      <c r="D194" s="71" t="n"/>
      <c r="E194" s="71" t="n"/>
      <c r="F194" s="22" t="n"/>
      <c r="G194" s="22" t="n"/>
      <c r="H194" s="31" t="n"/>
      <c r="I194" s="23" t="n"/>
      <c r="J194" s="56" t="n"/>
      <c r="K194" s="22" t="n"/>
      <c r="L194" s="22" t="n"/>
      <c r="M194" s="22" t="n"/>
      <c r="N194" s="22" t="n"/>
      <c r="O194" s="22" t="n"/>
      <c r="P194" s="23" t="n"/>
      <c r="Q194" s="65" t="n"/>
      <c r="R194" s="65" t="n"/>
      <c r="S194" s="55" t="n"/>
      <c r="T194" s="55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</row>
    <row r="195" ht="51.75" customHeight="1" s="211">
      <c r="A195" s="55" t="n"/>
      <c r="B195" s="12" t="n"/>
      <c r="C195" s="55">
        <f>'Sales Candence'!B195</f>
        <v/>
      </c>
      <c r="D195" s="71" t="n"/>
      <c r="E195" s="71" t="n"/>
      <c r="F195" s="22" t="n"/>
      <c r="G195" s="22" t="n"/>
      <c r="H195" s="31" t="n"/>
      <c r="I195" s="23" t="n"/>
      <c r="J195" s="56" t="n"/>
      <c r="K195" s="22" t="n"/>
      <c r="L195" s="22" t="n"/>
      <c r="M195" s="22" t="n"/>
      <c r="N195" s="22" t="n"/>
      <c r="O195" s="22" t="n"/>
      <c r="P195" s="23" t="n"/>
      <c r="Q195" s="65" t="n"/>
      <c r="R195" s="65" t="n"/>
      <c r="S195" s="55" t="n"/>
      <c r="T195" s="55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</row>
    <row r="196" ht="51.75" customHeight="1" s="211">
      <c r="A196" s="55" t="n"/>
      <c r="B196" s="12" t="n"/>
      <c r="C196" s="55">
        <f>'Sales Candence'!B196</f>
        <v/>
      </c>
      <c r="D196" s="71" t="n"/>
      <c r="E196" s="71" t="n"/>
      <c r="F196" s="22" t="n"/>
      <c r="G196" s="22" t="n"/>
      <c r="H196" s="31" t="n"/>
      <c r="I196" s="23" t="n"/>
      <c r="J196" s="56" t="n"/>
      <c r="K196" s="22" t="n"/>
      <c r="L196" s="22" t="n"/>
      <c r="M196" s="22" t="n"/>
      <c r="N196" s="22" t="n"/>
      <c r="O196" s="22" t="n"/>
      <c r="P196" s="23" t="n"/>
      <c r="Q196" s="65" t="n"/>
      <c r="R196" s="65" t="n"/>
      <c r="S196" s="55" t="n"/>
      <c r="T196" s="55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</row>
    <row r="197" ht="51.75" customHeight="1" s="211">
      <c r="A197" s="55" t="n"/>
      <c r="B197" s="12" t="n"/>
      <c r="C197" s="55">
        <f>'Sales Candence'!B197</f>
        <v/>
      </c>
      <c r="D197" s="71" t="n"/>
      <c r="E197" s="71" t="n"/>
      <c r="F197" s="22" t="n"/>
      <c r="G197" s="22" t="n"/>
      <c r="H197" s="31" t="n"/>
      <c r="I197" s="23" t="n"/>
      <c r="J197" s="56" t="n"/>
      <c r="K197" s="22" t="n"/>
      <c r="L197" s="22" t="n"/>
      <c r="M197" s="22" t="n"/>
      <c r="N197" s="22" t="n"/>
      <c r="O197" s="22" t="n"/>
      <c r="P197" s="23" t="n"/>
      <c r="Q197" s="65" t="n"/>
      <c r="R197" s="65" t="n"/>
      <c r="S197" s="55" t="n"/>
      <c r="T197" s="55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</row>
    <row r="198" ht="51.75" customHeight="1" s="211">
      <c r="A198" s="55" t="n"/>
      <c r="B198" s="12" t="n"/>
      <c r="C198" s="55">
        <f>'Sales Candence'!B198</f>
        <v/>
      </c>
      <c r="D198" s="71" t="n"/>
      <c r="E198" s="71" t="n"/>
      <c r="F198" s="22" t="n"/>
      <c r="G198" s="22" t="n"/>
      <c r="H198" s="31" t="n"/>
      <c r="I198" s="23" t="n"/>
      <c r="J198" s="56" t="n"/>
      <c r="K198" s="22" t="n"/>
      <c r="L198" s="22" t="n"/>
      <c r="M198" s="22" t="n"/>
      <c r="N198" s="22" t="n"/>
      <c r="O198" s="22" t="n"/>
      <c r="P198" s="23" t="n"/>
      <c r="Q198" s="65" t="n"/>
      <c r="R198" s="65" t="n"/>
      <c r="S198" s="55" t="n"/>
      <c r="T198" s="55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</row>
    <row r="199" ht="51.75" customHeight="1" s="211">
      <c r="A199" s="55" t="n"/>
      <c r="B199" s="12" t="n"/>
      <c r="C199" s="55">
        <f>'Sales Candence'!B199</f>
        <v/>
      </c>
      <c r="D199" s="71" t="n"/>
      <c r="E199" s="71" t="n"/>
      <c r="F199" s="22" t="n"/>
      <c r="G199" s="22" t="n"/>
      <c r="H199" s="31" t="n"/>
      <c r="I199" s="23" t="n"/>
      <c r="J199" s="56" t="n"/>
      <c r="K199" s="22" t="n"/>
      <c r="L199" s="22" t="n"/>
      <c r="M199" s="22" t="n"/>
      <c r="N199" s="22" t="n"/>
      <c r="O199" s="22" t="n"/>
      <c r="P199" s="23" t="n"/>
      <c r="Q199" s="65" t="n"/>
      <c r="R199" s="65" t="n"/>
      <c r="S199" s="55" t="n"/>
      <c r="T199" s="55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</row>
    <row r="200" ht="51.75" customHeight="1" s="211">
      <c r="A200" s="55" t="n"/>
      <c r="B200" s="12" t="n"/>
      <c r="C200" s="55">
        <f>'Sales Candence'!B200</f>
        <v/>
      </c>
      <c r="D200" s="71" t="n"/>
      <c r="E200" s="71" t="n"/>
      <c r="F200" s="22" t="n"/>
      <c r="G200" s="22" t="n"/>
      <c r="H200" s="31" t="n"/>
      <c r="I200" s="23" t="n"/>
      <c r="J200" s="56" t="n"/>
      <c r="K200" s="22" t="n"/>
      <c r="L200" s="22" t="n"/>
      <c r="M200" s="22" t="n"/>
      <c r="N200" s="22" t="n"/>
      <c r="O200" s="22" t="n"/>
      <c r="P200" s="23" t="n"/>
      <c r="Q200" s="65" t="n"/>
      <c r="R200" s="65" t="n"/>
      <c r="S200" s="55" t="n"/>
      <c r="T200" s="55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</row>
    <row r="201" ht="51.75" customHeight="1" s="211">
      <c r="A201" s="55" t="n"/>
      <c r="B201" s="12" t="n"/>
      <c r="C201" s="55">
        <f>'Sales Candence'!B201</f>
        <v/>
      </c>
      <c r="D201" s="71" t="n"/>
      <c r="E201" s="71" t="n"/>
      <c r="F201" s="22" t="n"/>
      <c r="G201" s="22" t="n"/>
      <c r="H201" s="31" t="n"/>
      <c r="I201" s="23" t="n"/>
      <c r="J201" s="56" t="n"/>
      <c r="K201" s="22" t="n"/>
      <c r="L201" s="22" t="n"/>
      <c r="M201" s="22" t="n"/>
      <c r="N201" s="22" t="n"/>
      <c r="O201" s="22" t="n"/>
      <c r="P201" s="23" t="n"/>
      <c r="Q201" s="65" t="n"/>
      <c r="R201" s="65" t="n"/>
      <c r="S201" s="55" t="n"/>
      <c r="T201" s="55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</row>
    <row r="202" ht="51.75" customHeight="1" s="211">
      <c r="A202" s="55" t="n"/>
      <c r="B202" s="12" t="n"/>
      <c r="C202" s="55">
        <f>'Sales Candence'!B202</f>
        <v/>
      </c>
      <c r="D202" s="71" t="n"/>
      <c r="E202" s="71" t="n"/>
      <c r="F202" s="22" t="n"/>
      <c r="G202" s="22" t="n"/>
      <c r="H202" s="31" t="n"/>
      <c r="I202" s="23" t="n"/>
      <c r="J202" s="56" t="n"/>
      <c r="K202" s="22" t="n"/>
      <c r="L202" s="22" t="n"/>
      <c r="M202" s="22" t="n"/>
      <c r="N202" s="22" t="n"/>
      <c r="O202" s="22" t="n"/>
      <c r="P202" s="23" t="n"/>
      <c r="Q202" s="65" t="n"/>
      <c r="R202" s="65" t="n"/>
      <c r="S202" s="55" t="n"/>
      <c r="T202" s="55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</row>
    <row r="203" ht="51.75" customHeight="1" s="211">
      <c r="A203" s="55" t="n"/>
      <c r="B203" s="12" t="n"/>
      <c r="C203" s="55">
        <f>'Sales Candence'!B203</f>
        <v/>
      </c>
      <c r="D203" s="71" t="n"/>
      <c r="E203" s="71" t="n"/>
      <c r="F203" s="22" t="n"/>
      <c r="G203" s="22" t="n"/>
      <c r="H203" s="31" t="n"/>
      <c r="I203" s="23" t="n"/>
      <c r="J203" s="56" t="n"/>
      <c r="K203" s="22" t="n"/>
      <c r="L203" s="22" t="n"/>
      <c r="M203" s="22" t="n"/>
      <c r="N203" s="22" t="n"/>
      <c r="O203" s="22" t="n"/>
      <c r="P203" s="23" t="n"/>
      <c r="Q203" s="65" t="n"/>
      <c r="R203" s="65" t="n"/>
      <c r="S203" s="55" t="n"/>
      <c r="T203" s="55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</row>
    <row r="204" ht="51.75" customHeight="1" s="211">
      <c r="A204" s="55" t="n"/>
      <c r="B204" s="12" t="n"/>
      <c r="C204" s="55">
        <f>'Sales Candence'!B204</f>
        <v/>
      </c>
      <c r="D204" s="71" t="n"/>
      <c r="E204" s="71" t="n"/>
      <c r="F204" s="22" t="n"/>
      <c r="G204" s="22" t="n"/>
      <c r="H204" s="31" t="n"/>
      <c r="I204" s="23" t="n"/>
      <c r="J204" s="56" t="n"/>
      <c r="K204" s="22" t="n"/>
      <c r="L204" s="22" t="n"/>
      <c r="M204" s="22" t="n"/>
      <c r="N204" s="22" t="n"/>
      <c r="O204" s="22" t="n"/>
      <c r="P204" s="23" t="n"/>
      <c r="Q204" s="65" t="n"/>
      <c r="R204" s="65" t="n"/>
      <c r="S204" s="55" t="n"/>
      <c r="T204" s="55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</row>
    <row r="205" ht="51.75" customHeight="1" s="211">
      <c r="A205" s="55" t="n"/>
      <c r="B205" s="12" t="n"/>
      <c r="C205" s="55">
        <f>'Sales Candence'!B205</f>
        <v/>
      </c>
      <c r="D205" s="71" t="n"/>
      <c r="E205" s="71" t="n"/>
      <c r="F205" s="22" t="n"/>
      <c r="G205" s="22" t="n"/>
      <c r="H205" s="31" t="n"/>
      <c r="I205" s="23" t="n"/>
      <c r="J205" s="56" t="n"/>
      <c r="K205" s="22" t="n"/>
      <c r="L205" s="22" t="n"/>
      <c r="M205" s="22" t="n"/>
      <c r="N205" s="22" t="n"/>
      <c r="O205" s="22" t="n"/>
      <c r="P205" s="23" t="n"/>
      <c r="Q205" s="65" t="n"/>
      <c r="R205" s="65" t="n"/>
      <c r="S205" s="55" t="n"/>
      <c r="T205" s="55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</row>
    <row r="206" ht="51.75" customHeight="1" s="211">
      <c r="A206" s="55" t="n"/>
      <c r="B206" s="12" t="n"/>
      <c r="C206" s="55">
        <f>'Sales Candence'!B206</f>
        <v/>
      </c>
      <c r="D206" s="71" t="n"/>
      <c r="E206" s="71" t="n"/>
      <c r="F206" s="22" t="n"/>
      <c r="G206" s="22" t="n"/>
      <c r="H206" s="31" t="n"/>
      <c r="I206" s="23" t="n"/>
      <c r="J206" s="56" t="n"/>
      <c r="K206" s="22" t="n"/>
      <c r="L206" s="22" t="n"/>
      <c r="M206" s="22" t="n"/>
      <c r="N206" s="22" t="n"/>
      <c r="O206" s="22" t="n"/>
      <c r="P206" s="23" t="n"/>
      <c r="Q206" s="65" t="n"/>
      <c r="R206" s="65" t="n"/>
      <c r="S206" s="55" t="n"/>
      <c r="T206" s="55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</row>
    <row r="207" ht="51.75" customHeight="1" s="211">
      <c r="A207" s="55" t="n"/>
      <c r="B207" s="12" t="n"/>
      <c r="C207" s="55">
        <f>'Sales Candence'!B207</f>
        <v/>
      </c>
      <c r="D207" s="71" t="n"/>
      <c r="E207" s="71" t="n"/>
      <c r="F207" s="22" t="n"/>
      <c r="G207" s="22" t="n"/>
      <c r="H207" s="31" t="n"/>
      <c r="I207" s="23" t="n"/>
      <c r="J207" s="56" t="n"/>
      <c r="K207" s="22" t="n"/>
      <c r="L207" s="22" t="n"/>
      <c r="M207" s="22" t="n"/>
      <c r="N207" s="22" t="n"/>
      <c r="O207" s="22" t="n"/>
      <c r="P207" s="23" t="n"/>
      <c r="Q207" s="65" t="n"/>
      <c r="R207" s="65" t="n"/>
      <c r="S207" s="55" t="n"/>
      <c r="T207" s="55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</row>
    <row r="208" ht="51.75" customHeight="1" s="211">
      <c r="A208" s="55" t="n"/>
      <c r="B208" s="12" t="n"/>
      <c r="C208" s="55">
        <f>'Sales Candence'!B208</f>
        <v/>
      </c>
      <c r="D208" s="71" t="n"/>
      <c r="E208" s="71" t="n"/>
      <c r="F208" s="22" t="n"/>
      <c r="G208" s="22" t="n"/>
      <c r="H208" s="31" t="n"/>
      <c r="I208" s="23" t="n"/>
      <c r="J208" s="56" t="n"/>
      <c r="K208" s="22" t="n"/>
      <c r="L208" s="22" t="n"/>
      <c r="M208" s="22" t="n"/>
      <c r="N208" s="22" t="n"/>
      <c r="O208" s="22" t="n"/>
      <c r="P208" s="23" t="n"/>
      <c r="Q208" s="65" t="n"/>
      <c r="R208" s="65" t="n"/>
      <c r="S208" s="55" t="n"/>
      <c r="T208" s="55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</row>
    <row r="209" ht="51.75" customHeight="1" s="211">
      <c r="A209" s="55" t="n"/>
      <c r="B209" s="12" t="n"/>
      <c r="C209" s="55">
        <f>'Sales Candence'!B209</f>
        <v/>
      </c>
      <c r="D209" s="71" t="n"/>
      <c r="E209" s="71" t="n"/>
      <c r="F209" s="22" t="n"/>
      <c r="G209" s="22" t="n"/>
      <c r="H209" s="31" t="n"/>
      <c r="I209" s="23" t="n"/>
      <c r="J209" s="56" t="n"/>
      <c r="K209" s="22" t="n"/>
      <c r="L209" s="22" t="n"/>
      <c r="M209" s="22" t="n"/>
      <c r="N209" s="22" t="n"/>
      <c r="O209" s="22" t="n"/>
      <c r="P209" s="23" t="n"/>
      <c r="Q209" s="65" t="n"/>
      <c r="R209" s="65" t="n"/>
      <c r="S209" s="55" t="n"/>
      <c r="T209" s="55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</row>
    <row r="210" ht="51.75" customHeight="1" s="211">
      <c r="A210" s="55" t="n"/>
      <c r="B210" s="12" t="n"/>
      <c r="C210" s="55">
        <f>'Sales Candence'!B210</f>
        <v/>
      </c>
      <c r="D210" s="71" t="n"/>
      <c r="E210" s="71" t="n"/>
      <c r="F210" s="22" t="n"/>
      <c r="G210" s="22" t="n"/>
      <c r="H210" s="31" t="n"/>
      <c r="I210" s="23" t="n"/>
      <c r="J210" s="56" t="n"/>
      <c r="K210" s="22" t="n"/>
      <c r="L210" s="22" t="n"/>
      <c r="M210" s="22" t="n"/>
      <c r="N210" s="22" t="n"/>
      <c r="O210" s="22" t="n"/>
      <c r="P210" s="23" t="n"/>
      <c r="Q210" s="65" t="n"/>
      <c r="R210" s="65" t="n"/>
      <c r="S210" s="55" t="n"/>
      <c r="T210" s="55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</row>
    <row r="211" ht="51.75" customHeight="1" s="211">
      <c r="A211" s="55" t="n"/>
      <c r="B211" s="12" t="n"/>
      <c r="C211" s="55">
        <f>'Sales Candence'!B211</f>
        <v/>
      </c>
      <c r="D211" s="71" t="n"/>
      <c r="E211" s="71" t="n"/>
      <c r="F211" s="22" t="n"/>
      <c r="G211" s="22" t="n"/>
      <c r="H211" s="31" t="n"/>
      <c r="I211" s="23" t="n"/>
      <c r="J211" s="56" t="n"/>
      <c r="K211" s="22" t="n"/>
      <c r="L211" s="22" t="n"/>
      <c r="M211" s="22" t="n"/>
      <c r="N211" s="22" t="n"/>
      <c r="O211" s="22" t="n"/>
      <c r="P211" s="23" t="n"/>
      <c r="Q211" s="65" t="n"/>
      <c r="R211" s="65" t="n"/>
      <c r="S211" s="55" t="n"/>
      <c r="T211" s="55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</row>
    <row r="212" ht="51.75" customHeight="1" s="211">
      <c r="A212" s="55" t="n"/>
      <c r="B212" s="12" t="n"/>
      <c r="C212" s="55">
        <f>'Sales Candence'!B212</f>
        <v/>
      </c>
      <c r="D212" s="71" t="n"/>
      <c r="E212" s="71" t="n"/>
      <c r="F212" s="22" t="n"/>
      <c r="G212" s="22" t="n"/>
      <c r="H212" s="31" t="n"/>
      <c r="I212" s="23" t="n"/>
      <c r="J212" s="56" t="n"/>
      <c r="K212" s="22" t="n"/>
      <c r="L212" s="22" t="n"/>
      <c r="M212" s="22" t="n"/>
      <c r="N212" s="22" t="n"/>
      <c r="O212" s="22" t="n"/>
      <c r="P212" s="23" t="n"/>
      <c r="Q212" s="65" t="n"/>
      <c r="R212" s="65" t="n"/>
      <c r="S212" s="55" t="n"/>
      <c r="T212" s="55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</row>
    <row r="213" ht="51.75" customHeight="1" s="211">
      <c r="A213" s="55" t="n"/>
      <c r="B213" s="12" t="n"/>
      <c r="C213" s="55">
        <f>'Sales Candence'!B213</f>
        <v/>
      </c>
      <c r="D213" s="71" t="n"/>
      <c r="E213" s="71" t="n"/>
      <c r="F213" s="22" t="n"/>
      <c r="G213" s="22" t="n"/>
      <c r="H213" s="31" t="n"/>
      <c r="I213" s="23" t="n"/>
      <c r="J213" s="56" t="n"/>
      <c r="K213" s="22" t="n"/>
      <c r="L213" s="22" t="n"/>
      <c r="M213" s="22" t="n"/>
      <c r="N213" s="22" t="n"/>
      <c r="O213" s="22" t="n"/>
      <c r="P213" s="23" t="n"/>
      <c r="Q213" s="65" t="n"/>
      <c r="R213" s="65" t="n"/>
      <c r="S213" s="55" t="n"/>
      <c r="T213" s="55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</row>
    <row r="214" ht="51.75" customHeight="1" s="211">
      <c r="A214" s="55" t="n"/>
      <c r="B214" s="12" t="n"/>
      <c r="C214" s="55">
        <f>'Sales Candence'!B214</f>
        <v/>
      </c>
      <c r="D214" s="71" t="n"/>
      <c r="E214" s="71" t="n"/>
      <c r="F214" s="22" t="n"/>
      <c r="G214" s="22" t="n"/>
      <c r="H214" s="31" t="n"/>
      <c r="I214" s="23" t="n"/>
      <c r="J214" s="56" t="n"/>
      <c r="K214" s="22" t="n"/>
      <c r="L214" s="22" t="n"/>
      <c r="M214" s="22" t="n"/>
      <c r="N214" s="22" t="n"/>
      <c r="O214" s="22" t="n"/>
      <c r="P214" s="23" t="n"/>
      <c r="Q214" s="65" t="n"/>
      <c r="R214" s="65" t="n"/>
      <c r="S214" s="55" t="n"/>
      <c r="T214" s="55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</row>
    <row r="215" ht="51.75" customHeight="1" s="211">
      <c r="A215" s="55" t="n"/>
      <c r="B215" s="12" t="n"/>
      <c r="C215" s="55">
        <f>'Sales Candence'!B215</f>
        <v/>
      </c>
      <c r="D215" s="71" t="n"/>
      <c r="E215" s="71" t="n"/>
      <c r="F215" s="22" t="n"/>
      <c r="G215" s="22" t="n"/>
      <c r="H215" s="31" t="n"/>
      <c r="I215" s="23" t="n"/>
      <c r="J215" s="56" t="n"/>
      <c r="K215" s="22" t="n"/>
      <c r="L215" s="22" t="n"/>
      <c r="M215" s="22" t="n"/>
      <c r="N215" s="22" t="n"/>
      <c r="O215" s="22" t="n"/>
      <c r="P215" s="23" t="n"/>
      <c r="Q215" s="65" t="n"/>
      <c r="R215" s="65" t="n"/>
      <c r="S215" s="55" t="n"/>
      <c r="T215" s="55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</row>
    <row r="216" ht="51.75" customHeight="1" s="211">
      <c r="A216" s="55" t="n"/>
      <c r="B216" s="12" t="n"/>
      <c r="C216" s="55">
        <f>'Sales Candence'!B216</f>
        <v/>
      </c>
      <c r="D216" s="71" t="n"/>
      <c r="E216" s="71" t="n"/>
      <c r="F216" s="22" t="n"/>
      <c r="G216" s="22" t="n"/>
      <c r="H216" s="31" t="n"/>
      <c r="I216" s="23" t="n"/>
      <c r="J216" s="56" t="n"/>
      <c r="K216" s="22" t="n"/>
      <c r="L216" s="22" t="n"/>
      <c r="M216" s="22" t="n"/>
      <c r="N216" s="22" t="n"/>
      <c r="O216" s="22" t="n"/>
      <c r="P216" s="23" t="n"/>
      <c r="Q216" s="65" t="n"/>
      <c r="R216" s="65" t="n"/>
      <c r="S216" s="55" t="n"/>
      <c r="T216" s="55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</row>
    <row r="217" ht="51.75" customHeight="1" s="211">
      <c r="A217" s="55" t="n"/>
      <c r="B217" s="12" t="n"/>
      <c r="C217" s="55">
        <f>'Sales Candence'!B217</f>
        <v/>
      </c>
      <c r="D217" s="71" t="n"/>
      <c r="E217" s="71" t="n"/>
      <c r="F217" s="22" t="n"/>
      <c r="G217" s="22" t="n"/>
      <c r="H217" s="31" t="n"/>
      <c r="I217" s="23" t="n"/>
      <c r="J217" s="56" t="n"/>
      <c r="K217" s="22" t="n"/>
      <c r="L217" s="22" t="n"/>
      <c r="M217" s="22" t="n"/>
      <c r="N217" s="22" t="n"/>
      <c r="O217" s="22" t="n"/>
      <c r="P217" s="23" t="n"/>
      <c r="Q217" s="65" t="n"/>
      <c r="R217" s="65" t="n"/>
      <c r="S217" s="55" t="n"/>
      <c r="T217" s="55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</row>
    <row r="218" ht="51.75" customHeight="1" s="211">
      <c r="A218" s="55" t="n"/>
      <c r="B218" s="12" t="n"/>
      <c r="C218" s="55">
        <f>'Sales Candence'!B218</f>
        <v/>
      </c>
      <c r="D218" s="71" t="n"/>
      <c r="E218" s="71" t="n"/>
      <c r="F218" s="22" t="n"/>
      <c r="G218" s="22" t="n"/>
      <c r="H218" s="31" t="n"/>
      <c r="I218" s="23" t="n"/>
      <c r="J218" s="56" t="n"/>
      <c r="K218" s="22" t="n"/>
      <c r="L218" s="22" t="n"/>
      <c r="M218" s="22" t="n"/>
      <c r="N218" s="22" t="n"/>
      <c r="O218" s="22" t="n"/>
      <c r="P218" s="23" t="n"/>
      <c r="Q218" s="65" t="n"/>
      <c r="R218" s="65" t="n"/>
      <c r="S218" s="55" t="n"/>
      <c r="T218" s="55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</row>
    <row r="219" ht="51.75" customHeight="1" s="211">
      <c r="A219" s="55" t="n"/>
      <c r="B219" s="12" t="n"/>
      <c r="C219" s="55">
        <f>'Sales Candence'!B219</f>
        <v/>
      </c>
      <c r="D219" s="71" t="n"/>
      <c r="E219" s="71" t="n"/>
      <c r="F219" s="22" t="n"/>
      <c r="G219" s="22" t="n"/>
      <c r="H219" s="31" t="n"/>
      <c r="I219" s="23" t="n"/>
      <c r="J219" s="56" t="n"/>
      <c r="K219" s="22" t="n"/>
      <c r="L219" s="22" t="n"/>
      <c r="M219" s="22" t="n"/>
      <c r="N219" s="22" t="n"/>
      <c r="O219" s="22" t="n"/>
      <c r="P219" s="23" t="n"/>
      <c r="Q219" s="65" t="n"/>
      <c r="R219" s="65" t="n"/>
      <c r="S219" s="55" t="n"/>
      <c r="T219" s="55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</row>
    <row r="220" ht="51.75" customHeight="1" s="211">
      <c r="A220" s="55" t="n"/>
      <c r="B220" s="12" t="n"/>
      <c r="C220" s="55">
        <f>'Sales Candence'!B220</f>
        <v/>
      </c>
      <c r="D220" s="71" t="n"/>
      <c r="E220" s="71" t="n"/>
      <c r="F220" s="22" t="n"/>
      <c r="G220" s="22" t="n"/>
      <c r="H220" s="31" t="n"/>
      <c r="I220" s="23" t="n"/>
      <c r="J220" s="56" t="n"/>
      <c r="K220" s="22" t="n"/>
      <c r="L220" s="22" t="n"/>
      <c r="M220" s="22" t="n"/>
      <c r="N220" s="22" t="n"/>
      <c r="O220" s="22" t="n"/>
      <c r="P220" s="23" t="n"/>
      <c r="Q220" s="65" t="n"/>
      <c r="R220" s="65" t="n"/>
      <c r="S220" s="55" t="n"/>
      <c r="T220" s="55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</row>
    <row r="221" ht="51.75" customHeight="1" s="211">
      <c r="A221" s="55" t="n"/>
      <c r="B221" s="12" t="n"/>
      <c r="C221" s="55">
        <f>'Sales Candence'!B221</f>
        <v/>
      </c>
      <c r="D221" s="71" t="n"/>
      <c r="E221" s="71" t="n"/>
      <c r="F221" s="22" t="n"/>
      <c r="G221" s="22" t="n"/>
      <c r="H221" s="31" t="n"/>
      <c r="I221" s="23" t="n"/>
      <c r="J221" s="56" t="n"/>
      <c r="K221" s="22" t="n"/>
      <c r="L221" s="22" t="n"/>
      <c r="M221" s="22" t="n"/>
      <c r="N221" s="22" t="n"/>
      <c r="O221" s="22" t="n"/>
      <c r="P221" s="23" t="n"/>
      <c r="Q221" s="65" t="n"/>
      <c r="R221" s="65" t="n"/>
      <c r="S221" s="55" t="n"/>
      <c r="T221" s="55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</row>
    <row r="222" ht="51.75" customHeight="1" s="211">
      <c r="A222" s="55" t="n"/>
      <c r="B222" s="12" t="n"/>
      <c r="C222" s="55">
        <f>'Sales Candence'!B222</f>
        <v/>
      </c>
      <c r="D222" s="71" t="n"/>
      <c r="E222" s="71" t="n"/>
      <c r="F222" s="22" t="n"/>
      <c r="G222" s="22" t="n"/>
      <c r="H222" s="31" t="n"/>
      <c r="I222" s="23" t="n"/>
      <c r="J222" s="56" t="n"/>
      <c r="K222" s="22" t="n"/>
      <c r="L222" s="22" t="n"/>
      <c r="M222" s="22" t="n"/>
      <c r="N222" s="22" t="n"/>
      <c r="O222" s="22" t="n"/>
      <c r="P222" s="23" t="n"/>
      <c r="Q222" s="65" t="n"/>
      <c r="R222" s="65" t="n"/>
      <c r="S222" s="55" t="n"/>
      <c r="T222" s="55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</row>
    <row r="223" ht="51.75" customHeight="1" s="211">
      <c r="A223" s="55" t="n"/>
      <c r="B223" s="12" t="n"/>
      <c r="C223" s="55">
        <f>'Sales Candence'!B223</f>
        <v/>
      </c>
      <c r="D223" s="71" t="n"/>
      <c r="E223" s="71" t="n"/>
      <c r="F223" s="22" t="n"/>
      <c r="G223" s="22" t="n"/>
      <c r="H223" s="31" t="n"/>
      <c r="I223" s="23" t="n"/>
      <c r="J223" s="56" t="n"/>
      <c r="K223" s="22" t="n"/>
      <c r="L223" s="22" t="n"/>
      <c r="M223" s="22" t="n"/>
      <c r="N223" s="22" t="n"/>
      <c r="O223" s="22" t="n"/>
      <c r="P223" s="23" t="n"/>
      <c r="Q223" s="65" t="n"/>
      <c r="R223" s="65" t="n"/>
      <c r="S223" s="55" t="n"/>
      <c r="T223" s="55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</row>
    <row r="224" ht="51.75" customHeight="1" s="211">
      <c r="A224" s="55" t="n"/>
      <c r="B224" s="12" t="n"/>
      <c r="C224" s="55">
        <f>'Sales Candence'!B224</f>
        <v/>
      </c>
      <c r="D224" s="71" t="n"/>
      <c r="E224" s="71" t="n"/>
      <c r="F224" s="22" t="n"/>
      <c r="G224" s="22" t="n"/>
      <c r="H224" s="31" t="n"/>
      <c r="I224" s="23" t="n"/>
      <c r="J224" s="56" t="n"/>
      <c r="K224" s="22" t="n"/>
      <c r="L224" s="22" t="n"/>
      <c r="M224" s="22" t="n"/>
      <c r="N224" s="22" t="n"/>
      <c r="O224" s="22" t="n"/>
      <c r="P224" s="23" t="n"/>
      <c r="Q224" s="65" t="n"/>
      <c r="R224" s="65" t="n"/>
      <c r="S224" s="55" t="n"/>
      <c r="T224" s="55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</row>
    <row r="225" ht="51.75" customHeight="1" s="211">
      <c r="A225" s="55" t="n"/>
      <c r="B225" s="12" t="n"/>
      <c r="C225" s="55">
        <f>'Sales Candence'!B225</f>
        <v/>
      </c>
      <c r="D225" s="71" t="n"/>
      <c r="E225" s="71" t="n"/>
      <c r="F225" s="22" t="n"/>
      <c r="G225" s="22" t="n"/>
      <c r="H225" s="31" t="n"/>
      <c r="I225" s="23" t="n"/>
      <c r="J225" s="56" t="n"/>
      <c r="K225" s="22" t="n"/>
      <c r="L225" s="22" t="n"/>
      <c r="M225" s="22" t="n"/>
      <c r="N225" s="22" t="n"/>
      <c r="O225" s="22" t="n"/>
      <c r="P225" s="23" t="n"/>
      <c r="Q225" s="65" t="n"/>
      <c r="R225" s="65" t="n"/>
      <c r="S225" s="55" t="n"/>
      <c r="T225" s="55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</row>
    <row r="226" ht="51.75" customHeight="1" s="211">
      <c r="A226" s="55" t="n"/>
      <c r="B226" s="12" t="n"/>
      <c r="C226" s="55">
        <f>'Sales Candence'!B226</f>
        <v/>
      </c>
      <c r="D226" s="71" t="n"/>
      <c r="E226" s="71" t="n"/>
      <c r="F226" s="22" t="n"/>
      <c r="G226" s="22" t="n"/>
      <c r="H226" s="31" t="n"/>
      <c r="I226" s="23" t="n"/>
      <c r="J226" s="56" t="n"/>
      <c r="K226" s="22" t="n"/>
      <c r="L226" s="22" t="n"/>
      <c r="M226" s="22" t="n"/>
      <c r="N226" s="22" t="n"/>
      <c r="O226" s="22" t="n"/>
      <c r="P226" s="23" t="n"/>
      <c r="Q226" s="65" t="n"/>
      <c r="R226" s="65" t="n"/>
      <c r="S226" s="55" t="n"/>
      <c r="T226" s="55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</row>
    <row r="227" ht="51.75" customHeight="1" s="211">
      <c r="A227" s="55" t="n"/>
      <c r="B227" s="12" t="n"/>
      <c r="C227" s="55">
        <f>'Sales Candence'!B227</f>
        <v/>
      </c>
      <c r="D227" s="71" t="n"/>
      <c r="E227" s="71" t="n"/>
      <c r="F227" s="22" t="n"/>
      <c r="G227" s="22" t="n"/>
      <c r="H227" s="31" t="n"/>
      <c r="I227" s="23" t="n"/>
      <c r="J227" s="56" t="n"/>
      <c r="K227" s="22" t="n"/>
      <c r="L227" s="22" t="n"/>
      <c r="M227" s="22" t="n"/>
      <c r="N227" s="22" t="n"/>
      <c r="O227" s="22" t="n"/>
      <c r="P227" s="23" t="n"/>
      <c r="Q227" s="65" t="n"/>
      <c r="R227" s="65" t="n"/>
      <c r="S227" s="55" t="n"/>
      <c r="T227" s="55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</row>
    <row r="228" ht="51.75" customHeight="1" s="211">
      <c r="A228" s="55" t="n"/>
      <c r="B228" s="12" t="n"/>
      <c r="C228" s="55">
        <f>'Sales Candence'!B228</f>
        <v/>
      </c>
      <c r="D228" s="71" t="n"/>
      <c r="E228" s="71" t="n"/>
      <c r="F228" s="22" t="n"/>
      <c r="G228" s="22" t="n"/>
      <c r="H228" s="31" t="n"/>
      <c r="I228" s="23" t="n"/>
      <c r="J228" s="56" t="n"/>
      <c r="K228" s="22" t="n"/>
      <c r="L228" s="22" t="n"/>
      <c r="M228" s="22" t="n"/>
      <c r="N228" s="22" t="n"/>
      <c r="O228" s="22" t="n"/>
      <c r="P228" s="23" t="n"/>
      <c r="Q228" s="65" t="n"/>
      <c r="R228" s="65" t="n"/>
      <c r="S228" s="55" t="n"/>
      <c r="T228" s="55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</row>
    <row r="229" ht="51.75" customHeight="1" s="211">
      <c r="A229" s="55" t="n"/>
      <c r="B229" s="12" t="n"/>
      <c r="C229" s="55">
        <f>'Sales Candence'!B229</f>
        <v/>
      </c>
      <c r="D229" s="71" t="n"/>
      <c r="E229" s="71" t="n"/>
      <c r="F229" s="22" t="n"/>
      <c r="G229" s="22" t="n"/>
      <c r="H229" s="31" t="n"/>
      <c r="I229" s="23" t="n"/>
      <c r="J229" s="56" t="n"/>
      <c r="K229" s="22" t="n"/>
      <c r="L229" s="22" t="n"/>
      <c r="M229" s="22" t="n"/>
      <c r="N229" s="22" t="n"/>
      <c r="O229" s="22" t="n"/>
      <c r="P229" s="23" t="n"/>
      <c r="Q229" s="65" t="n"/>
      <c r="R229" s="65" t="n"/>
      <c r="S229" s="55" t="n"/>
      <c r="T229" s="55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</row>
    <row r="230" ht="51.75" customHeight="1" s="211">
      <c r="A230" s="55" t="n"/>
      <c r="B230" s="12" t="n"/>
      <c r="C230" s="55">
        <f>'Sales Candence'!B230</f>
        <v/>
      </c>
      <c r="D230" s="71" t="n"/>
      <c r="E230" s="71" t="n"/>
      <c r="F230" s="22" t="n"/>
      <c r="G230" s="22" t="n"/>
      <c r="H230" s="31" t="n"/>
      <c r="I230" s="23" t="n"/>
      <c r="J230" s="56" t="n"/>
      <c r="K230" s="22" t="n"/>
      <c r="L230" s="22" t="n"/>
      <c r="M230" s="22" t="n"/>
      <c r="N230" s="22" t="n"/>
      <c r="O230" s="22" t="n"/>
      <c r="P230" s="23" t="n"/>
      <c r="Q230" s="65" t="n"/>
      <c r="R230" s="65" t="n"/>
      <c r="S230" s="55" t="n"/>
      <c r="T230" s="55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</row>
    <row r="231" ht="51.75" customHeight="1" s="211">
      <c r="A231" s="55" t="n"/>
      <c r="B231" s="12" t="n"/>
      <c r="C231" s="55">
        <f>'Sales Candence'!B231</f>
        <v/>
      </c>
      <c r="D231" s="71" t="n"/>
      <c r="E231" s="71" t="n"/>
      <c r="F231" s="22" t="n"/>
      <c r="G231" s="22" t="n"/>
      <c r="H231" s="31" t="n"/>
      <c r="I231" s="23" t="n"/>
      <c r="J231" s="56" t="n"/>
      <c r="K231" s="22" t="n"/>
      <c r="L231" s="22" t="n"/>
      <c r="M231" s="22" t="n"/>
      <c r="N231" s="22" t="n"/>
      <c r="O231" s="22" t="n"/>
      <c r="P231" s="23" t="n"/>
      <c r="Q231" s="65" t="n"/>
      <c r="R231" s="65" t="n"/>
      <c r="S231" s="55" t="n"/>
      <c r="T231" s="55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</row>
    <row r="232" ht="51.75" customHeight="1" s="211">
      <c r="A232" s="55" t="n"/>
      <c r="B232" s="12" t="n"/>
      <c r="C232" s="55">
        <f>'Sales Candence'!B232</f>
        <v/>
      </c>
      <c r="D232" s="71" t="n"/>
      <c r="E232" s="71" t="n"/>
      <c r="F232" s="22" t="n"/>
      <c r="G232" s="22" t="n"/>
      <c r="H232" s="31" t="n"/>
      <c r="I232" s="23" t="n"/>
      <c r="J232" s="56" t="n"/>
      <c r="K232" s="22" t="n"/>
      <c r="L232" s="22" t="n"/>
      <c r="M232" s="22" t="n"/>
      <c r="N232" s="22" t="n"/>
      <c r="O232" s="22" t="n"/>
      <c r="P232" s="23" t="n"/>
      <c r="Q232" s="65" t="n"/>
      <c r="R232" s="65" t="n"/>
      <c r="S232" s="55" t="n"/>
      <c r="T232" s="55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</row>
    <row r="233" ht="51.75" customHeight="1" s="211">
      <c r="A233" s="55" t="n"/>
      <c r="B233" s="12" t="n"/>
      <c r="C233" s="55">
        <f>'Sales Candence'!B233</f>
        <v/>
      </c>
      <c r="D233" s="71" t="n"/>
      <c r="E233" s="71" t="n"/>
      <c r="F233" s="22" t="n"/>
      <c r="G233" s="22" t="n"/>
      <c r="H233" s="31" t="n"/>
      <c r="I233" s="23" t="n"/>
      <c r="J233" s="56" t="n"/>
      <c r="K233" s="22" t="n"/>
      <c r="L233" s="22" t="n"/>
      <c r="M233" s="22" t="n"/>
      <c r="N233" s="22" t="n"/>
      <c r="O233" s="22" t="n"/>
      <c r="P233" s="23" t="n"/>
      <c r="Q233" s="65" t="n"/>
      <c r="R233" s="65" t="n"/>
      <c r="S233" s="55" t="n"/>
      <c r="T233" s="55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</row>
    <row r="234" ht="51.75" customHeight="1" s="211">
      <c r="A234" s="55" t="n"/>
      <c r="B234" s="12" t="n"/>
      <c r="C234" s="55">
        <f>'Sales Candence'!B234</f>
        <v/>
      </c>
      <c r="D234" s="71" t="n"/>
      <c r="E234" s="71" t="n"/>
      <c r="F234" s="22" t="n"/>
      <c r="G234" s="22" t="n"/>
      <c r="H234" s="31" t="n"/>
      <c r="I234" s="23" t="n"/>
      <c r="J234" s="56" t="n"/>
      <c r="K234" s="22" t="n"/>
      <c r="L234" s="22" t="n"/>
      <c r="M234" s="22" t="n"/>
      <c r="N234" s="22" t="n"/>
      <c r="O234" s="22" t="n"/>
      <c r="P234" s="23" t="n"/>
      <c r="Q234" s="65" t="n"/>
      <c r="R234" s="65" t="n"/>
      <c r="S234" s="55" t="n"/>
      <c r="T234" s="55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</row>
    <row r="235" ht="51.75" customHeight="1" s="211">
      <c r="A235" s="55" t="n"/>
      <c r="B235" s="12" t="n"/>
      <c r="C235" s="55">
        <f>'Sales Candence'!B235</f>
        <v/>
      </c>
      <c r="D235" s="71" t="n"/>
      <c r="E235" s="71" t="n"/>
      <c r="F235" s="22" t="n"/>
      <c r="G235" s="22" t="n"/>
      <c r="H235" s="31" t="n"/>
      <c r="I235" s="23" t="n"/>
      <c r="J235" s="56" t="n"/>
      <c r="K235" s="22" t="n"/>
      <c r="L235" s="22" t="n"/>
      <c r="M235" s="22" t="n"/>
      <c r="N235" s="22" t="n"/>
      <c r="O235" s="22" t="n"/>
      <c r="P235" s="23" t="n"/>
      <c r="Q235" s="65" t="n"/>
      <c r="R235" s="65" t="n"/>
      <c r="S235" s="55" t="n"/>
      <c r="T235" s="55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</row>
    <row r="236" ht="51.75" customHeight="1" s="211">
      <c r="A236" s="55" t="n"/>
      <c r="B236" s="12" t="n"/>
      <c r="C236" s="55">
        <f>'Sales Candence'!B236</f>
        <v/>
      </c>
      <c r="D236" s="71" t="n"/>
      <c r="E236" s="71" t="n"/>
      <c r="F236" s="22" t="n"/>
      <c r="G236" s="22" t="n"/>
      <c r="H236" s="31" t="n"/>
      <c r="I236" s="23" t="n"/>
      <c r="J236" s="56" t="n"/>
      <c r="K236" s="22" t="n"/>
      <c r="L236" s="22" t="n"/>
      <c r="M236" s="22" t="n"/>
      <c r="N236" s="22" t="n"/>
      <c r="O236" s="22" t="n"/>
      <c r="P236" s="23" t="n"/>
      <c r="Q236" s="65" t="n"/>
      <c r="R236" s="65" t="n"/>
      <c r="S236" s="55" t="n"/>
      <c r="T236" s="55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</row>
    <row r="237" ht="51.75" customHeight="1" s="211">
      <c r="A237" s="55" t="n"/>
      <c r="B237" s="12" t="n"/>
      <c r="C237" s="55">
        <f>'Sales Candence'!B237</f>
        <v/>
      </c>
      <c r="D237" s="71" t="n"/>
      <c r="E237" s="71" t="n"/>
      <c r="F237" s="22" t="n"/>
      <c r="G237" s="22" t="n"/>
      <c r="H237" s="31" t="n"/>
      <c r="I237" s="23" t="n"/>
      <c r="J237" s="56" t="n"/>
      <c r="K237" s="22" t="n"/>
      <c r="L237" s="22" t="n"/>
      <c r="M237" s="22" t="n"/>
      <c r="N237" s="22" t="n"/>
      <c r="O237" s="22" t="n"/>
      <c r="P237" s="23" t="n"/>
      <c r="Q237" s="65" t="n"/>
      <c r="R237" s="65" t="n"/>
      <c r="S237" s="55" t="n"/>
      <c r="T237" s="55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</row>
    <row r="238" ht="51.75" customHeight="1" s="211">
      <c r="A238" s="55" t="n"/>
      <c r="B238" s="12" t="n"/>
      <c r="C238" s="55">
        <f>'Sales Candence'!B238</f>
        <v/>
      </c>
      <c r="D238" s="71" t="n"/>
      <c r="E238" s="71" t="n"/>
      <c r="F238" s="22" t="n"/>
      <c r="G238" s="22" t="n"/>
      <c r="H238" s="31" t="n"/>
      <c r="I238" s="23" t="n"/>
      <c r="J238" s="56" t="n"/>
      <c r="K238" s="22" t="n"/>
      <c r="L238" s="22" t="n"/>
      <c r="M238" s="22" t="n"/>
      <c r="N238" s="22" t="n"/>
      <c r="O238" s="22" t="n"/>
      <c r="P238" s="23" t="n"/>
      <c r="Q238" s="65" t="n"/>
      <c r="R238" s="65" t="n"/>
      <c r="S238" s="55" t="n"/>
      <c r="T238" s="55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</row>
    <row r="239" ht="51.75" customHeight="1" s="211">
      <c r="A239" s="55" t="n"/>
      <c r="B239" s="12" t="n"/>
      <c r="C239" s="55">
        <f>'Sales Candence'!B239</f>
        <v/>
      </c>
      <c r="D239" s="71" t="n"/>
      <c r="E239" s="71" t="n"/>
      <c r="F239" s="22" t="n"/>
      <c r="G239" s="22" t="n"/>
      <c r="H239" s="31" t="n"/>
      <c r="I239" s="23" t="n"/>
      <c r="J239" s="56" t="n"/>
      <c r="K239" s="22" t="n"/>
      <c r="L239" s="22" t="n"/>
      <c r="M239" s="22" t="n"/>
      <c r="N239" s="22" t="n"/>
      <c r="O239" s="22" t="n"/>
      <c r="P239" s="23" t="n"/>
      <c r="Q239" s="65" t="n"/>
      <c r="R239" s="65" t="n"/>
      <c r="S239" s="55" t="n"/>
      <c r="T239" s="55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</row>
    <row r="240" ht="51.75" customHeight="1" s="211">
      <c r="A240" s="55" t="n"/>
      <c r="B240" s="12" t="n"/>
      <c r="C240" s="55">
        <f>'Sales Candence'!B240</f>
        <v/>
      </c>
      <c r="D240" s="71" t="n"/>
      <c r="E240" s="71" t="n"/>
      <c r="F240" s="22" t="n"/>
      <c r="G240" s="22" t="n"/>
      <c r="H240" s="31" t="n"/>
      <c r="I240" s="23" t="n"/>
      <c r="J240" s="56" t="n"/>
      <c r="K240" s="22" t="n"/>
      <c r="L240" s="22" t="n"/>
      <c r="M240" s="22" t="n"/>
      <c r="N240" s="22" t="n"/>
      <c r="O240" s="22" t="n"/>
      <c r="P240" s="23" t="n"/>
      <c r="Q240" s="65" t="n"/>
      <c r="R240" s="65" t="n"/>
      <c r="S240" s="55" t="n"/>
      <c r="T240" s="55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</row>
    <row r="241" ht="51.75" customHeight="1" s="211">
      <c r="A241" s="55" t="n"/>
      <c r="B241" s="12" t="n"/>
      <c r="C241" s="55">
        <f>'Sales Candence'!B241</f>
        <v/>
      </c>
      <c r="D241" s="71" t="n"/>
      <c r="E241" s="71" t="n"/>
      <c r="F241" s="22" t="n"/>
      <c r="G241" s="22" t="n"/>
      <c r="H241" s="31" t="n"/>
      <c r="I241" s="23" t="n"/>
      <c r="J241" s="56" t="n"/>
      <c r="K241" s="22" t="n"/>
      <c r="L241" s="22" t="n"/>
      <c r="M241" s="22" t="n"/>
      <c r="N241" s="22" t="n"/>
      <c r="O241" s="22" t="n"/>
      <c r="P241" s="23" t="n"/>
      <c r="Q241" s="65" t="n"/>
      <c r="R241" s="65" t="n"/>
      <c r="S241" s="55" t="n"/>
      <c r="T241" s="55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</row>
    <row r="242" ht="51.75" customHeight="1" s="211">
      <c r="A242" s="55" t="n"/>
      <c r="B242" s="12" t="n"/>
      <c r="C242" s="55">
        <f>'Sales Candence'!B242</f>
        <v/>
      </c>
      <c r="D242" s="71" t="n"/>
      <c r="E242" s="71" t="n"/>
      <c r="F242" s="22" t="n"/>
      <c r="G242" s="22" t="n"/>
      <c r="H242" s="31" t="n"/>
      <c r="I242" s="23" t="n"/>
      <c r="J242" s="56" t="n"/>
      <c r="K242" s="22" t="n"/>
      <c r="L242" s="22" t="n"/>
      <c r="M242" s="22" t="n"/>
      <c r="N242" s="22" t="n"/>
      <c r="O242" s="22" t="n"/>
      <c r="P242" s="23" t="n"/>
      <c r="Q242" s="65" t="n"/>
      <c r="R242" s="65" t="n"/>
      <c r="S242" s="55" t="n"/>
      <c r="T242" s="55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</row>
    <row r="243" ht="51.75" customHeight="1" s="211">
      <c r="A243" s="55" t="n"/>
      <c r="B243" s="12" t="n"/>
      <c r="C243" s="55">
        <f>'Sales Candence'!B243</f>
        <v/>
      </c>
      <c r="D243" s="71" t="n"/>
      <c r="E243" s="71" t="n"/>
      <c r="F243" s="22" t="n"/>
      <c r="G243" s="22" t="n"/>
      <c r="H243" s="31" t="n"/>
      <c r="I243" s="23" t="n"/>
      <c r="J243" s="56" t="n"/>
      <c r="K243" s="22" t="n"/>
      <c r="L243" s="22" t="n"/>
      <c r="M243" s="22" t="n"/>
      <c r="N243" s="22" t="n"/>
      <c r="O243" s="22" t="n"/>
      <c r="P243" s="23" t="n"/>
      <c r="Q243" s="65" t="n"/>
      <c r="R243" s="65" t="n"/>
      <c r="S243" s="55" t="n"/>
      <c r="T243" s="55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</row>
    <row r="244" ht="51.75" customHeight="1" s="211">
      <c r="A244" s="55" t="n"/>
      <c r="B244" s="12" t="n"/>
      <c r="C244" s="55">
        <f>'Sales Candence'!B244</f>
        <v/>
      </c>
      <c r="D244" s="71" t="n"/>
      <c r="E244" s="71" t="n"/>
      <c r="F244" s="22" t="n"/>
      <c r="G244" s="22" t="n"/>
      <c r="H244" s="31" t="n"/>
      <c r="I244" s="23" t="n"/>
      <c r="J244" s="56" t="n"/>
      <c r="K244" s="22" t="n"/>
      <c r="L244" s="22" t="n"/>
      <c r="M244" s="22" t="n"/>
      <c r="N244" s="22" t="n"/>
      <c r="O244" s="22" t="n"/>
      <c r="P244" s="23" t="n"/>
      <c r="Q244" s="65" t="n"/>
      <c r="R244" s="65" t="n"/>
      <c r="S244" s="55" t="n"/>
      <c r="T244" s="55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</row>
    <row r="245" ht="51.75" customHeight="1" s="211">
      <c r="A245" s="55" t="n"/>
      <c r="B245" s="12" t="n"/>
      <c r="C245" s="55">
        <f>'Sales Candence'!B245</f>
        <v/>
      </c>
      <c r="D245" s="71" t="n"/>
      <c r="E245" s="71" t="n"/>
      <c r="F245" s="22" t="n"/>
      <c r="G245" s="22" t="n"/>
      <c r="H245" s="31" t="n"/>
      <c r="I245" s="23" t="n"/>
      <c r="J245" s="56" t="n"/>
      <c r="K245" s="22" t="n"/>
      <c r="L245" s="22" t="n"/>
      <c r="M245" s="22" t="n"/>
      <c r="N245" s="22" t="n"/>
      <c r="O245" s="22" t="n"/>
      <c r="P245" s="23" t="n"/>
      <c r="Q245" s="65" t="n"/>
      <c r="R245" s="65" t="n"/>
      <c r="S245" s="55" t="n"/>
      <c r="T245" s="55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</row>
    <row r="246" ht="51.75" customHeight="1" s="211">
      <c r="A246" s="55" t="n"/>
      <c r="B246" s="12" t="n"/>
      <c r="C246" s="55">
        <f>'Sales Candence'!B246</f>
        <v/>
      </c>
      <c r="D246" s="71" t="n"/>
      <c r="E246" s="71" t="n"/>
      <c r="F246" s="22" t="n"/>
      <c r="G246" s="22" t="n"/>
      <c r="H246" s="31" t="n"/>
      <c r="I246" s="23" t="n"/>
      <c r="J246" s="56" t="n"/>
      <c r="K246" s="22" t="n"/>
      <c r="L246" s="22" t="n"/>
      <c r="M246" s="22" t="n"/>
      <c r="N246" s="22" t="n"/>
      <c r="O246" s="22" t="n"/>
      <c r="P246" s="23" t="n"/>
      <c r="Q246" s="65" t="n"/>
      <c r="R246" s="65" t="n"/>
      <c r="S246" s="55" t="n"/>
      <c r="T246" s="55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</row>
    <row r="247" ht="51.75" customHeight="1" s="211">
      <c r="A247" s="55" t="n"/>
      <c r="B247" s="12" t="n"/>
      <c r="C247" s="55">
        <f>'Sales Candence'!B247</f>
        <v/>
      </c>
      <c r="D247" s="71" t="n"/>
      <c r="E247" s="71" t="n"/>
      <c r="F247" s="22" t="n"/>
      <c r="G247" s="22" t="n"/>
      <c r="H247" s="31" t="n"/>
      <c r="I247" s="23" t="n"/>
      <c r="J247" s="56" t="n"/>
      <c r="K247" s="22" t="n"/>
      <c r="L247" s="22" t="n"/>
      <c r="M247" s="22" t="n"/>
      <c r="N247" s="22" t="n"/>
      <c r="O247" s="22" t="n"/>
      <c r="P247" s="23" t="n"/>
      <c r="Q247" s="65" t="n"/>
      <c r="R247" s="65" t="n"/>
      <c r="S247" s="55" t="n"/>
      <c r="T247" s="55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</row>
    <row r="248" ht="51.75" customHeight="1" s="211">
      <c r="A248" s="55" t="n"/>
      <c r="B248" s="12" t="n"/>
      <c r="C248" s="55">
        <f>'Sales Candence'!B248</f>
        <v/>
      </c>
      <c r="D248" s="71" t="n"/>
      <c r="E248" s="71" t="n"/>
      <c r="F248" s="22" t="n"/>
      <c r="G248" s="22" t="n"/>
      <c r="H248" s="31" t="n"/>
      <c r="I248" s="23" t="n"/>
      <c r="J248" s="56" t="n"/>
      <c r="K248" s="22" t="n"/>
      <c r="L248" s="22" t="n"/>
      <c r="M248" s="22" t="n"/>
      <c r="N248" s="22" t="n"/>
      <c r="O248" s="22" t="n"/>
      <c r="P248" s="23" t="n"/>
      <c r="Q248" s="65" t="n"/>
      <c r="R248" s="65" t="n"/>
      <c r="S248" s="55" t="n"/>
      <c r="T248" s="55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</row>
    <row r="249" ht="51.75" customHeight="1" s="211">
      <c r="A249" s="55" t="n"/>
      <c r="B249" s="12" t="n"/>
      <c r="C249" s="55">
        <f>'Sales Candence'!B249</f>
        <v/>
      </c>
      <c r="D249" s="71" t="n"/>
      <c r="E249" s="71" t="n"/>
      <c r="F249" s="22" t="n"/>
      <c r="G249" s="22" t="n"/>
      <c r="H249" s="31" t="n"/>
      <c r="I249" s="23" t="n"/>
      <c r="J249" s="56" t="n"/>
      <c r="K249" s="22" t="n"/>
      <c r="L249" s="22" t="n"/>
      <c r="M249" s="22" t="n"/>
      <c r="N249" s="22" t="n"/>
      <c r="O249" s="22" t="n"/>
      <c r="P249" s="23" t="n"/>
      <c r="Q249" s="65" t="n"/>
      <c r="R249" s="65" t="n"/>
      <c r="S249" s="55" t="n"/>
      <c r="T249" s="55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</row>
    <row r="250" ht="51.75" customHeight="1" s="211">
      <c r="A250" s="55" t="n"/>
      <c r="B250" s="12" t="n"/>
      <c r="C250" s="55">
        <f>'Sales Candence'!B250</f>
        <v/>
      </c>
      <c r="D250" s="71" t="n"/>
      <c r="E250" s="71" t="n"/>
      <c r="F250" s="22" t="n"/>
      <c r="G250" s="22" t="n"/>
      <c r="H250" s="31" t="n"/>
      <c r="I250" s="23" t="n"/>
      <c r="J250" s="56" t="n"/>
      <c r="K250" s="22" t="n"/>
      <c r="L250" s="22" t="n"/>
      <c r="M250" s="22" t="n"/>
      <c r="N250" s="22" t="n"/>
      <c r="O250" s="22" t="n"/>
      <c r="P250" s="23" t="n"/>
      <c r="Q250" s="65" t="n"/>
      <c r="R250" s="65" t="n"/>
      <c r="S250" s="55" t="n"/>
      <c r="T250" s="55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</row>
    <row r="251" ht="51.75" customHeight="1" s="211">
      <c r="A251" s="55" t="n"/>
      <c r="B251" s="12" t="n"/>
      <c r="C251" s="55">
        <f>'Sales Candence'!B251</f>
        <v/>
      </c>
      <c r="D251" s="71" t="n"/>
      <c r="E251" s="71" t="n"/>
      <c r="F251" s="22" t="n"/>
      <c r="G251" s="22" t="n"/>
      <c r="H251" s="31" t="n"/>
      <c r="I251" s="23" t="n"/>
      <c r="J251" s="56" t="n"/>
      <c r="K251" s="22" t="n"/>
      <c r="L251" s="22" t="n"/>
      <c r="M251" s="22" t="n"/>
      <c r="N251" s="22" t="n"/>
      <c r="O251" s="22" t="n"/>
      <c r="P251" s="23" t="n"/>
      <c r="Q251" s="65" t="n"/>
      <c r="R251" s="65" t="n"/>
      <c r="S251" s="55" t="n"/>
      <c r="T251" s="55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</row>
    <row r="252" ht="51.75" customHeight="1" s="211">
      <c r="A252" s="55" t="n"/>
      <c r="B252" s="12" t="n"/>
      <c r="C252" s="55">
        <f>'Sales Candence'!B252</f>
        <v/>
      </c>
      <c r="D252" s="71" t="n"/>
      <c r="E252" s="71" t="n"/>
      <c r="F252" s="22" t="n"/>
      <c r="G252" s="22" t="n"/>
      <c r="H252" s="31" t="n"/>
      <c r="I252" s="23" t="n"/>
      <c r="J252" s="56" t="n"/>
      <c r="K252" s="22" t="n"/>
      <c r="L252" s="22" t="n"/>
      <c r="M252" s="22" t="n"/>
      <c r="N252" s="22" t="n"/>
      <c r="O252" s="22" t="n"/>
      <c r="P252" s="23" t="n"/>
      <c r="Q252" s="65" t="n"/>
      <c r="R252" s="65" t="n"/>
      <c r="S252" s="55" t="n"/>
      <c r="T252" s="55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</row>
    <row r="253" ht="51.75" customHeight="1" s="211">
      <c r="A253" s="55" t="n"/>
      <c r="B253" s="12" t="n"/>
      <c r="C253" s="55">
        <f>'Sales Candence'!B253</f>
        <v/>
      </c>
      <c r="D253" s="71" t="n"/>
      <c r="E253" s="71" t="n"/>
      <c r="F253" s="22" t="n"/>
      <c r="G253" s="22" t="n"/>
      <c r="H253" s="31" t="n"/>
      <c r="I253" s="23" t="n"/>
      <c r="J253" s="56" t="n"/>
      <c r="K253" s="22" t="n"/>
      <c r="L253" s="22" t="n"/>
      <c r="M253" s="22" t="n"/>
      <c r="N253" s="22" t="n"/>
      <c r="O253" s="22" t="n"/>
      <c r="P253" s="23" t="n"/>
      <c r="Q253" s="65" t="n"/>
      <c r="R253" s="65" t="n"/>
      <c r="S253" s="55" t="n"/>
      <c r="T253" s="55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</row>
    <row r="254" ht="51.75" customHeight="1" s="211">
      <c r="A254" s="55" t="n"/>
      <c r="B254" s="12" t="n"/>
      <c r="C254" s="55">
        <f>'Sales Candence'!B254</f>
        <v/>
      </c>
      <c r="D254" s="71" t="n"/>
      <c r="E254" s="71" t="n"/>
      <c r="F254" s="22" t="n"/>
      <c r="G254" s="22" t="n"/>
      <c r="H254" s="31" t="n"/>
      <c r="I254" s="23" t="n"/>
      <c r="J254" s="56" t="n"/>
      <c r="K254" s="22" t="n"/>
      <c r="L254" s="22" t="n"/>
      <c r="M254" s="22" t="n"/>
      <c r="N254" s="22" t="n"/>
      <c r="O254" s="22" t="n"/>
      <c r="P254" s="23" t="n"/>
      <c r="Q254" s="65" t="n"/>
      <c r="R254" s="65" t="n"/>
      <c r="S254" s="55" t="n"/>
      <c r="T254" s="55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</row>
    <row r="255" ht="51.75" customHeight="1" s="211">
      <c r="A255" s="55" t="n"/>
      <c r="B255" s="12" t="n"/>
      <c r="C255" s="55">
        <f>'Sales Candence'!B255</f>
        <v/>
      </c>
      <c r="D255" s="71" t="n"/>
      <c r="E255" s="71" t="n"/>
      <c r="F255" s="22" t="n"/>
      <c r="G255" s="22" t="n"/>
      <c r="H255" s="31" t="n"/>
      <c r="I255" s="23" t="n"/>
      <c r="J255" s="56" t="n"/>
      <c r="K255" s="22" t="n"/>
      <c r="L255" s="22" t="n"/>
      <c r="M255" s="22" t="n"/>
      <c r="N255" s="22" t="n"/>
      <c r="O255" s="22" t="n"/>
      <c r="P255" s="23" t="n"/>
      <c r="Q255" s="65" t="n"/>
      <c r="R255" s="65" t="n"/>
      <c r="S255" s="55" t="n"/>
      <c r="T255" s="55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</row>
    <row r="256" ht="51.75" customHeight="1" s="211">
      <c r="A256" s="55" t="n"/>
      <c r="B256" s="12" t="n"/>
      <c r="C256" s="55">
        <f>'Sales Candence'!B256</f>
        <v/>
      </c>
      <c r="D256" s="71" t="n"/>
      <c r="E256" s="71" t="n"/>
      <c r="F256" s="22" t="n"/>
      <c r="G256" s="22" t="n"/>
      <c r="H256" s="31" t="n"/>
      <c r="I256" s="23" t="n"/>
      <c r="J256" s="56" t="n"/>
      <c r="K256" s="22" t="n"/>
      <c r="L256" s="22" t="n"/>
      <c r="M256" s="22" t="n"/>
      <c r="N256" s="22" t="n"/>
      <c r="O256" s="22" t="n"/>
      <c r="P256" s="23" t="n"/>
      <c r="Q256" s="65" t="n"/>
      <c r="R256" s="65" t="n"/>
      <c r="S256" s="55" t="n"/>
      <c r="T256" s="55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</row>
    <row r="257" ht="51.75" customHeight="1" s="211">
      <c r="A257" s="55" t="n"/>
      <c r="B257" s="12" t="n"/>
      <c r="C257" s="55">
        <f>'Sales Candence'!B257</f>
        <v/>
      </c>
      <c r="D257" s="71" t="n"/>
      <c r="E257" s="71" t="n"/>
      <c r="F257" s="22" t="n"/>
      <c r="G257" s="22" t="n"/>
      <c r="H257" s="31" t="n"/>
      <c r="I257" s="23" t="n"/>
      <c r="J257" s="56" t="n"/>
      <c r="K257" s="22" t="n"/>
      <c r="L257" s="22" t="n"/>
      <c r="M257" s="22" t="n"/>
      <c r="N257" s="22" t="n"/>
      <c r="O257" s="22" t="n"/>
      <c r="P257" s="23" t="n"/>
      <c r="Q257" s="65" t="n"/>
      <c r="R257" s="65" t="n"/>
      <c r="S257" s="55" t="n"/>
      <c r="T257" s="55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</row>
    <row r="258" ht="51.75" customHeight="1" s="211">
      <c r="A258" s="55" t="n"/>
      <c r="B258" s="12" t="n"/>
      <c r="C258" s="55">
        <f>'Sales Candence'!B258</f>
        <v/>
      </c>
      <c r="D258" s="71" t="n"/>
      <c r="E258" s="71" t="n"/>
      <c r="F258" s="22" t="n"/>
      <c r="G258" s="22" t="n"/>
      <c r="H258" s="31" t="n"/>
      <c r="I258" s="23" t="n"/>
      <c r="J258" s="56" t="n"/>
      <c r="K258" s="22" t="n"/>
      <c r="L258" s="22" t="n"/>
      <c r="M258" s="22" t="n"/>
      <c r="N258" s="22" t="n"/>
      <c r="O258" s="22" t="n"/>
      <c r="P258" s="23" t="n"/>
      <c r="Q258" s="65" t="n"/>
      <c r="R258" s="65" t="n"/>
      <c r="S258" s="55" t="n"/>
      <c r="T258" s="55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</row>
    <row r="259" ht="51.75" customHeight="1" s="211">
      <c r="A259" s="55" t="n"/>
      <c r="B259" s="12" t="n"/>
      <c r="C259" s="55">
        <f>'Sales Candence'!B259</f>
        <v/>
      </c>
      <c r="D259" s="71" t="n"/>
      <c r="E259" s="71" t="n"/>
      <c r="F259" s="22" t="n"/>
      <c r="G259" s="22" t="n"/>
      <c r="H259" s="31" t="n"/>
      <c r="I259" s="23" t="n"/>
      <c r="J259" s="56" t="n"/>
      <c r="K259" s="22" t="n"/>
      <c r="L259" s="22" t="n"/>
      <c r="M259" s="22" t="n"/>
      <c r="N259" s="22" t="n"/>
      <c r="O259" s="22" t="n"/>
      <c r="P259" s="23" t="n"/>
      <c r="Q259" s="65" t="n"/>
      <c r="R259" s="65" t="n"/>
      <c r="S259" s="55" t="n"/>
      <c r="T259" s="55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</row>
    <row r="260" ht="51.75" customHeight="1" s="211">
      <c r="A260" s="55" t="n"/>
      <c r="B260" s="12" t="n"/>
      <c r="C260" s="55">
        <f>'Sales Candence'!B260</f>
        <v/>
      </c>
      <c r="D260" s="71" t="n"/>
      <c r="E260" s="71" t="n"/>
      <c r="F260" s="22" t="n"/>
      <c r="G260" s="22" t="n"/>
      <c r="H260" s="31" t="n"/>
      <c r="I260" s="23" t="n"/>
      <c r="J260" s="56" t="n"/>
      <c r="K260" s="22" t="n"/>
      <c r="L260" s="22" t="n"/>
      <c r="M260" s="22" t="n"/>
      <c r="N260" s="22" t="n"/>
      <c r="O260" s="22" t="n"/>
      <c r="P260" s="23" t="n"/>
      <c r="Q260" s="65" t="n"/>
      <c r="R260" s="65" t="n"/>
      <c r="S260" s="55" t="n"/>
      <c r="T260" s="55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</row>
    <row r="261" ht="51.75" customHeight="1" s="211">
      <c r="A261" s="55" t="n"/>
      <c r="B261" s="12" t="n"/>
      <c r="C261" s="55">
        <f>'Sales Candence'!B261</f>
        <v/>
      </c>
      <c r="D261" s="71" t="n"/>
      <c r="E261" s="71" t="n"/>
      <c r="F261" s="22" t="n"/>
      <c r="G261" s="22" t="n"/>
      <c r="H261" s="31" t="n"/>
      <c r="I261" s="23" t="n"/>
      <c r="J261" s="56" t="n"/>
      <c r="K261" s="22" t="n"/>
      <c r="L261" s="22" t="n"/>
      <c r="M261" s="22" t="n"/>
      <c r="N261" s="22" t="n"/>
      <c r="O261" s="22" t="n"/>
      <c r="P261" s="23" t="n"/>
      <c r="Q261" s="65" t="n"/>
      <c r="R261" s="65" t="n"/>
      <c r="S261" s="55" t="n"/>
      <c r="T261" s="55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</row>
    <row r="262" ht="51.75" customHeight="1" s="211">
      <c r="A262" s="55" t="n"/>
      <c r="B262" s="12" t="n"/>
      <c r="C262" s="55">
        <f>'Sales Candence'!B262</f>
        <v/>
      </c>
      <c r="D262" s="71" t="n"/>
      <c r="E262" s="71" t="n"/>
      <c r="F262" s="22" t="n"/>
      <c r="G262" s="22" t="n"/>
      <c r="H262" s="31" t="n"/>
      <c r="I262" s="23" t="n"/>
      <c r="J262" s="56" t="n"/>
      <c r="K262" s="22" t="n"/>
      <c r="L262" s="22" t="n"/>
      <c r="M262" s="22" t="n"/>
      <c r="N262" s="22" t="n"/>
      <c r="O262" s="22" t="n"/>
      <c r="P262" s="23" t="n"/>
      <c r="Q262" s="65" t="n"/>
      <c r="R262" s="65" t="n"/>
      <c r="S262" s="55" t="n"/>
      <c r="T262" s="55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</row>
    <row r="263" ht="51.75" customHeight="1" s="211">
      <c r="A263" s="55" t="n"/>
      <c r="B263" s="12" t="n"/>
      <c r="C263" s="55">
        <f>'Sales Candence'!B263</f>
        <v/>
      </c>
      <c r="D263" s="71" t="n"/>
      <c r="E263" s="71" t="n"/>
      <c r="F263" s="22" t="n"/>
      <c r="G263" s="22" t="n"/>
      <c r="H263" s="31" t="n"/>
      <c r="I263" s="23" t="n"/>
      <c r="J263" s="56" t="n"/>
      <c r="K263" s="22" t="n"/>
      <c r="L263" s="22" t="n"/>
      <c r="M263" s="22" t="n"/>
      <c r="N263" s="22" t="n"/>
      <c r="O263" s="22" t="n"/>
      <c r="P263" s="23" t="n"/>
      <c r="Q263" s="65" t="n"/>
      <c r="R263" s="65" t="n"/>
      <c r="S263" s="55" t="n"/>
      <c r="T263" s="55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</row>
    <row r="264" ht="51.75" customHeight="1" s="211">
      <c r="A264" s="55" t="n"/>
      <c r="B264" s="12" t="n"/>
      <c r="C264" s="55">
        <f>'Sales Candence'!B264</f>
        <v/>
      </c>
      <c r="D264" s="71" t="n"/>
      <c r="E264" s="71" t="n"/>
      <c r="F264" s="22" t="n"/>
      <c r="G264" s="22" t="n"/>
      <c r="H264" s="31" t="n"/>
      <c r="I264" s="23" t="n"/>
      <c r="J264" s="56" t="n"/>
      <c r="K264" s="22" t="n"/>
      <c r="L264" s="22" t="n"/>
      <c r="M264" s="22" t="n"/>
      <c r="N264" s="22" t="n"/>
      <c r="O264" s="22" t="n"/>
      <c r="P264" s="23" t="n"/>
      <c r="Q264" s="65" t="n"/>
      <c r="R264" s="65" t="n"/>
      <c r="S264" s="55" t="n"/>
      <c r="T264" s="55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</row>
    <row r="265" ht="51.75" customHeight="1" s="211">
      <c r="A265" s="55" t="n"/>
      <c r="B265" s="12" t="n"/>
      <c r="C265" s="55">
        <f>'Sales Candence'!B265</f>
        <v/>
      </c>
      <c r="D265" s="71" t="n"/>
      <c r="E265" s="71" t="n"/>
      <c r="F265" s="22" t="n"/>
      <c r="G265" s="22" t="n"/>
      <c r="H265" s="31" t="n"/>
      <c r="I265" s="23" t="n"/>
      <c r="J265" s="56" t="n"/>
      <c r="K265" s="22" t="n"/>
      <c r="L265" s="22" t="n"/>
      <c r="M265" s="22" t="n"/>
      <c r="N265" s="22" t="n"/>
      <c r="O265" s="22" t="n"/>
      <c r="P265" s="23" t="n"/>
      <c r="Q265" s="65" t="n"/>
      <c r="R265" s="65" t="n"/>
      <c r="S265" s="55" t="n"/>
      <c r="T265" s="55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</row>
    <row r="266" ht="51.75" customHeight="1" s="211">
      <c r="A266" s="55" t="n"/>
      <c r="B266" s="12" t="n"/>
      <c r="C266" s="55">
        <f>'Sales Candence'!B266</f>
        <v/>
      </c>
      <c r="D266" s="71" t="n"/>
      <c r="E266" s="71" t="n"/>
      <c r="F266" s="22" t="n"/>
      <c r="G266" s="22" t="n"/>
      <c r="H266" s="31" t="n"/>
      <c r="I266" s="23" t="n"/>
      <c r="J266" s="56" t="n"/>
      <c r="K266" s="22" t="n"/>
      <c r="L266" s="22" t="n"/>
      <c r="M266" s="22" t="n"/>
      <c r="N266" s="22" t="n"/>
      <c r="O266" s="22" t="n"/>
      <c r="P266" s="23" t="n"/>
      <c r="Q266" s="65" t="n"/>
      <c r="R266" s="65" t="n"/>
      <c r="S266" s="55" t="n"/>
      <c r="T266" s="55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</row>
    <row r="267" ht="51.75" customHeight="1" s="211">
      <c r="A267" s="55" t="n"/>
      <c r="B267" s="12" t="n"/>
      <c r="C267" s="55">
        <f>'Sales Candence'!B267</f>
        <v/>
      </c>
      <c r="D267" s="71" t="n"/>
      <c r="E267" s="71" t="n"/>
      <c r="F267" s="22" t="n"/>
      <c r="G267" s="22" t="n"/>
      <c r="H267" s="31" t="n"/>
      <c r="I267" s="23" t="n"/>
      <c r="J267" s="56" t="n"/>
      <c r="K267" s="22" t="n"/>
      <c r="L267" s="22" t="n"/>
      <c r="M267" s="22" t="n"/>
      <c r="N267" s="22" t="n"/>
      <c r="O267" s="22" t="n"/>
      <c r="P267" s="23" t="n"/>
      <c r="Q267" s="65" t="n"/>
      <c r="R267" s="65" t="n"/>
      <c r="S267" s="55" t="n"/>
      <c r="T267" s="55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</row>
    <row r="268" ht="51.75" customHeight="1" s="211">
      <c r="A268" s="55" t="n"/>
      <c r="B268" s="12" t="n"/>
      <c r="C268" s="55">
        <f>'Sales Candence'!B268</f>
        <v/>
      </c>
      <c r="D268" s="71" t="n"/>
      <c r="E268" s="71" t="n"/>
      <c r="F268" s="22" t="n"/>
      <c r="G268" s="22" t="n"/>
      <c r="H268" s="31" t="n"/>
      <c r="I268" s="23" t="n"/>
      <c r="J268" s="56" t="n"/>
      <c r="K268" s="22" t="n"/>
      <c r="L268" s="22" t="n"/>
      <c r="M268" s="22" t="n"/>
      <c r="N268" s="22" t="n"/>
      <c r="O268" s="22" t="n"/>
      <c r="P268" s="23" t="n"/>
      <c r="Q268" s="65" t="n"/>
      <c r="R268" s="65" t="n"/>
      <c r="S268" s="55" t="n"/>
      <c r="T268" s="55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</row>
    <row r="269" ht="51.75" customHeight="1" s="211">
      <c r="A269" s="55" t="n"/>
      <c r="B269" s="12" t="n"/>
      <c r="C269" s="55">
        <f>'Sales Candence'!B269</f>
        <v/>
      </c>
      <c r="D269" s="71" t="n"/>
      <c r="E269" s="71" t="n"/>
      <c r="F269" s="22" t="n"/>
      <c r="G269" s="22" t="n"/>
      <c r="H269" s="31" t="n"/>
      <c r="I269" s="23" t="n"/>
      <c r="J269" s="56" t="n"/>
      <c r="K269" s="22" t="n"/>
      <c r="L269" s="22" t="n"/>
      <c r="M269" s="22" t="n"/>
      <c r="N269" s="22" t="n"/>
      <c r="O269" s="22" t="n"/>
      <c r="P269" s="23" t="n"/>
      <c r="Q269" s="65" t="n"/>
      <c r="R269" s="65" t="n"/>
      <c r="S269" s="55" t="n"/>
      <c r="T269" s="55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</row>
    <row r="270" ht="51.75" customHeight="1" s="211">
      <c r="A270" s="55" t="n"/>
      <c r="B270" s="12" t="n"/>
      <c r="C270" s="55">
        <f>'Sales Candence'!B270</f>
        <v/>
      </c>
      <c r="D270" s="71" t="n"/>
      <c r="E270" s="71" t="n"/>
      <c r="F270" s="22" t="n"/>
      <c r="G270" s="22" t="n"/>
      <c r="H270" s="31" t="n"/>
      <c r="I270" s="23" t="n"/>
      <c r="J270" s="56" t="n"/>
      <c r="K270" s="22" t="n"/>
      <c r="L270" s="22" t="n"/>
      <c r="M270" s="22" t="n"/>
      <c r="N270" s="22" t="n"/>
      <c r="O270" s="22" t="n"/>
      <c r="P270" s="23" t="n"/>
      <c r="Q270" s="65" t="n"/>
      <c r="R270" s="65" t="n"/>
      <c r="S270" s="55" t="n"/>
      <c r="T270" s="55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</row>
    <row r="271" ht="51.75" customHeight="1" s="211">
      <c r="A271" s="55" t="n"/>
      <c r="B271" s="12" t="n"/>
      <c r="C271" s="55">
        <f>'Sales Candence'!B271</f>
        <v/>
      </c>
      <c r="D271" s="71" t="n"/>
      <c r="E271" s="71" t="n"/>
      <c r="F271" s="22" t="n"/>
      <c r="G271" s="22" t="n"/>
      <c r="H271" s="31" t="n"/>
      <c r="I271" s="23" t="n"/>
      <c r="J271" s="56" t="n"/>
      <c r="K271" s="22" t="n"/>
      <c r="L271" s="22" t="n"/>
      <c r="M271" s="22" t="n"/>
      <c r="N271" s="22" t="n"/>
      <c r="O271" s="22" t="n"/>
      <c r="P271" s="23" t="n"/>
      <c r="Q271" s="65" t="n"/>
      <c r="R271" s="65" t="n"/>
      <c r="S271" s="55" t="n"/>
      <c r="T271" s="55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</row>
    <row r="272" ht="51.75" customHeight="1" s="211">
      <c r="A272" s="55" t="n"/>
      <c r="B272" s="12" t="n"/>
      <c r="C272" s="55">
        <f>'Sales Candence'!B272</f>
        <v/>
      </c>
      <c r="D272" s="71" t="n"/>
      <c r="E272" s="71" t="n"/>
      <c r="F272" s="22" t="n"/>
      <c r="G272" s="22" t="n"/>
      <c r="H272" s="31" t="n"/>
      <c r="I272" s="23" t="n"/>
      <c r="J272" s="56" t="n"/>
      <c r="K272" s="22" t="n"/>
      <c r="L272" s="22" t="n"/>
      <c r="M272" s="22" t="n"/>
      <c r="N272" s="22" t="n"/>
      <c r="O272" s="22" t="n"/>
      <c r="P272" s="23" t="n"/>
      <c r="Q272" s="65" t="n"/>
      <c r="R272" s="65" t="n"/>
      <c r="S272" s="55" t="n"/>
      <c r="T272" s="55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</row>
    <row r="273" ht="51.75" customHeight="1" s="211">
      <c r="A273" s="55" t="n"/>
      <c r="B273" s="12" t="n"/>
      <c r="C273" s="55">
        <f>'Sales Candence'!B273</f>
        <v/>
      </c>
      <c r="D273" s="71" t="n"/>
      <c r="E273" s="71" t="n"/>
      <c r="F273" s="22" t="n"/>
      <c r="G273" s="22" t="n"/>
      <c r="H273" s="31" t="n"/>
      <c r="I273" s="23" t="n"/>
      <c r="J273" s="56" t="n"/>
      <c r="K273" s="22" t="n"/>
      <c r="L273" s="22" t="n"/>
      <c r="M273" s="22" t="n"/>
      <c r="N273" s="22" t="n"/>
      <c r="O273" s="22" t="n"/>
      <c r="P273" s="23" t="n"/>
      <c r="Q273" s="65" t="n"/>
      <c r="R273" s="65" t="n"/>
      <c r="S273" s="55" t="n"/>
      <c r="T273" s="55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</row>
    <row r="274" ht="51.75" customHeight="1" s="211">
      <c r="A274" s="55" t="n"/>
      <c r="B274" s="12" t="n"/>
      <c r="C274" s="55">
        <f>'Sales Candence'!B274</f>
        <v/>
      </c>
      <c r="D274" s="71" t="n"/>
      <c r="E274" s="71" t="n"/>
      <c r="F274" s="22" t="n"/>
      <c r="G274" s="22" t="n"/>
      <c r="H274" s="31" t="n"/>
      <c r="I274" s="23" t="n"/>
      <c r="J274" s="56" t="n"/>
      <c r="K274" s="22" t="n"/>
      <c r="L274" s="22" t="n"/>
      <c r="M274" s="22" t="n"/>
      <c r="N274" s="22" t="n"/>
      <c r="O274" s="22" t="n"/>
      <c r="P274" s="23" t="n"/>
      <c r="Q274" s="65" t="n"/>
      <c r="R274" s="65" t="n"/>
      <c r="S274" s="55" t="n"/>
      <c r="T274" s="55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</row>
    <row r="275" ht="51.75" customHeight="1" s="211">
      <c r="A275" s="55" t="n"/>
      <c r="B275" s="12" t="n"/>
      <c r="C275" s="55">
        <f>'Sales Candence'!B275</f>
        <v/>
      </c>
      <c r="D275" s="71" t="n"/>
      <c r="E275" s="71" t="n"/>
      <c r="F275" s="22" t="n"/>
      <c r="G275" s="22" t="n"/>
      <c r="H275" s="31" t="n"/>
      <c r="I275" s="23" t="n"/>
      <c r="J275" s="56" t="n"/>
      <c r="K275" s="22" t="n"/>
      <c r="L275" s="22" t="n"/>
      <c r="M275" s="22" t="n"/>
      <c r="N275" s="22" t="n"/>
      <c r="O275" s="22" t="n"/>
      <c r="P275" s="23" t="n"/>
      <c r="Q275" s="65" t="n"/>
      <c r="R275" s="65" t="n"/>
      <c r="S275" s="55" t="n"/>
      <c r="T275" s="55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</row>
    <row r="276" ht="51.75" customHeight="1" s="211">
      <c r="A276" s="55" t="n"/>
      <c r="B276" s="12" t="n"/>
      <c r="C276" s="55">
        <f>'Sales Candence'!B276</f>
        <v/>
      </c>
      <c r="D276" s="71" t="n"/>
      <c r="E276" s="71" t="n"/>
      <c r="F276" s="22" t="n"/>
      <c r="G276" s="22" t="n"/>
      <c r="H276" s="31" t="n"/>
      <c r="I276" s="23" t="n"/>
      <c r="J276" s="56" t="n"/>
      <c r="K276" s="22" t="n"/>
      <c r="L276" s="22" t="n"/>
      <c r="M276" s="22" t="n"/>
      <c r="N276" s="22" t="n"/>
      <c r="O276" s="22" t="n"/>
      <c r="P276" s="23" t="n"/>
      <c r="Q276" s="65" t="n"/>
      <c r="R276" s="65" t="n"/>
      <c r="S276" s="55" t="n"/>
      <c r="T276" s="55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</row>
    <row r="277" ht="51.75" customHeight="1" s="211">
      <c r="A277" s="55" t="n"/>
      <c r="B277" s="12" t="n"/>
      <c r="C277" s="55">
        <f>'Sales Candence'!B277</f>
        <v/>
      </c>
      <c r="D277" s="71" t="n"/>
      <c r="E277" s="71" t="n"/>
      <c r="F277" s="22" t="n"/>
      <c r="G277" s="22" t="n"/>
      <c r="H277" s="31" t="n"/>
      <c r="I277" s="23" t="n"/>
      <c r="J277" s="56" t="n"/>
      <c r="K277" s="22" t="n"/>
      <c r="L277" s="22" t="n"/>
      <c r="M277" s="22" t="n"/>
      <c r="N277" s="22" t="n"/>
      <c r="O277" s="22" t="n"/>
      <c r="P277" s="23" t="n"/>
      <c r="Q277" s="65" t="n"/>
      <c r="R277" s="65" t="n"/>
      <c r="S277" s="55" t="n"/>
      <c r="T277" s="55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</row>
    <row r="278" ht="51.75" customHeight="1" s="211">
      <c r="A278" s="55" t="n"/>
      <c r="B278" s="12" t="n"/>
      <c r="C278" s="55">
        <f>'Sales Candence'!B278</f>
        <v/>
      </c>
      <c r="D278" s="71" t="n"/>
      <c r="E278" s="71" t="n"/>
      <c r="F278" s="22" t="n"/>
      <c r="G278" s="22" t="n"/>
      <c r="H278" s="31" t="n"/>
      <c r="I278" s="23" t="n"/>
      <c r="J278" s="56" t="n"/>
      <c r="K278" s="22" t="n"/>
      <c r="L278" s="22" t="n"/>
      <c r="M278" s="22" t="n"/>
      <c r="N278" s="22" t="n"/>
      <c r="O278" s="22" t="n"/>
      <c r="P278" s="23" t="n"/>
      <c r="Q278" s="65" t="n"/>
      <c r="R278" s="65" t="n"/>
      <c r="S278" s="55" t="n"/>
      <c r="T278" s="55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</row>
    <row r="279" ht="51.75" customHeight="1" s="211">
      <c r="A279" s="55" t="n"/>
      <c r="B279" s="12" t="n"/>
      <c r="C279" s="55">
        <f>'Sales Candence'!B279</f>
        <v/>
      </c>
      <c r="D279" s="71" t="n"/>
      <c r="E279" s="71" t="n"/>
      <c r="F279" s="22" t="n"/>
      <c r="G279" s="22" t="n"/>
      <c r="H279" s="31" t="n"/>
      <c r="I279" s="23" t="n"/>
      <c r="J279" s="56" t="n"/>
      <c r="K279" s="22" t="n"/>
      <c r="L279" s="22" t="n"/>
      <c r="M279" s="22" t="n"/>
      <c r="N279" s="22" t="n"/>
      <c r="O279" s="22" t="n"/>
      <c r="P279" s="23" t="n"/>
      <c r="Q279" s="65" t="n"/>
      <c r="R279" s="65" t="n"/>
      <c r="S279" s="55" t="n"/>
      <c r="T279" s="55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</row>
    <row r="280" ht="51.75" customHeight="1" s="211">
      <c r="A280" s="55" t="n"/>
      <c r="B280" s="12" t="n"/>
      <c r="C280" s="55">
        <f>'Sales Candence'!B280</f>
        <v/>
      </c>
      <c r="D280" s="71" t="n"/>
      <c r="E280" s="71" t="n"/>
      <c r="F280" s="22" t="n"/>
      <c r="G280" s="22" t="n"/>
      <c r="H280" s="31" t="n"/>
      <c r="I280" s="23" t="n"/>
      <c r="J280" s="56" t="n"/>
      <c r="K280" s="22" t="n"/>
      <c r="L280" s="22" t="n"/>
      <c r="M280" s="22" t="n"/>
      <c r="N280" s="22" t="n"/>
      <c r="O280" s="22" t="n"/>
      <c r="P280" s="23" t="n"/>
      <c r="Q280" s="65" t="n"/>
      <c r="R280" s="65" t="n"/>
      <c r="S280" s="55" t="n"/>
      <c r="T280" s="55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</row>
    <row r="281" ht="51.75" customHeight="1" s="211">
      <c r="A281" s="55" t="n"/>
      <c r="B281" s="12" t="n"/>
      <c r="C281" s="55">
        <f>'Sales Candence'!B281</f>
        <v/>
      </c>
      <c r="D281" s="71" t="n"/>
      <c r="E281" s="71" t="n"/>
      <c r="F281" s="22" t="n"/>
      <c r="G281" s="22" t="n"/>
      <c r="H281" s="31" t="n"/>
      <c r="I281" s="23" t="n"/>
      <c r="J281" s="56" t="n"/>
      <c r="K281" s="22" t="n"/>
      <c r="L281" s="22" t="n"/>
      <c r="M281" s="22" t="n"/>
      <c r="N281" s="22" t="n"/>
      <c r="O281" s="22" t="n"/>
      <c r="P281" s="23" t="n"/>
      <c r="Q281" s="65" t="n"/>
      <c r="R281" s="65" t="n"/>
      <c r="S281" s="55" t="n"/>
      <c r="T281" s="55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</row>
    <row r="282" ht="51.75" customHeight="1" s="211">
      <c r="A282" s="55" t="n"/>
      <c r="B282" s="12" t="n"/>
      <c r="C282" s="55">
        <f>'Sales Candence'!B282</f>
        <v/>
      </c>
      <c r="D282" s="71" t="n"/>
      <c r="E282" s="71" t="n"/>
      <c r="F282" s="22" t="n"/>
      <c r="G282" s="22" t="n"/>
      <c r="H282" s="31" t="n"/>
      <c r="I282" s="23" t="n"/>
      <c r="J282" s="56" t="n"/>
      <c r="K282" s="22" t="n"/>
      <c r="L282" s="22" t="n"/>
      <c r="M282" s="22" t="n"/>
      <c r="N282" s="22" t="n"/>
      <c r="O282" s="22" t="n"/>
      <c r="P282" s="23" t="n"/>
      <c r="Q282" s="65" t="n"/>
      <c r="R282" s="65" t="n"/>
      <c r="S282" s="55" t="n"/>
      <c r="T282" s="55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</row>
    <row r="283" ht="51.75" customHeight="1" s="211">
      <c r="A283" s="55" t="n"/>
      <c r="B283" s="12" t="n"/>
      <c r="C283" s="55">
        <f>'Sales Candence'!B283</f>
        <v/>
      </c>
      <c r="D283" s="71" t="n"/>
      <c r="E283" s="71" t="n"/>
      <c r="F283" s="22" t="n"/>
      <c r="G283" s="22" t="n"/>
      <c r="H283" s="31" t="n"/>
      <c r="I283" s="23" t="n"/>
      <c r="J283" s="56" t="n"/>
      <c r="K283" s="22" t="n"/>
      <c r="L283" s="22" t="n"/>
      <c r="M283" s="22" t="n"/>
      <c r="N283" s="22" t="n"/>
      <c r="O283" s="22" t="n"/>
      <c r="P283" s="23" t="n"/>
      <c r="Q283" s="65" t="n"/>
      <c r="R283" s="65" t="n"/>
      <c r="S283" s="55" t="n"/>
      <c r="T283" s="55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</row>
    <row r="284" ht="51.75" customHeight="1" s="211">
      <c r="A284" s="55" t="n"/>
      <c r="B284" s="12" t="n"/>
      <c r="C284" s="55">
        <f>'Sales Candence'!B284</f>
        <v/>
      </c>
      <c r="D284" s="71" t="n"/>
      <c r="E284" s="71" t="n"/>
      <c r="F284" s="22" t="n"/>
      <c r="G284" s="22" t="n"/>
      <c r="H284" s="31" t="n"/>
      <c r="I284" s="23" t="n"/>
      <c r="J284" s="56" t="n"/>
      <c r="K284" s="22" t="n"/>
      <c r="L284" s="22" t="n"/>
      <c r="M284" s="22" t="n"/>
      <c r="N284" s="22" t="n"/>
      <c r="O284" s="22" t="n"/>
      <c r="P284" s="23" t="n"/>
      <c r="Q284" s="65" t="n"/>
      <c r="R284" s="65" t="n"/>
      <c r="S284" s="55" t="n"/>
      <c r="T284" s="55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</row>
    <row r="285" ht="51.75" customHeight="1" s="211">
      <c r="A285" s="55" t="n"/>
      <c r="B285" s="12" t="n"/>
      <c r="C285" s="55">
        <f>'Sales Candence'!B285</f>
        <v/>
      </c>
      <c r="D285" s="71" t="n"/>
      <c r="E285" s="71" t="n"/>
      <c r="F285" s="22" t="n"/>
      <c r="G285" s="22" t="n"/>
      <c r="H285" s="31" t="n"/>
      <c r="I285" s="23" t="n"/>
      <c r="J285" s="56" t="n"/>
      <c r="K285" s="22" t="n"/>
      <c r="L285" s="22" t="n"/>
      <c r="M285" s="22" t="n"/>
      <c r="N285" s="22" t="n"/>
      <c r="O285" s="22" t="n"/>
      <c r="P285" s="23" t="n"/>
      <c r="Q285" s="65" t="n"/>
      <c r="R285" s="65" t="n"/>
      <c r="S285" s="55" t="n"/>
      <c r="T285" s="55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</row>
    <row r="286" ht="51.75" customHeight="1" s="211">
      <c r="A286" s="55" t="n"/>
      <c r="B286" s="12" t="n"/>
      <c r="C286" s="55">
        <f>'Sales Candence'!B286</f>
        <v/>
      </c>
      <c r="D286" s="71" t="n"/>
      <c r="E286" s="71" t="n"/>
      <c r="F286" s="22" t="n"/>
      <c r="G286" s="22" t="n"/>
      <c r="H286" s="31" t="n"/>
      <c r="I286" s="23" t="n"/>
      <c r="J286" s="56" t="n"/>
      <c r="K286" s="22" t="n"/>
      <c r="L286" s="22" t="n"/>
      <c r="M286" s="22" t="n"/>
      <c r="N286" s="22" t="n"/>
      <c r="O286" s="22" t="n"/>
      <c r="P286" s="23" t="n"/>
      <c r="Q286" s="65" t="n"/>
      <c r="R286" s="65" t="n"/>
      <c r="S286" s="55" t="n"/>
      <c r="T286" s="55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</row>
    <row r="287" ht="51.75" customHeight="1" s="211">
      <c r="A287" s="55" t="n"/>
      <c r="B287" s="12" t="n"/>
      <c r="C287" s="55">
        <f>'Sales Candence'!B287</f>
        <v/>
      </c>
      <c r="D287" s="71" t="n"/>
      <c r="E287" s="71" t="n"/>
      <c r="F287" s="22" t="n"/>
      <c r="G287" s="22" t="n"/>
      <c r="H287" s="31" t="n"/>
      <c r="I287" s="23" t="n"/>
      <c r="J287" s="56" t="n"/>
      <c r="K287" s="22" t="n"/>
      <c r="L287" s="22" t="n"/>
      <c r="M287" s="22" t="n"/>
      <c r="N287" s="22" t="n"/>
      <c r="O287" s="22" t="n"/>
      <c r="P287" s="23" t="n"/>
      <c r="Q287" s="65" t="n"/>
      <c r="R287" s="65" t="n"/>
      <c r="S287" s="55" t="n"/>
      <c r="T287" s="55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</row>
    <row r="288" ht="51.75" customHeight="1" s="211">
      <c r="A288" s="55" t="n"/>
      <c r="B288" s="12" t="n"/>
      <c r="C288" s="55">
        <f>'Sales Candence'!B288</f>
        <v/>
      </c>
      <c r="D288" s="71" t="n"/>
      <c r="E288" s="71" t="n"/>
      <c r="F288" s="22" t="n"/>
      <c r="G288" s="22" t="n"/>
      <c r="H288" s="31" t="n"/>
      <c r="I288" s="23" t="n"/>
      <c r="J288" s="56" t="n"/>
      <c r="K288" s="22" t="n"/>
      <c r="L288" s="22" t="n"/>
      <c r="M288" s="22" t="n"/>
      <c r="N288" s="22" t="n"/>
      <c r="O288" s="22" t="n"/>
      <c r="P288" s="23" t="n"/>
      <c r="Q288" s="65" t="n"/>
      <c r="R288" s="65" t="n"/>
      <c r="S288" s="55" t="n"/>
      <c r="T288" s="55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</row>
    <row r="289" ht="51.75" customHeight="1" s="211">
      <c r="A289" s="55" t="n"/>
      <c r="B289" s="12" t="n"/>
      <c r="C289" s="55">
        <f>'Sales Candence'!B289</f>
        <v/>
      </c>
      <c r="D289" s="71" t="n"/>
      <c r="E289" s="71" t="n"/>
      <c r="F289" s="22" t="n"/>
      <c r="G289" s="22" t="n"/>
      <c r="H289" s="31" t="n"/>
      <c r="I289" s="23" t="n"/>
      <c r="J289" s="56" t="n"/>
      <c r="K289" s="22" t="n"/>
      <c r="L289" s="22" t="n"/>
      <c r="M289" s="22" t="n"/>
      <c r="N289" s="22" t="n"/>
      <c r="O289" s="22" t="n"/>
      <c r="P289" s="23" t="n"/>
      <c r="Q289" s="65" t="n"/>
      <c r="R289" s="65" t="n"/>
      <c r="S289" s="55" t="n"/>
      <c r="T289" s="55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</row>
    <row r="290" ht="51.75" customHeight="1" s="211">
      <c r="A290" s="55" t="n"/>
      <c r="B290" s="12" t="n"/>
      <c r="C290" s="55">
        <f>'Sales Candence'!B290</f>
        <v/>
      </c>
      <c r="D290" s="71" t="n"/>
      <c r="E290" s="71" t="n"/>
      <c r="F290" s="22" t="n"/>
      <c r="G290" s="22" t="n"/>
      <c r="H290" s="31" t="n"/>
      <c r="I290" s="23" t="n"/>
      <c r="J290" s="56" t="n"/>
      <c r="K290" s="22" t="n"/>
      <c r="L290" s="22" t="n"/>
      <c r="M290" s="22" t="n"/>
      <c r="N290" s="22" t="n"/>
      <c r="O290" s="22" t="n"/>
      <c r="P290" s="23" t="n"/>
      <c r="Q290" s="65" t="n"/>
      <c r="R290" s="65" t="n"/>
      <c r="S290" s="55" t="n"/>
      <c r="T290" s="55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</row>
    <row r="291" ht="51.75" customHeight="1" s="211">
      <c r="A291" s="55" t="n"/>
      <c r="B291" s="12" t="n"/>
      <c r="C291" s="55">
        <f>'Sales Candence'!B291</f>
        <v/>
      </c>
      <c r="D291" s="71" t="n"/>
      <c r="E291" s="71" t="n"/>
      <c r="F291" s="22" t="n"/>
      <c r="G291" s="22" t="n"/>
      <c r="H291" s="31" t="n"/>
      <c r="I291" s="23" t="n"/>
      <c r="J291" s="56" t="n"/>
      <c r="K291" s="22" t="n"/>
      <c r="L291" s="22" t="n"/>
      <c r="M291" s="22" t="n"/>
      <c r="N291" s="22" t="n"/>
      <c r="O291" s="22" t="n"/>
      <c r="P291" s="23" t="n"/>
      <c r="Q291" s="65" t="n"/>
      <c r="R291" s="65" t="n"/>
      <c r="S291" s="55" t="n"/>
      <c r="T291" s="55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</row>
    <row r="292" ht="51.75" customHeight="1" s="211">
      <c r="A292" s="55" t="n"/>
      <c r="B292" s="12" t="n"/>
      <c r="C292" s="55">
        <f>'Sales Candence'!B292</f>
        <v/>
      </c>
      <c r="D292" s="71" t="n"/>
      <c r="E292" s="71" t="n"/>
      <c r="F292" s="22" t="n"/>
      <c r="G292" s="22" t="n"/>
      <c r="H292" s="31" t="n"/>
      <c r="I292" s="23" t="n"/>
      <c r="J292" s="56" t="n"/>
      <c r="K292" s="22" t="n"/>
      <c r="L292" s="22" t="n"/>
      <c r="M292" s="22" t="n"/>
      <c r="N292" s="22" t="n"/>
      <c r="O292" s="22" t="n"/>
      <c r="P292" s="23" t="n"/>
      <c r="Q292" s="65" t="n"/>
      <c r="R292" s="65" t="n"/>
      <c r="S292" s="55" t="n"/>
      <c r="T292" s="55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</row>
    <row r="293" ht="51.75" customHeight="1" s="211">
      <c r="A293" s="55" t="n"/>
      <c r="B293" s="12" t="n"/>
      <c r="C293" s="55">
        <f>'Sales Candence'!B293</f>
        <v/>
      </c>
      <c r="D293" s="71" t="n"/>
      <c r="E293" s="71" t="n"/>
      <c r="F293" s="22" t="n"/>
      <c r="G293" s="22" t="n"/>
      <c r="H293" s="31" t="n"/>
      <c r="I293" s="23" t="n"/>
      <c r="J293" s="56" t="n"/>
      <c r="K293" s="22" t="n"/>
      <c r="L293" s="22" t="n"/>
      <c r="M293" s="22" t="n"/>
      <c r="N293" s="22" t="n"/>
      <c r="O293" s="22" t="n"/>
      <c r="P293" s="23" t="n"/>
      <c r="Q293" s="65" t="n"/>
      <c r="R293" s="65" t="n"/>
      <c r="S293" s="55" t="n"/>
      <c r="T293" s="55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</row>
    <row r="294" ht="51.75" customHeight="1" s="211">
      <c r="A294" s="55" t="n"/>
      <c r="B294" s="12" t="n"/>
      <c r="C294" s="55">
        <f>'Sales Candence'!B294</f>
        <v/>
      </c>
      <c r="D294" s="71" t="n"/>
      <c r="E294" s="71" t="n"/>
      <c r="F294" s="22" t="n"/>
      <c r="G294" s="22" t="n"/>
      <c r="H294" s="31" t="n"/>
      <c r="I294" s="23" t="n"/>
      <c r="J294" s="56" t="n"/>
      <c r="K294" s="22" t="n"/>
      <c r="L294" s="22" t="n"/>
      <c r="M294" s="22" t="n"/>
      <c r="N294" s="22" t="n"/>
      <c r="O294" s="22" t="n"/>
      <c r="P294" s="23" t="n"/>
      <c r="Q294" s="65" t="n"/>
      <c r="R294" s="65" t="n"/>
      <c r="S294" s="55" t="n"/>
      <c r="T294" s="55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</row>
    <row r="295" ht="51.75" customHeight="1" s="211">
      <c r="A295" s="55" t="n"/>
      <c r="B295" s="12" t="n"/>
      <c r="C295" s="55">
        <f>'Sales Candence'!B295</f>
        <v/>
      </c>
      <c r="D295" s="71" t="n"/>
      <c r="E295" s="71" t="n"/>
      <c r="F295" s="22" t="n"/>
      <c r="G295" s="22" t="n"/>
      <c r="H295" s="31" t="n"/>
      <c r="I295" s="23" t="n"/>
      <c r="J295" s="56" t="n"/>
      <c r="K295" s="22" t="n"/>
      <c r="L295" s="22" t="n"/>
      <c r="M295" s="22" t="n"/>
      <c r="N295" s="22" t="n"/>
      <c r="O295" s="22" t="n"/>
      <c r="P295" s="23" t="n"/>
      <c r="Q295" s="65" t="n"/>
      <c r="R295" s="65" t="n"/>
      <c r="S295" s="55" t="n"/>
      <c r="T295" s="55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</row>
    <row r="296" ht="51.75" customHeight="1" s="211">
      <c r="A296" s="55" t="n"/>
      <c r="B296" s="12" t="n"/>
      <c r="C296" s="55">
        <f>'Sales Candence'!B296</f>
        <v/>
      </c>
      <c r="D296" s="71" t="n"/>
      <c r="E296" s="71" t="n"/>
      <c r="F296" s="22" t="n"/>
      <c r="G296" s="22" t="n"/>
      <c r="H296" s="31" t="n"/>
      <c r="I296" s="23" t="n"/>
      <c r="J296" s="56" t="n"/>
      <c r="K296" s="22" t="n"/>
      <c r="L296" s="22" t="n"/>
      <c r="M296" s="22" t="n"/>
      <c r="N296" s="22" t="n"/>
      <c r="O296" s="22" t="n"/>
      <c r="P296" s="23" t="n"/>
      <c r="Q296" s="65" t="n"/>
      <c r="R296" s="65" t="n"/>
      <c r="S296" s="55" t="n"/>
      <c r="T296" s="55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</row>
    <row r="297" ht="51.75" customHeight="1" s="211">
      <c r="A297" s="55" t="n"/>
      <c r="B297" s="12" t="n"/>
      <c r="C297" s="55">
        <f>'Sales Candence'!B297</f>
        <v/>
      </c>
      <c r="D297" s="71" t="n"/>
      <c r="E297" s="71" t="n"/>
      <c r="F297" s="22" t="n"/>
      <c r="G297" s="22" t="n"/>
      <c r="H297" s="31" t="n"/>
      <c r="I297" s="23" t="n"/>
      <c r="J297" s="56" t="n"/>
      <c r="K297" s="22" t="n"/>
      <c r="L297" s="22" t="n"/>
      <c r="M297" s="22" t="n"/>
      <c r="N297" s="22" t="n"/>
      <c r="O297" s="22" t="n"/>
      <c r="P297" s="23" t="n"/>
      <c r="Q297" s="65" t="n"/>
      <c r="R297" s="65" t="n"/>
      <c r="S297" s="55" t="n"/>
      <c r="T297" s="55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</row>
    <row r="298" ht="51.75" customHeight="1" s="211">
      <c r="A298" s="55" t="n"/>
      <c r="B298" s="12" t="n"/>
      <c r="C298" s="55">
        <f>'Sales Candence'!B298</f>
        <v/>
      </c>
      <c r="D298" s="71" t="n"/>
      <c r="E298" s="71" t="n"/>
      <c r="F298" s="22" t="n"/>
      <c r="G298" s="22" t="n"/>
      <c r="H298" s="31" t="n"/>
      <c r="I298" s="23" t="n"/>
      <c r="J298" s="56" t="n"/>
      <c r="K298" s="22" t="n"/>
      <c r="L298" s="22" t="n"/>
      <c r="M298" s="22" t="n"/>
      <c r="N298" s="22" t="n"/>
      <c r="O298" s="22" t="n"/>
      <c r="P298" s="23" t="n"/>
      <c r="Q298" s="65" t="n"/>
      <c r="R298" s="65" t="n"/>
      <c r="S298" s="55" t="n"/>
      <c r="T298" s="55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</row>
    <row r="299" ht="51.75" customHeight="1" s="211">
      <c r="A299" s="55" t="n"/>
      <c r="B299" s="12" t="n"/>
      <c r="C299" s="55">
        <f>'Sales Candence'!B299</f>
        <v/>
      </c>
      <c r="D299" s="71" t="n"/>
      <c r="E299" s="71" t="n"/>
      <c r="F299" s="22" t="n"/>
      <c r="G299" s="22" t="n"/>
      <c r="H299" s="31" t="n"/>
      <c r="I299" s="23" t="n"/>
      <c r="J299" s="56" t="n"/>
      <c r="K299" s="22" t="n"/>
      <c r="L299" s="22" t="n"/>
      <c r="M299" s="22" t="n"/>
      <c r="N299" s="22" t="n"/>
      <c r="O299" s="22" t="n"/>
      <c r="P299" s="23" t="n"/>
      <c r="Q299" s="65" t="n"/>
      <c r="R299" s="65" t="n"/>
      <c r="S299" s="55" t="n"/>
      <c r="T299" s="55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</row>
    <row r="300" ht="51.75" customHeight="1" s="211">
      <c r="A300" s="55" t="n"/>
      <c r="B300" s="12" t="n"/>
      <c r="C300" s="55">
        <f>'Sales Candence'!B300</f>
        <v/>
      </c>
      <c r="D300" s="71" t="n"/>
      <c r="E300" s="71" t="n"/>
      <c r="F300" s="22" t="n"/>
      <c r="G300" s="22" t="n"/>
      <c r="H300" s="31" t="n"/>
      <c r="I300" s="23" t="n"/>
      <c r="J300" s="56" t="n"/>
      <c r="K300" s="22" t="n"/>
      <c r="L300" s="22" t="n"/>
      <c r="M300" s="22" t="n"/>
      <c r="N300" s="22" t="n"/>
      <c r="O300" s="22" t="n"/>
      <c r="P300" s="23" t="n"/>
      <c r="Q300" s="65" t="n"/>
      <c r="R300" s="65" t="n"/>
      <c r="S300" s="55" t="n"/>
      <c r="T300" s="55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</row>
    <row r="301" ht="51.75" customHeight="1" s="211">
      <c r="A301" s="55" t="n"/>
      <c r="B301" s="12" t="n"/>
      <c r="C301" s="55">
        <f>'Sales Candence'!B301</f>
        <v/>
      </c>
      <c r="D301" s="71" t="n"/>
      <c r="E301" s="71" t="n"/>
      <c r="F301" s="22" t="n"/>
      <c r="G301" s="22" t="n"/>
      <c r="H301" s="31" t="n"/>
      <c r="I301" s="23" t="n"/>
      <c r="J301" s="56" t="n"/>
      <c r="K301" s="22" t="n"/>
      <c r="L301" s="22" t="n"/>
      <c r="M301" s="22" t="n"/>
      <c r="N301" s="22" t="n"/>
      <c r="O301" s="22" t="n"/>
      <c r="P301" s="23" t="n"/>
      <c r="Q301" s="65" t="n"/>
      <c r="R301" s="65" t="n"/>
      <c r="S301" s="55" t="n"/>
      <c r="T301" s="55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</row>
    <row r="302" ht="51.75" customHeight="1" s="211">
      <c r="A302" s="55" t="n"/>
      <c r="B302" s="12" t="n"/>
      <c r="C302" s="55">
        <f>'Sales Candence'!B302</f>
        <v/>
      </c>
      <c r="D302" s="71" t="n"/>
      <c r="E302" s="71" t="n"/>
      <c r="F302" s="22" t="n"/>
      <c r="G302" s="22" t="n"/>
      <c r="H302" s="31" t="n"/>
      <c r="I302" s="23" t="n"/>
      <c r="J302" s="56" t="n"/>
      <c r="K302" s="22" t="n"/>
      <c r="L302" s="22" t="n"/>
      <c r="M302" s="22" t="n"/>
      <c r="N302" s="22" t="n"/>
      <c r="O302" s="22" t="n"/>
      <c r="P302" s="23" t="n"/>
      <c r="Q302" s="65" t="n"/>
      <c r="R302" s="65" t="n"/>
      <c r="S302" s="55" t="n"/>
      <c r="T302" s="55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</row>
    <row r="303" ht="51.75" customHeight="1" s="211">
      <c r="A303" s="55" t="n"/>
      <c r="B303" s="12" t="n"/>
      <c r="C303" s="55">
        <f>'Sales Candence'!B303</f>
        <v/>
      </c>
      <c r="D303" s="71" t="n"/>
      <c r="E303" s="71" t="n"/>
      <c r="F303" s="22" t="n"/>
      <c r="G303" s="22" t="n"/>
      <c r="H303" s="31" t="n"/>
      <c r="I303" s="23" t="n"/>
      <c r="J303" s="56" t="n"/>
      <c r="K303" s="22" t="n"/>
      <c r="L303" s="22" t="n"/>
      <c r="M303" s="22" t="n"/>
      <c r="N303" s="22" t="n"/>
      <c r="O303" s="22" t="n"/>
      <c r="P303" s="23" t="n"/>
      <c r="Q303" s="65" t="n"/>
      <c r="R303" s="65" t="n"/>
      <c r="S303" s="55" t="n"/>
      <c r="T303" s="55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</row>
    <row r="304" ht="51.75" customHeight="1" s="211">
      <c r="A304" s="55" t="n"/>
      <c r="B304" s="12" t="n"/>
      <c r="C304" s="55">
        <f>'Sales Candence'!B304</f>
        <v/>
      </c>
      <c r="D304" s="71" t="n"/>
      <c r="E304" s="71" t="n"/>
      <c r="F304" s="22" t="n"/>
      <c r="G304" s="22" t="n"/>
      <c r="H304" s="31" t="n"/>
      <c r="I304" s="23" t="n"/>
      <c r="J304" s="56" t="n"/>
      <c r="K304" s="22" t="n"/>
      <c r="L304" s="22" t="n"/>
      <c r="M304" s="22" t="n"/>
      <c r="N304" s="22" t="n"/>
      <c r="O304" s="22" t="n"/>
      <c r="P304" s="23" t="n"/>
      <c r="Q304" s="65" t="n"/>
      <c r="R304" s="65" t="n"/>
      <c r="S304" s="55" t="n"/>
      <c r="T304" s="55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</row>
    <row r="305" ht="51.75" customHeight="1" s="211">
      <c r="A305" s="55" t="n"/>
      <c r="B305" s="12" t="n"/>
      <c r="C305" s="55">
        <f>'Sales Candence'!B305</f>
        <v/>
      </c>
      <c r="D305" s="71" t="n"/>
      <c r="E305" s="71" t="n"/>
      <c r="F305" s="22" t="n"/>
      <c r="G305" s="22" t="n"/>
      <c r="H305" s="31" t="n"/>
      <c r="I305" s="23" t="n"/>
      <c r="J305" s="56" t="n"/>
      <c r="K305" s="22" t="n"/>
      <c r="L305" s="22" t="n"/>
      <c r="M305" s="22" t="n"/>
      <c r="N305" s="22" t="n"/>
      <c r="O305" s="22" t="n"/>
      <c r="P305" s="23" t="n"/>
      <c r="Q305" s="65" t="n"/>
      <c r="R305" s="65" t="n"/>
      <c r="S305" s="55" t="n"/>
      <c r="T305" s="55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</row>
    <row r="306" ht="51.75" customHeight="1" s="211">
      <c r="A306" s="55" t="n"/>
      <c r="B306" s="12" t="n"/>
      <c r="C306" s="55">
        <f>'Sales Candence'!B306</f>
        <v/>
      </c>
      <c r="D306" s="71" t="n"/>
      <c r="E306" s="71" t="n"/>
      <c r="F306" s="22" t="n"/>
      <c r="G306" s="22" t="n"/>
      <c r="H306" s="31" t="n"/>
      <c r="I306" s="23" t="n"/>
      <c r="J306" s="56" t="n"/>
      <c r="K306" s="22" t="n"/>
      <c r="L306" s="22" t="n"/>
      <c r="M306" s="22" t="n"/>
      <c r="N306" s="22" t="n"/>
      <c r="O306" s="22" t="n"/>
      <c r="P306" s="23" t="n"/>
      <c r="Q306" s="65" t="n"/>
      <c r="R306" s="65" t="n"/>
      <c r="S306" s="55" t="n"/>
      <c r="T306" s="55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</row>
    <row r="307" ht="51.75" customHeight="1" s="211">
      <c r="A307" s="55" t="n"/>
      <c r="B307" s="12" t="n"/>
      <c r="C307" s="55">
        <f>'Sales Candence'!B307</f>
        <v/>
      </c>
      <c r="D307" s="71" t="n"/>
      <c r="E307" s="71" t="n"/>
      <c r="F307" s="22" t="n"/>
      <c r="G307" s="22" t="n"/>
      <c r="H307" s="31" t="n"/>
      <c r="I307" s="23" t="n"/>
      <c r="J307" s="56" t="n"/>
      <c r="K307" s="22" t="n"/>
      <c r="L307" s="22" t="n"/>
      <c r="M307" s="22" t="n"/>
      <c r="N307" s="22" t="n"/>
      <c r="O307" s="22" t="n"/>
      <c r="P307" s="23" t="n"/>
      <c r="Q307" s="65" t="n"/>
      <c r="R307" s="65" t="n"/>
      <c r="S307" s="55" t="n"/>
      <c r="T307" s="55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</row>
    <row r="308" ht="51.75" customHeight="1" s="211">
      <c r="A308" s="55" t="n"/>
      <c r="B308" s="12" t="n"/>
      <c r="C308" s="55">
        <f>'Sales Candence'!B308</f>
        <v/>
      </c>
      <c r="D308" s="71" t="n"/>
      <c r="E308" s="71" t="n"/>
      <c r="F308" s="22" t="n"/>
      <c r="G308" s="22" t="n"/>
      <c r="H308" s="31" t="n"/>
      <c r="I308" s="23" t="n"/>
      <c r="J308" s="56" t="n"/>
      <c r="K308" s="22" t="n"/>
      <c r="L308" s="22" t="n"/>
      <c r="M308" s="22" t="n"/>
      <c r="N308" s="22" t="n"/>
      <c r="O308" s="22" t="n"/>
      <c r="P308" s="23" t="n"/>
      <c r="Q308" s="65" t="n"/>
      <c r="R308" s="65" t="n"/>
      <c r="S308" s="55" t="n"/>
      <c r="T308" s="55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</row>
    <row r="309" ht="51.75" customHeight="1" s="211">
      <c r="A309" s="55" t="n"/>
      <c r="B309" s="12" t="n"/>
      <c r="C309" s="55">
        <f>'Sales Candence'!B309</f>
        <v/>
      </c>
      <c r="D309" s="71" t="n"/>
      <c r="E309" s="71" t="n"/>
      <c r="F309" s="22" t="n"/>
      <c r="G309" s="22" t="n"/>
      <c r="H309" s="31" t="n"/>
      <c r="I309" s="23" t="n"/>
      <c r="J309" s="56" t="n"/>
      <c r="K309" s="22" t="n"/>
      <c r="L309" s="22" t="n"/>
      <c r="M309" s="22" t="n"/>
      <c r="N309" s="22" t="n"/>
      <c r="O309" s="22" t="n"/>
      <c r="P309" s="23" t="n"/>
      <c r="Q309" s="65" t="n"/>
      <c r="R309" s="65" t="n"/>
      <c r="S309" s="55" t="n"/>
      <c r="T309" s="55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</row>
    <row r="310" ht="51.75" customHeight="1" s="211">
      <c r="A310" s="55" t="n"/>
      <c r="B310" s="12" t="n"/>
      <c r="C310" s="55">
        <f>'Sales Candence'!B310</f>
        <v/>
      </c>
      <c r="D310" s="71" t="n"/>
      <c r="E310" s="71" t="n"/>
      <c r="F310" s="22" t="n"/>
      <c r="G310" s="22" t="n"/>
      <c r="H310" s="31" t="n"/>
      <c r="I310" s="23" t="n"/>
      <c r="J310" s="56" t="n"/>
      <c r="K310" s="22" t="n"/>
      <c r="L310" s="22" t="n"/>
      <c r="M310" s="22" t="n"/>
      <c r="N310" s="22" t="n"/>
      <c r="O310" s="22" t="n"/>
      <c r="P310" s="23" t="n"/>
      <c r="Q310" s="65" t="n"/>
      <c r="R310" s="65" t="n"/>
      <c r="S310" s="55" t="n"/>
      <c r="T310" s="55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</row>
    <row r="311" ht="51.75" customHeight="1" s="211">
      <c r="A311" s="55" t="n"/>
      <c r="B311" s="12" t="n"/>
      <c r="C311" s="55">
        <f>'Sales Candence'!B311</f>
        <v/>
      </c>
      <c r="D311" s="71" t="n"/>
      <c r="E311" s="71" t="n"/>
      <c r="F311" s="22" t="n"/>
      <c r="G311" s="22" t="n"/>
      <c r="H311" s="31" t="n"/>
      <c r="I311" s="23" t="n"/>
      <c r="J311" s="56" t="n"/>
      <c r="K311" s="22" t="n"/>
      <c r="L311" s="22" t="n"/>
      <c r="M311" s="22" t="n"/>
      <c r="N311" s="22" t="n"/>
      <c r="O311" s="22" t="n"/>
      <c r="P311" s="23" t="n"/>
      <c r="Q311" s="65" t="n"/>
      <c r="R311" s="65" t="n"/>
      <c r="S311" s="55" t="n"/>
      <c r="T311" s="55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</row>
    <row r="312" ht="51.75" customHeight="1" s="211">
      <c r="A312" s="55" t="n"/>
      <c r="B312" s="12" t="n"/>
      <c r="C312" s="55">
        <f>'Sales Candence'!B312</f>
        <v/>
      </c>
      <c r="D312" s="71" t="n"/>
      <c r="E312" s="71" t="n"/>
      <c r="F312" s="22" t="n"/>
      <c r="G312" s="22" t="n"/>
      <c r="H312" s="31" t="n"/>
      <c r="I312" s="23" t="n"/>
      <c r="J312" s="56" t="n"/>
      <c r="K312" s="22" t="n"/>
      <c r="L312" s="22" t="n"/>
      <c r="M312" s="22" t="n"/>
      <c r="N312" s="22" t="n"/>
      <c r="O312" s="22" t="n"/>
      <c r="P312" s="23" t="n"/>
      <c r="Q312" s="65" t="n"/>
      <c r="R312" s="65" t="n"/>
      <c r="S312" s="55" t="n"/>
      <c r="T312" s="55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</row>
    <row r="313" ht="51.75" customHeight="1" s="211">
      <c r="A313" s="55" t="n"/>
      <c r="B313" s="12" t="n"/>
      <c r="C313" s="55">
        <f>'Sales Candence'!B313</f>
        <v/>
      </c>
      <c r="D313" s="71" t="n"/>
      <c r="E313" s="71" t="n"/>
      <c r="F313" s="22" t="n"/>
      <c r="G313" s="22" t="n"/>
      <c r="H313" s="31" t="n"/>
      <c r="I313" s="23" t="n"/>
      <c r="J313" s="56" t="n"/>
      <c r="K313" s="22" t="n"/>
      <c r="L313" s="22" t="n"/>
      <c r="M313" s="22" t="n"/>
      <c r="N313" s="22" t="n"/>
      <c r="O313" s="22" t="n"/>
      <c r="P313" s="23" t="n"/>
      <c r="Q313" s="65" t="n"/>
      <c r="R313" s="65" t="n"/>
      <c r="S313" s="55" t="n"/>
      <c r="T313" s="55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</row>
    <row r="314" ht="51.75" customHeight="1" s="211">
      <c r="A314" s="55" t="n"/>
      <c r="B314" s="12" t="n"/>
      <c r="C314" s="55">
        <f>'Sales Candence'!B314</f>
        <v/>
      </c>
      <c r="D314" s="71" t="n"/>
      <c r="E314" s="71" t="n"/>
      <c r="F314" s="22" t="n"/>
      <c r="G314" s="22" t="n"/>
      <c r="H314" s="31" t="n"/>
      <c r="I314" s="23" t="n"/>
      <c r="J314" s="56" t="n"/>
      <c r="K314" s="22" t="n"/>
      <c r="L314" s="22" t="n"/>
      <c r="M314" s="22" t="n"/>
      <c r="N314" s="22" t="n"/>
      <c r="O314" s="22" t="n"/>
      <c r="P314" s="23" t="n"/>
      <c r="Q314" s="65" t="n"/>
      <c r="R314" s="65" t="n"/>
      <c r="S314" s="55" t="n"/>
      <c r="T314" s="55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</row>
    <row r="315" ht="51.75" customHeight="1" s="211">
      <c r="A315" s="55" t="n"/>
      <c r="B315" s="12" t="n"/>
      <c r="C315" s="55">
        <f>'Sales Candence'!B315</f>
        <v/>
      </c>
      <c r="D315" s="71" t="n"/>
      <c r="E315" s="71" t="n"/>
      <c r="F315" s="22" t="n"/>
      <c r="G315" s="22" t="n"/>
      <c r="H315" s="31" t="n"/>
      <c r="I315" s="23" t="n"/>
      <c r="J315" s="56" t="n"/>
      <c r="K315" s="22" t="n"/>
      <c r="L315" s="22" t="n"/>
      <c r="M315" s="22" t="n"/>
      <c r="N315" s="22" t="n"/>
      <c r="O315" s="22" t="n"/>
      <c r="P315" s="23" t="n"/>
      <c r="Q315" s="65" t="n"/>
      <c r="R315" s="65" t="n"/>
      <c r="S315" s="55" t="n"/>
      <c r="T315" s="55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</row>
    <row r="316" ht="51.75" customHeight="1" s="211">
      <c r="A316" s="55" t="n"/>
      <c r="B316" s="12" t="n"/>
      <c r="C316" s="55">
        <f>'Sales Candence'!B316</f>
        <v/>
      </c>
      <c r="D316" s="71" t="n"/>
      <c r="E316" s="71" t="n"/>
      <c r="F316" s="22" t="n"/>
      <c r="G316" s="22" t="n"/>
      <c r="H316" s="31" t="n"/>
      <c r="I316" s="23" t="n"/>
      <c r="J316" s="56" t="n"/>
      <c r="K316" s="22" t="n"/>
      <c r="L316" s="22" t="n"/>
      <c r="M316" s="22" t="n"/>
      <c r="N316" s="22" t="n"/>
      <c r="O316" s="22" t="n"/>
      <c r="P316" s="23" t="n"/>
      <c r="Q316" s="65" t="n"/>
      <c r="R316" s="65" t="n"/>
      <c r="S316" s="55" t="n"/>
      <c r="T316" s="55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</row>
    <row r="317" ht="51.75" customHeight="1" s="211">
      <c r="A317" s="55" t="n"/>
      <c r="B317" s="12" t="n"/>
      <c r="C317" s="55">
        <f>'Sales Candence'!B317</f>
        <v/>
      </c>
      <c r="D317" s="71" t="n"/>
      <c r="E317" s="71" t="n"/>
      <c r="F317" s="22" t="n"/>
      <c r="G317" s="22" t="n"/>
      <c r="H317" s="31" t="n"/>
      <c r="I317" s="23" t="n"/>
      <c r="J317" s="56" t="n"/>
      <c r="K317" s="22" t="n"/>
      <c r="L317" s="22" t="n"/>
      <c r="M317" s="22" t="n"/>
      <c r="N317" s="22" t="n"/>
      <c r="O317" s="22" t="n"/>
      <c r="P317" s="23" t="n"/>
      <c r="Q317" s="65" t="n"/>
      <c r="R317" s="65" t="n"/>
      <c r="S317" s="55" t="n"/>
      <c r="T317" s="55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</row>
    <row r="318" ht="51.75" customHeight="1" s="211">
      <c r="A318" s="55" t="n"/>
      <c r="B318" s="12" t="n"/>
      <c r="C318" s="55">
        <f>'Sales Candence'!B318</f>
        <v/>
      </c>
      <c r="D318" s="71" t="n"/>
      <c r="E318" s="71" t="n"/>
      <c r="F318" s="22" t="n"/>
      <c r="G318" s="22" t="n"/>
      <c r="H318" s="31" t="n"/>
      <c r="I318" s="23" t="n"/>
      <c r="J318" s="56" t="n"/>
      <c r="K318" s="22" t="n"/>
      <c r="L318" s="22" t="n"/>
      <c r="M318" s="22" t="n"/>
      <c r="N318" s="22" t="n"/>
      <c r="O318" s="22" t="n"/>
      <c r="P318" s="23" t="n"/>
      <c r="Q318" s="65" t="n"/>
      <c r="R318" s="65" t="n"/>
      <c r="S318" s="55" t="n"/>
      <c r="T318" s="55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</row>
    <row r="319" ht="51.75" customHeight="1" s="211">
      <c r="A319" s="55" t="n"/>
      <c r="B319" s="12" t="n"/>
      <c r="C319" s="55">
        <f>'Sales Candence'!B319</f>
        <v/>
      </c>
      <c r="D319" s="71" t="n"/>
      <c r="E319" s="71" t="n"/>
      <c r="F319" s="22" t="n"/>
      <c r="G319" s="22" t="n"/>
      <c r="H319" s="31" t="n"/>
      <c r="I319" s="23" t="n"/>
      <c r="J319" s="56" t="n"/>
      <c r="K319" s="22" t="n"/>
      <c r="L319" s="22" t="n"/>
      <c r="M319" s="22" t="n"/>
      <c r="N319" s="22" t="n"/>
      <c r="O319" s="22" t="n"/>
      <c r="P319" s="23" t="n"/>
      <c r="Q319" s="65" t="n"/>
      <c r="R319" s="65" t="n"/>
      <c r="S319" s="55" t="n"/>
      <c r="T319" s="55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</row>
    <row r="320" ht="51.75" customHeight="1" s="211">
      <c r="A320" s="55" t="n"/>
      <c r="B320" s="12" t="n"/>
      <c r="C320" s="55">
        <f>'Sales Candence'!B320</f>
        <v/>
      </c>
      <c r="D320" s="71" t="n"/>
      <c r="E320" s="71" t="n"/>
      <c r="F320" s="22" t="n"/>
      <c r="G320" s="22" t="n"/>
      <c r="H320" s="31" t="n"/>
      <c r="I320" s="23" t="n"/>
      <c r="J320" s="56" t="n"/>
      <c r="K320" s="22" t="n"/>
      <c r="L320" s="22" t="n"/>
      <c r="M320" s="22" t="n"/>
      <c r="N320" s="22" t="n"/>
      <c r="O320" s="22" t="n"/>
      <c r="P320" s="23" t="n"/>
      <c r="Q320" s="65" t="n"/>
      <c r="R320" s="65" t="n"/>
      <c r="S320" s="55" t="n"/>
      <c r="T320" s="55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</row>
    <row r="321" ht="51.75" customHeight="1" s="211">
      <c r="A321" s="55" t="n"/>
      <c r="B321" s="12" t="n"/>
      <c r="C321" s="55">
        <f>'Sales Candence'!B321</f>
        <v/>
      </c>
      <c r="D321" s="71" t="n"/>
      <c r="E321" s="71" t="n"/>
      <c r="F321" s="22" t="n"/>
      <c r="G321" s="22" t="n"/>
      <c r="H321" s="31" t="n"/>
      <c r="I321" s="23" t="n"/>
      <c r="J321" s="56" t="n"/>
      <c r="K321" s="22" t="n"/>
      <c r="L321" s="22" t="n"/>
      <c r="M321" s="22" t="n"/>
      <c r="N321" s="22" t="n"/>
      <c r="O321" s="22" t="n"/>
      <c r="P321" s="23" t="n"/>
      <c r="Q321" s="65" t="n"/>
      <c r="R321" s="65" t="n"/>
      <c r="S321" s="55" t="n"/>
      <c r="T321" s="55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</row>
    <row r="322" ht="51.75" customHeight="1" s="211">
      <c r="A322" s="55" t="n"/>
      <c r="B322" s="12" t="n"/>
      <c r="C322" s="55">
        <f>'Sales Candence'!B322</f>
        <v/>
      </c>
      <c r="D322" s="71" t="n"/>
      <c r="E322" s="71" t="n"/>
      <c r="F322" s="22" t="n"/>
      <c r="G322" s="22" t="n"/>
      <c r="H322" s="31" t="n"/>
      <c r="I322" s="23" t="n"/>
      <c r="J322" s="56" t="n"/>
      <c r="K322" s="22" t="n"/>
      <c r="L322" s="22" t="n"/>
      <c r="M322" s="22" t="n"/>
      <c r="N322" s="22" t="n"/>
      <c r="O322" s="22" t="n"/>
      <c r="P322" s="23" t="n"/>
      <c r="Q322" s="65" t="n"/>
      <c r="R322" s="65" t="n"/>
      <c r="S322" s="55" t="n"/>
      <c r="T322" s="55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</row>
    <row r="323" ht="51.75" customHeight="1" s="211">
      <c r="A323" s="55" t="n"/>
      <c r="B323" s="12" t="n"/>
      <c r="C323" s="55">
        <f>'Sales Candence'!B323</f>
        <v/>
      </c>
      <c r="D323" s="71" t="n"/>
      <c r="E323" s="71" t="n"/>
      <c r="F323" s="22" t="n"/>
      <c r="G323" s="22" t="n"/>
      <c r="H323" s="31" t="n"/>
      <c r="I323" s="23" t="n"/>
      <c r="J323" s="56" t="n"/>
      <c r="K323" s="22" t="n"/>
      <c r="L323" s="22" t="n"/>
      <c r="M323" s="22" t="n"/>
      <c r="N323" s="22" t="n"/>
      <c r="O323" s="22" t="n"/>
      <c r="P323" s="23" t="n"/>
      <c r="Q323" s="65" t="n"/>
      <c r="R323" s="65" t="n"/>
      <c r="S323" s="55" t="n"/>
      <c r="T323" s="55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</row>
    <row r="324" ht="51.75" customHeight="1" s="211">
      <c r="A324" s="55" t="n"/>
      <c r="B324" s="12" t="n"/>
      <c r="C324" s="55">
        <f>'Sales Candence'!B324</f>
        <v/>
      </c>
      <c r="D324" s="71" t="n"/>
      <c r="E324" s="71" t="n"/>
      <c r="F324" s="22" t="n"/>
      <c r="G324" s="22" t="n"/>
      <c r="H324" s="31" t="n"/>
      <c r="I324" s="23" t="n"/>
      <c r="J324" s="56" t="n"/>
      <c r="K324" s="22" t="n"/>
      <c r="L324" s="22" t="n"/>
      <c r="M324" s="22" t="n"/>
      <c r="N324" s="22" t="n"/>
      <c r="O324" s="22" t="n"/>
      <c r="P324" s="23" t="n"/>
      <c r="Q324" s="65" t="n"/>
      <c r="R324" s="65" t="n"/>
      <c r="S324" s="55" t="n"/>
      <c r="T324" s="55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</row>
    <row r="325" ht="51.75" customHeight="1" s="211">
      <c r="A325" s="55" t="n"/>
      <c r="B325" s="12" t="n"/>
      <c r="C325" s="55">
        <f>'Sales Candence'!B325</f>
        <v/>
      </c>
      <c r="D325" s="71" t="n"/>
      <c r="E325" s="71" t="n"/>
      <c r="F325" s="22" t="n"/>
      <c r="G325" s="22" t="n"/>
      <c r="H325" s="31" t="n"/>
      <c r="I325" s="23" t="n"/>
      <c r="J325" s="56" t="n"/>
      <c r="K325" s="22" t="n"/>
      <c r="L325" s="22" t="n"/>
      <c r="M325" s="22" t="n"/>
      <c r="N325" s="22" t="n"/>
      <c r="O325" s="22" t="n"/>
      <c r="P325" s="23" t="n"/>
      <c r="Q325" s="65" t="n"/>
      <c r="R325" s="65" t="n"/>
      <c r="S325" s="55" t="n"/>
      <c r="T325" s="55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</row>
    <row r="326" ht="51.75" customHeight="1" s="211">
      <c r="A326" s="55" t="n"/>
      <c r="B326" s="12" t="n"/>
      <c r="C326" s="55">
        <f>'Sales Candence'!B326</f>
        <v/>
      </c>
      <c r="D326" s="71" t="n"/>
      <c r="E326" s="71" t="n"/>
      <c r="F326" s="22" t="n"/>
      <c r="G326" s="22" t="n"/>
      <c r="H326" s="31" t="n"/>
      <c r="I326" s="23" t="n"/>
      <c r="J326" s="56" t="n"/>
      <c r="K326" s="22" t="n"/>
      <c r="L326" s="22" t="n"/>
      <c r="M326" s="22" t="n"/>
      <c r="N326" s="22" t="n"/>
      <c r="O326" s="22" t="n"/>
      <c r="P326" s="23" t="n"/>
      <c r="Q326" s="65" t="n"/>
      <c r="R326" s="65" t="n"/>
      <c r="S326" s="55" t="n"/>
      <c r="T326" s="55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</row>
    <row r="327" ht="51.75" customHeight="1" s="211">
      <c r="A327" s="55" t="n"/>
      <c r="B327" s="12" t="n"/>
      <c r="C327" s="55">
        <f>'Sales Candence'!B327</f>
        <v/>
      </c>
      <c r="D327" s="71" t="n"/>
      <c r="E327" s="71" t="n"/>
      <c r="F327" s="22" t="n"/>
      <c r="G327" s="22" t="n"/>
      <c r="H327" s="31" t="n"/>
      <c r="I327" s="23" t="n"/>
      <c r="J327" s="56" t="n"/>
      <c r="K327" s="22" t="n"/>
      <c r="L327" s="22" t="n"/>
      <c r="M327" s="22" t="n"/>
      <c r="N327" s="22" t="n"/>
      <c r="O327" s="22" t="n"/>
      <c r="P327" s="23" t="n"/>
      <c r="Q327" s="65" t="n"/>
      <c r="R327" s="65" t="n"/>
      <c r="S327" s="55" t="n"/>
      <c r="T327" s="55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</row>
    <row r="328" ht="51.75" customHeight="1" s="211">
      <c r="A328" s="55" t="n"/>
      <c r="B328" s="12" t="n"/>
      <c r="C328" s="55">
        <f>'Sales Candence'!B328</f>
        <v/>
      </c>
      <c r="D328" s="71" t="n"/>
      <c r="E328" s="71" t="n"/>
      <c r="F328" s="22" t="n"/>
      <c r="G328" s="22" t="n"/>
      <c r="H328" s="31" t="n"/>
      <c r="I328" s="23" t="n"/>
      <c r="J328" s="56" t="n"/>
      <c r="K328" s="22" t="n"/>
      <c r="L328" s="22" t="n"/>
      <c r="M328" s="22" t="n"/>
      <c r="N328" s="22" t="n"/>
      <c r="O328" s="22" t="n"/>
      <c r="P328" s="23" t="n"/>
      <c r="Q328" s="65" t="n"/>
      <c r="R328" s="65" t="n"/>
      <c r="S328" s="55" t="n"/>
      <c r="T328" s="55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</row>
    <row r="329" ht="51.75" customHeight="1" s="211">
      <c r="A329" s="55" t="n"/>
      <c r="B329" s="12" t="n"/>
      <c r="C329" s="55">
        <f>'Sales Candence'!B329</f>
        <v/>
      </c>
      <c r="D329" s="71" t="n"/>
      <c r="E329" s="71" t="n"/>
      <c r="F329" s="22" t="n"/>
      <c r="G329" s="22" t="n"/>
      <c r="H329" s="31" t="n"/>
      <c r="I329" s="23" t="n"/>
      <c r="J329" s="56" t="n"/>
      <c r="K329" s="22" t="n"/>
      <c r="L329" s="22" t="n"/>
      <c r="M329" s="22" t="n"/>
      <c r="N329" s="22" t="n"/>
      <c r="O329" s="22" t="n"/>
      <c r="P329" s="23" t="n"/>
      <c r="Q329" s="65" t="n"/>
      <c r="R329" s="65" t="n"/>
      <c r="S329" s="55" t="n"/>
      <c r="T329" s="55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</row>
    <row r="330" ht="51.75" customHeight="1" s="211">
      <c r="A330" s="55" t="n"/>
      <c r="B330" s="12" t="n"/>
      <c r="C330" s="55">
        <f>'Sales Candence'!B330</f>
        <v/>
      </c>
      <c r="D330" s="71" t="n"/>
      <c r="E330" s="71" t="n"/>
      <c r="F330" s="22" t="n"/>
      <c r="G330" s="22" t="n"/>
      <c r="H330" s="31" t="n"/>
      <c r="I330" s="23" t="n"/>
      <c r="J330" s="56" t="n"/>
      <c r="K330" s="22" t="n"/>
      <c r="L330" s="22" t="n"/>
      <c r="M330" s="22" t="n"/>
      <c r="N330" s="22" t="n"/>
      <c r="O330" s="22" t="n"/>
      <c r="P330" s="23" t="n"/>
      <c r="Q330" s="65" t="n"/>
      <c r="R330" s="65" t="n"/>
      <c r="S330" s="55" t="n"/>
      <c r="T330" s="55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</row>
    <row r="331" ht="51.75" customHeight="1" s="211">
      <c r="A331" s="55" t="n"/>
      <c r="B331" s="12" t="n"/>
      <c r="C331" s="55">
        <f>'Sales Candence'!B331</f>
        <v/>
      </c>
      <c r="D331" s="71" t="n"/>
      <c r="E331" s="71" t="n"/>
      <c r="F331" s="22" t="n"/>
      <c r="G331" s="22" t="n"/>
      <c r="H331" s="31" t="n"/>
      <c r="I331" s="23" t="n"/>
      <c r="J331" s="56" t="n"/>
      <c r="K331" s="22" t="n"/>
      <c r="L331" s="22" t="n"/>
      <c r="M331" s="22" t="n"/>
      <c r="N331" s="22" t="n"/>
      <c r="O331" s="22" t="n"/>
      <c r="P331" s="23" t="n"/>
      <c r="Q331" s="65" t="n"/>
      <c r="R331" s="65" t="n"/>
      <c r="S331" s="55" t="n"/>
      <c r="T331" s="55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</row>
    <row r="332" ht="51.75" customHeight="1" s="211">
      <c r="A332" s="55" t="n"/>
      <c r="B332" s="12" t="n"/>
      <c r="C332" s="55">
        <f>'Sales Candence'!B332</f>
        <v/>
      </c>
      <c r="D332" s="71" t="n"/>
      <c r="E332" s="71" t="n"/>
      <c r="F332" s="22" t="n"/>
      <c r="G332" s="22" t="n"/>
      <c r="H332" s="31" t="n"/>
      <c r="I332" s="23" t="n"/>
      <c r="J332" s="56" t="n"/>
      <c r="K332" s="22" t="n"/>
      <c r="L332" s="22" t="n"/>
      <c r="M332" s="22" t="n"/>
      <c r="N332" s="22" t="n"/>
      <c r="O332" s="22" t="n"/>
      <c r="P332" s="23" t="n"/>
      <c r="Q332" s="65" t="n"/>
      <c r="R332" s="65" t="n"/>
      <c r="S332" s="55" t="n"/>
      <c r="T332" s="55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</row>
    <row r="333" ht="51.75" customHeight="1" s="211">
      <c r="A333" s="55" t="n"/>
      <c r="B333" s="12" t="n"/>
      <c r="C333" s="55">
        <f>'Sales Candence'!B333</f>
        <v/>
      </c>
      <c r="D333" s="71" t="n"/>
      <c r="E333" s="71" t="n"/>
      <c r="F333" s="22" t="n"/>
      <c r="G333" s="22" t="n"/>
      <c r="H333" s="31" t="n"/>
      <c r="I333" s="23" t="n"/>
      <c r="J333" s="56" t="n"/>
      <c r="K333" s="22" t="n"/>
      <c r="L333" s="22" t="n"/>
      <c r="M333" s="22" t="n"/>
      <c r="N333" s="22" t="n"/>
      <c r="O333" s="22" t="n"/>
      <c r="P333" s="23" t="n"/>
      <c r="Q333" s="65" t="n"/>
      <c r="R333" s="65" t="n"/>
      <c r="S333" s="55" t="n"/>
      <c r="T333" s="55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</row>
    <row r="334" ht="51.75" customHeight="1" s="211">
      <c r="A334" s="55" t="n"/>
      <c r="B334" s="12" t="n"/>
      <c r="C334" s="55">
        <f>'Sales Candence'!B334</f>
        <v/>
      </c>
      <c r="D334" s="71" t="n"/>
      <c r="E334" s="71" t="n"/>
      <c r="F334" s="22" t="n"/>
      <c r="G334" s="22" t="n"/>
      <c r="H334" s="31" t="n"/>
      <c r="I334" s="23" t="n"/>
      <c r="J334" s="56" t="n"/>
      <c r="K334" s="22" t="n"/>
      <c r="L334" s="22" t="n"/>
      <c r="M334" s="22" t="n"/>
      <c r="N334" s="22" t="n"/>
      <c r="O334" s="22" t="n"/>
      <c r="P334" s="23" t="n"/>
      <c r="Q334" s="65" t="n"/>
      <c r="R334" s="65" t="n"/>
      <c r="S334" s="55" t="n"/>
      <c r="T334" s="55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</row>
    <row r="335" ht="51.75" customHeight="1" s="211">
      <c r="A335" s="55" t="n"/>
      <c r="B335" s="12" t="n"/>
      <c r="C335" s="55">
        <f>'Sales Candence'!B335</f>
        <v/>
      </c>
      <c r="D335" s="71" t="n"/>
      <c r="E335" s="71" t="n"/>
      <c r="F335" s="22" t="n"/>
      <c r="G335" s="22" t="n"/>
      <c r="H335" s="31" t="n"/>
      <c r="I335" s="23" t="n"/>
      <c r="J335" s="56" t="n"/>
      <c r="K335" s="22" t="n"/>
      <c r="L335" s="22" t="n"/>
      <c r="M335" s="22" t="n"/>
      <c r="N335" s="22" t="n"/>
      <c r="O335" s="22" t="n"/>
      <c r="P335" s="23" t="n"/>
      <c r="Q335" s="65" t="n"/>
      <c r="R335" s="65" t="n"/>
      <c r="S335" s="55" t="n"/>
      <c r="T335" s="55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</row>
    <row r="336" ht="51.75" customHeight="1" s="211">
      <c r="A336" s="55" t="n"/>
      <c r="B336" s="12" t="n"/>
      <c r="C336" s="55">
        <f>'Sales Candence'!B336</f>
        <v/>
      </c>
      <c r="D336" s="71" t="n"/>
      <c r="E336" s="71" t="n"/>
      <c r="F336" s="22" t="n"/>
      <c r="G336" s="22" t="n"/>
      <c r="H336" s="31" t="n"/>
      <c r="I336" s="23" t="n"/>
      <c r="J336" s="56" t="n"/>
      <c r="K336" s="22" t="n"/>
      <c r="L336" s="22" t="n"/>
      <c r="M336" s="22" t="n"/>
      <c r="N336" s="22" t="n"/>
      <c r="O336" s="22" t="n"/>
      <c r="P336" s="23" t="n"/>
      <c r="Q336" s="65" t="n"/>
      <c r="R336" s="65" t="n"/>
      <c r="S336" s="55" t="n"/>
      <c r="T336" s="55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</row>
    <row r="337" ht="51.75" customHeight="1" s="211">
      <c r="A337" s="55" t="n"/>
      <c r="B337" s="12" t="n"/>
      <c r="C337" s="55">
        <f>'Sales Candence'!B337</f>
        <v/>
      </c>
      <c r="D337" s="71" t="n"/>
      <c r="E337" s="71" t="n"/>
      <c r="F337" s="22" t="n"/>
      <c r="G337" s="22" t="n"/>
      <c r="H337" s="31" t="n"/>
      <c r="I337" s="23" t="n"/>
      <c r="J337" s="56" t="n"/>
      <c r="K337" s="22" t="n"/>
      <c r="L337" s="22" t="n"/>
      <c r="M337" s="22" t="n"/>
      <c r="N337" s="22" t="n"/>
      <c r="O337" s="22" t="n"/>
      <c r="P337" s="23" t="n"/>
      <c r="Q337" s="65" t="n"/>
      <c r="R337" s="65" t="n"/>
      <c r="S337" s="55" t="n"/>
      <c r="T337" s="55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</row>
    <row r="338" ht="51.75" customHeight="1" s="211">
      <c r="A338" s="55" t="n"/>
      <c r="B338" s="12" t="n"/>
      <c r="C338" s="55">
        <f>'Sales Candence'!B338</f>
        <v/>
      </c>
      <c r="D338" s="71" t="n"/>
      <c r="E338" s="71" t="n"/>
      <c r="F338" s="22" t="n"/>
      <c r="G338" s="22" t="n"/>
      <c r="H338" s="31" t="n"/>
      <c r="I338" s="23" t="n"/>
      <c r="J338" s="56" t="n"/>
      <c r="K338" s="22" t="n"/>
      <c r="L338" s="22" t="n"/>
      <c r="M338" s="22" t="n"/>
      <c r="N338" s="22" t="n"/>
      <c r="O338" s="22" t="n"/>
      <c r="P338" s="23" t="n"/>
      <c r="Q338" s="65" t="n"/>
      <c r="R338" s="65" t="n"/>
      <c r="S338" s="55" t="n"/>
      <c r="T338" s="55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</row>
    <row r="339" ht="51.75" customHeight="1" s="211">
      <c r="A339" s="55" t="n"/>
      <c r="B339" s="12" t="n"/>
      <c r="C339" s="55">
        <f>'Sales Candence'!B339</f>
        <v/>
      </c>
      <c r="D339" s="71" t="n"/>
      <c r="E339" s="71" t="n"/>
      <c r="F339" s="22" t="n"/>
      <c r="G339" s="22" t="n"/>
      <c r="H339" s="31" t="n"/>
      <c r="I339" s="23" t="n"/>
      <c r="J339" s="56" t="n"/>
      <c r="K339" s="22" t="n"/>
      <c r="L339" s="22" t="n"/>
      <c r="M339" s="22" t="n"/>
      <c r="N339" s="22" t="n"/>
      <c r="O339" s="22" t="n"/>
      <c r="P339" s="23" t="n"/>
      <c r="Q339" s="65" t="n"/>
      <c r="R339" s="65" t="n"/>
      <c r="S339" s="55" t="n"/>
      <c r="T339" s="55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</row>
    <row r="340" ht="51.75" customHeight="1" s="211">
      <c r="A340" s="55" t="n"/>
      <c r="B340" s="12" t="n"/>
      <c r="C340" s="55">
        <f>'Sales Candence'!B340</f>
        <v/>
      </c>
      <c r="D340" s="71" t="n"/>
      <c r="E340" s="71" t="n"/>
      <c r="F340" s="22" t="n"/>
      <c r="G340" s="22" t="n"/>
      <c r="H340" s="31" t="n"/>
      <c r="I340" s="23" t="n"/>
      <c r="J340" s="56" t="n"/>
      <c r="K340" s="22" t="n"/>
      <c r="L340" s="22" t="n"/>
      <c r="M340" s="22" t="n"/>
      <c r="N340" s="22" t="n"/>
      <c r="O340" s="22" t="n"/>
      <c r="P340" s="23" t="n"/>
      <c r="Q340" s="65" t="n"/>
      <c r="R340" s="65" t="n"/>
      <c r="S340" s="55" t="n"/>
      <c r="T340" s="55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</row>
    <row r="341" ht="51.75" customHeight="1" s="211">
      <c r="A341" s="55" t="n"/>
      <c r="B341" s="12" t="n"/>
      <c r="C341" s="55">
        <f>'Sales Candence'!B341</f>
        <v/>
      </c>
      <c r="D341" s="71" t="n"/>
      <c r="E341" s="71" t="n"/>
      <c r="F341" s="22" t="n"/>
      <c r="G341" s="22" t="n"/>
      <c r="H341" s="31" t="n"/>
      <c r="I341" s="23" t="n"/>
      <c r="J341" s="56" t="n"/>
      <c r="K341" s="22" t="n"/>
      <c r="L341" s="22" t="n"/>
      <c r="M341" s="22" t="n"/>
      <c r="N341" s="22" t="n"/>
      <c r="O341" s="22" t="n"/>
      <c r="P341" s="23" t="n"/>
      <c r="Q341" s="65" t="n"/>
      <c r="R341" s="65" t="n"/>
      <c r="S341" s="55" t="n"/>
      <c r="T341" s="55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</row>
    <row r="342" ht="51.75" customHeight="1" s="211">
      <c r="A342" s="55" t="n"/>
      <c r="B342" s="12" t="n"/>
      <c r="C342" s="55">
        <f>'Sales Candence'!B342</f>
        <v/>
      </c>
      <c r="D342" s="71" t="n"/>
      <c r="E342" s="71" t="n"/>
      <c r="F342" s="22" t="n"/>
      <c r="G342" s="22" t="n"/>
      <c r="H342" s="31" t="n"/>
      <c r="I342" s="23" t="n"/>
      <c r="J342" s="56" t="n"/>
      <c r="K342" s="22" t="n"/>
      <c r="L342" s="22" t="n"/>
      <c r="M342" s="22" t="n"/>
      <c r="N342" s="22" t="n"/>
      <c r="O342" s="22" t="n"/>
      <c r="P342" s="23" t="n"/>
      <c r="Q342" s="65" t="n"/>
      <c r="R342" s="65" t="n"/>
      <c r="S342" s="55" t="n"/>
      <c r="T342" s="55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</row>
    <row r="343" ht="51.75" customHeight="1" s="211">
      <c r="A343" s="55" t="n"/>
      <c r="B343" s="12" t="n"/>
      <c r="C343" s="55">
        <f>'Sales Candence'!B343</f>
        <v/>
      </c>
      <c r="D343" s="71" t="n"/>
      <c r="E343" s="71" t="n"/>
      <c r="F343" s="22" t="n"/>
      <c r="G343" s="22" t="n"/>
      <c r="H343" s="31" t="n"/>
      <c r="I343" s="23" t="n"/>
      <c r="J343" s="56" t="n"/>
      <c r="K343" s="22" t="n"/>
      <c r="L343" s="22" t="n"/>
      <c r="M343" s="22" t="n"/>
      <c r="N343" s="22" t="n"/>
      <c r="O343" s="22" t="n"/>
      <c r="P343" s="23" t="n"/>
      <c r="Q343" s="65" t="n"/>
      <c r="R343" s="65" t="n"/>
      <c r="S343" s="55" t="n"/>
      <c r="T343" s="55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</row>
    <row r="344" ht="51.75" customHeight="1" s="211">
      <c r="A344" s="55" t="n"/>
      <c r="B344" s="12" t="n"/>
      <c r="C344" s="55">
        <f>'Sales Candence'!B344</f>
        <v/>
      </c>
      <c r="D344" s="71" t="n"/>
      <c r="E344" s="71" t="n"/>
      <c r="F344" s="22" t="n"/>
      <c r="G344" s="22" t="n"/>
      <c r="H344" s="31" t="n"/>
      <c r="I344" s="23" t="n"/>
      <c r="J344" s="56" t="n"/>
      <c r="K344" s="22" t="n"/>
      <c r="L344" s="22" t="n"/>
      <c r="M344" s="22" t="n"/>
      <c r="N344" s="22" t="n"/>
      <c r="O344" s="22" t="n"/>
      <c r="P344" s="23" t="n"/>
      <c r="Q344" s="65" t="n"/>
      <c r="R344" s="65" t="n"/>
      <c r="S344" s="55" t="n"/>
      <c r="T344" s="55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</row>
    <row r="345" ht="51.75" customHeight="1" s="211">
      <c r="A345" s="55" t="n"/>
      <c r="B345" s="12" t="n"/>
      <c r="C345" s="55">
        <f>'Sales Candence'!B345</f>
        <v/>
      </c>
      <c r="D345" s="71" t="n"/>
      <c r="E345" s="71" t="n"/>
      <c r="F345" s="22" t="n"/>
      <c r="G345" s="22" t="n"/>
      <c r="H345" s="31" t="n"/>
      <c r="I345" s="23" t="n"/>
      <c r="J345" s="56" t="n"/>
      <c r="K345" s="22" t="n"/>
      <c r="L345" s="22" t="n"/>
      <c r="M345" s="22" t="n"/>
      <c r="N345" s="22" t="n"/>
      <c r="O345" s="22" t="n"/>
      <c r="P345" s="23" t="n"/>
      <c r="Q345" s="65" t="n"/>
      <c r="R345" s="65" t="n"/>
      <c r="S345" s="55" t="n"/>
      <c r="T345" s="55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</row>
    <row r="346" ht="51.75" customHeight="1" s="211">
      <c r="A346" s="55" t="n"/>
      <c r="B346" s="12" t="n"/>
      <c r="C346" s="55">
        <f>'Sales Candence'!B346</f>
        <v/>
      </c>
      <c r="D346" s="71" t="n"/>
      <c r="E346" s="71" t="n"/>
      <c r="F346" s="22" t="n"/>
      <c r="G346" s="22" t="n"/>
      <c r="H346" s="31" t="n"/>
      <c r="I346" s="23" t="n"/>
      <c r="J346" s="56" t="n"/>
      <c r="K346" s="22" t="n"/>
      <c r="L346" s="22" t="n"/>
      <c r="M346" s="22" t="n"/>
      <c r="N346" s="22" t="n"/>
      <c r="O346" s="22" t="n"/>
      <c r="P346" s="23" t="n"/>
      <c r="Q346" s="65" t="n"/>
      <c r="R346" s="65" t="n"/>
      <c r="S346" s="55" t="n"/>
      <c r="T346" s="55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</row>
    <row r="347" ht="51.75" customHeight="1" s="211">
      <c r="A347" s="55" t="n"/>
      <c r="B347" s="12" t="n"/>
      <c r="C347" s="55">
        <f>'Sales Candence'!B347</f>
        <v/>
      </c>
      <c r="D347" s="71" t="n"/>
      <c r="E347" s="71" t="n"/>
      <c r="F347" s="22" t="n"/>
      <c r="G347" s="22" t="n"/>
      <c r="H347" s="31" t="n"/>
      <c r="I347" s="23" t="n"/>
      <c r="J347" s="56" t="n"/>
      <c r="K347" s="22" t="n"/>
      <c r="L347" s="22" t="n"/>
      <c r="M347" s="22" t="n"/>
      <c r="N347" s="22" t="n"/>
      <c r="O347" s="22" t="n"/>
      <c r="P347" s="23" t="n"/>
      <c r="Q347" s="65" t="n"/>
      <c r="R347" s="65" t="n"/>
      <c r="S347" s="55" t="n"/>
      <c r="T347" s="55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</row>
    <row r="348" ht="51.75" customHeight="1" s="211">
      <c r="A348" s="55" t="n"/>
      <c r="B348" s="12" t="n"/>
      <c r="C348" s="55">
        <f>'Sales Candence'!B348</f>
        <v/>
      </c>
      <c r="D348" s="71" t="n"/>
      <c r="E348" s="71" t="n"/>
      <c r="F348" s="22" t="n"/>
      <c r="G348" s="22" t="n"/>
      <c r="H348" s="31" t="n"/>
      <c r="I348" s="23" t="n"/>
      <c r="J348" s="56" t="n"/>
      <c r="K348" s="22" t="n"/>
      <c r="L348" s="22" t="n"/>
      <c r="M348" s="22" t="n"/>
      <c r="N348" s="22" t="n"/>
      <c r="O348" s="22" t="n"/>
      <c r="P348" s="23" t="n"/>
      <c r="Q348" s="65" t="n"/>
      <c r="R348" s="65" t="n"/>
      <c r="S348" s="55" t="n"/>
      <c r="T348" s="55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</row>
    <row r="349" ht="51.75" customHeight="1" s="211">
      <c r="A349" s="55" t="n"/>
      <c r="B349" s="12" t="n"/>
      <c r="C349" s="55">
        <f>'Sales Candence'!B349</f>
        <v/>
      </c>
      <c r="D349" s="71" t="n"/>
      <c r="E349" s="71" t="n"/>
      <c r="F349" s="22" t="n"/>
      <c r="G349" s="22" t="n"/>
      <c r="H349" s="31" t="n"/>
      <c r="I349" s="23" t="n"/>
      <c r="J349" s="56" t="n"/>
      <c r="K349" s="22" t="n"/>
      <c r="L349" s="22" t="n"/>
      <c r="M349" s="22" t="n"/>
      <c r="N349" s="22" t="n"/>
      <c r="O349" s="22" t="n"/>
      <c r="P349" s="23" t="n"/>
      <c r="Q349" s="65" t="n"/>
      <c r="R349" s="65" t="n"/>
      <c r="S349" s="55" t="n"/>
      <c r="T349" s="55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</row>
    <row r="350" ht="51.75" customHeight="1" s="211">
      <c r="A350" s="55" t="n"/>
      <c r="B350" s="12" t="n"/>
      <c r="C350" s="55">
        <f>'Sales Candence'!B350</f>
        <v/>
      </c>
      <c r="D350" s="71" t="n"/>
      <c r="E350" s="71" t="n"/>
      <c r="F350" s="22" t="n"/>
      <c r="G350" s="22" t="n"/>
      <c r="H350" s="31" t="n"/>
      <c r="I350" s="23" t="n"/>
      <c r="J350" s="56" t="n"/>
      <c r="K350" s="22" t="n"/>
      <c r="L350" s="22" t="n"/>
      <c r="M350" s="22" t="n"/>
      <c r="N350" s="22" t="n"/>
      <c r="O350" s="22" t="n"/>
      <c r="P350" s="23" t="n"/>
      <c r="Q350" s="65" t="n"/>
      <c r="R350" s="65" t="n"/>
      <c r="S350" s="55" t="n"/>
      <c r="T350" s="55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</row>
    <row r="351" ht="51.75" customHeight="1" s="211">
      <c r="A351" s="55" t="n"/>
      <c r="B351" s="12" t="n"/>
      <c r="C351" s="55">
        <f>'Sales Candence'!B351</f>
        <v/>
      </c>
      <c r="D351" s="71" t="n"/>
      <c r="E351" s="71" t="n"/>
      <c r="F351" s="22" t="n"/>
      <c r="G351" s="22" t="n"/>
      <c r="H351" s="31" t="n"/>
      <c r="I351" s="23" t="n"/>
      <c r="J351" s="56" t="n"/>
      <c r="K351" s="22" t="n"/>
      <c r="L351" s="22" t="n"/>
      <c r="M351" s="22" t="n"/>
      <c r="N351" s="22" t="n"/>
      <c r="O351" s="22" t="n"/>
      <c r="P351" s="23" t="n"/>
      <c r="Q351" s="65" t="n"/>
      <c r="R351" s="65" t="n"/>
      <c r="S351" s="55" t="n"/>
      <c r="T351" s="55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</row>
    <row r="352" ht="51.75" customHeight="1" s="211">
      <c r="A352" s="55" t="n"/>
      <c r="B352" s="12" t="n"/>
      <c r="C352" s="55">
        <f>'Sales Candence'!B352</f>
        <v/>
      </c>
      <c r="D352" s="71" t="n"/>
      <c r="E352" s="71" t="n"/>
      <c r="F352" s="22" t="n"/>
      <c r="G352" s="22" t="n"/>
      <c r="H352" s="31" t="n"/>
      <c r="I352" s="23" t="n"/>
      <c r="J352" s="56" t="n"/>
      <c r="K352" s="22" t="n"/>
      <c r="L352" s="22" t="n"/>
      <c r="M352" s="22" t="n"/>
      <c r="N352" s="22" t="n"/>
      <c r="O352" s="22" t="n"/>
      <c r="P352" s="23" t="n"/>
      <c r="Q352" s="65" t="n"/>
      <c r="R352" s="65" t="n"/>
      <c r="S352" s="55" t="n"/>
      <c r="T352" s="55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</row>
    <row r="353" ht="51.75" customHeight="1" s="211">
      <c r="A353" s="55" t="n"/>
      <c r="B353" s="12" t="n"/>
      <c r="C353" s="55">
        <f>'Sales Candence'!B353</f>
        <v/>
      </c>
      <c r="D353" s="71" t="n"/>
      <c r="E353" s="71" t="n"/>
      <c r="F353" s="22" t="n"/>
      <c r="G353" s="22" t="n"/>
      <c r="H353" s="31" t="n"/>
      <c r="I353" s="23" t="n"/>
      <c r="J353" s="56" t="n"/>
      <c r="K353" s="22" t="n"/>
      <c r="L353" s="22" t="n"/>
      <c r="M353" s="22" t="n"/>
      <c r="N353" s="22" t="n"/>
      <c r="O353" s="22" t="n"/>
      <c r="P353" s="23" t="n"/>
      <c r="Q353" s="65" t="n"/>
      <c r="R353" s="65" t="n"/>
      <c r="S353" s="55" t="n"/>
      <c r="T353" s="55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</row>
    <row r="354" ht="51.75" customHeight="1" s="211">
      <c r="A354" s="55" t="n"/>
      <c r="B354" s="12" t="n"/>
      <c r="C354" s="55">
        <f>'Sales Candence'!B354</f>
        <v/>
      </c>
      <c r="D354" s="71" t="n"/>
      <c r="E354" s="71" t="n"/>
      <c r="F354" s="22" t="n"/>
      <c r="G354" s="22" t="n"/>
      <c r="H354" s="31" t="n"/>
      <c r="I354" s="23" t="n"/>
      <c r="J354" s="56" t="n"/>
      <c r="K354" s="22" t="n"/>
      <c r="L354" s="22" t="n"/>
      <c r="M354" s="22" t="n"/>
      <c r="N354" s="22" t="n"/>
      <c r="O354" s="22" t="n"/>
      <c r="P354" s="23" t="n"/>
      <c r="Q354" s="65" t="n"/>
      <c r="R354" s="65" t="n"/>
      <c r="S354" s="55" t="n"/>
      <c r="T354" s="55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</row>
    <row r="355" ht="51.75" customHeight="1" s="211">
      <c r="A355" s="55" t="n"/>
      <c r="B355" s="12" t="n"/>
      <c r="C355" s="55">
        <f>'Sales Candence'!B355</f>
        <v/>
      </c>
      <c r="D355" s="71" t="n"/>
      <c r="E355" s="71" t="n"/>
      <c r="F355" s="22" t="n"/>
      <c r="G355" s="22" t="n"/>
      <c r="H355" s="31" t="n"/>
      <c r="I355" s="23" t="n"/>
      <c r="J355" s="56" t="n"/>
      <c r="K355" s="22" t="n"/>
      <c r="L355" s="22" t="n"/>
      <c r="M355" s="22" t="n"/>
      <c r="N355" s="22" t="n"/>
      <c r="O355" s="22" t="n"/>
      <c r="P355" s="23" t="n"/>
      <c r="Q355" s="65" t="n"/>
      <c r="R355" s="65" t="n"/>
      <c r="S355" s="55" t="n"/>
      <c r="T355" s="55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</row>
    <row r="356" ht="51.75" customHeight="1" s="211">
      <c r="A356" s="55" t="n"/>
      <c r="B356" s="12" t="n"/>
      <c r="C356" s="55">
        <f>'Sales Candence'!B356</f>
        <v/>
      </c>
      <c r="D356" s="71" t="n"/>
      <c r="E356" s="71" t="n"/>
      <c r="F356" s="22" t="n"/>
      <c r="G356" s="22" t="n"/>
      <c r="H356" s="31" t="n"/>
      <c r="I356" s="23" t="n"/>
      <c r="J356" s="56" t="n"/>
      <c r="K356" s="22" t="n"/>
      <c r="L356" s="22" t="n"/>
      <c r="M356" s="22" t="n"/>
      <c r="N356" s="22" t="n"/>
      <c r="O356" s="22" t="n"/>
      <c r="P356" s="23" t="n"/>
      <c r="Q356" s="65" t="n"/>
      <c r="R356" s="65" t="n"/>
      <c r="S356" s="55" t="n"/>
      <c r="T356" s="55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</row>
    <row r="357" ht="51.75" customHeight="1" s="211">
      <c r="A357" s="55" t="n"/>
      <c r="B357" s="12" t="n"/>
      <c r="C357" s="55">
        <f>'Sales Candence'!B357</f>
        <v/>
      </c>
      <c r="D357" s="71" t="n"/>
      <c r="E357" s="71" t="n"/>
      <c r="F357" s="22" t="n"/>
      <c r="G357" s="22" t="n"/>
      <c r="H357" s="31" t="n"/>
      <c r="I357" s="23" t="n"/>
      <c r="J357" s="56" t="n"/>
      <c r="K357" s="22" t="n"/>
      <c r="L357" s="22" t="n"/>
      <c r="M357" s="22" t="n"/>
      <c r="N357" s="22" t="n"/>
      <c r="O357" s="22" t="n"/>
      <c r="P357" s="23" t="n"/>
      <c r="Q357" s="65" t="n"/>
      <c r="R357" s="65" t="n"/>
      <c r="S357" s="55" t="n"/>
      <c r="T357" s="55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</row>
    <row r="358" ht="51.75" customHeight="1" s="211">
      <c r="A358" s="55" t="n"/>
      <c r="B358" s="12" t="n"/>
      <c r="C358" s="55">
        <f>'Sales Candence'!B358</f>
        <v/>
      </c>
      <c r="D358" s="71" t="n"/>
      <c r="E358" s="71" t="n"/>
      <c r="F358" s="22" t="n"/>
      <c r="G358" s="22" t="n"/>
      <c r="H358" s="31" t="n"/>
      <c r="I358" s="23" t="n"/>
      <c r="J358" s="56" t="n"/>
      <c r="K358" s="22" t="n"/>
      <c r="L358" s="22" t="n"/>
      <c r="M358" s="22" t="n"/>
      <c r="N358" s="22" t="n"/>
      <c r="O358" s="22" t="n"/>
      <c r="P358" s="23" t="n"/>
      <c r="Q358" s="65" t="n"/>
      <c r="R358" s="65" t="n"/>
      <c r="S358" s="55" t="n"/>
      <c r="T358" s="55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</row>
    <row r="359" ht="51.75" customHeight="1" s="211">
      <c r="A359" s="55" t="n"/>
      <c r="B359" s="12" t="n"/>
      <c r="C359" s="55">
        <f>'Sales Candence'!B359</f>
        <v/>
      </c>
      <c r="D359" s="71" t="n"/>
      <c r="E359" s="71" t="n"/>
      <c r="F359" s="22" t="n"/>
      <c r="G359" s="22" t="n"/>
      <c r="H359" s="31" t="n"/>
      <c r="I359" s="23" t="n"/>
      <c r="J359" s="56" t="n"/>
      <c r="K359" s="22" t="n"/>
      <c r="L359" s="22" t="n"/>
      <c r="M359" s="22" t="n"/>
      <c r="N359" s="22" t="n"/>
      <c r="O359" s="22" t="n"/>
      <c r="P359" s="23" t="n"/>
      <c r="Q359" s="65" t="n"/>
      <c r="R359" s="65" t="n"/>
      <c r="S359" s="55" t="n"/>
      <c r="T359" s="55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</row>
    <row r="360" ht="51.75" customHeight="1" s="211">
      <c r="A360" s="55" t="n"/>
      <c r="B360" s="12" t="n"/>
      <c r="C360" s="55">
        <f>'Sales Candence'!B360</f>
        <v/>
      </c>
      <c r="D360" s="71" t="n"/>
      <c r="E360" s="71" t="n"/>
      <c r="F360" s="22" t="n"/>
      <c r="G360" s="22" t="n"/>
      <c r="H360" s="31" t="n"/>
      <c r="I360" s="23" t="n"/>
      <c r="J360" s="56" t="n"/>
      <c r="K360" s="22" t="n"/>
      <c r="L360" s="22" t="n"/>
      <c r="M360" s="22" t="n"/>
      <c r="N360" s="22" t="n"/>
      <c r="O360" s="22" t="n"/>
      <c r="P360" s="23" t="n"/>
      <c r="Q360" s="65" t="n"/>
      <c r="R360" s="65" t="n"/>
      <c r="S360" s="55" t="n"/>
      <c r="T360" s="55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</row>
    <row r="361" ht="51.75" customHeight="1" s="211">
      <c r="A361" s="55" t="n"/>
      <c r="B361" s="12" t="n"/>
      <c r="C361" s="55">
        <f>'Sales Candence'!B361</f>
        <v/>
      </c>
      <c r="D361" s="71" t="n"/>
      <c r="E361" s="71" t="n"/>
      <c r="F361" s="22" t="n"/>
      <c r="G361" s="22" t="n"/>
      <c r="H361" s="31" t="n"/>
      <c r="I361" s="23" t="n"/>
      <c r="J361" s="56" t="n"/>
      <c r="K361" s="22" t="n"/>
      <c r="L361" s="22" t="n"/>
      <c r="M361" s="22" t="n"/>
      <c r="N361" s="22" t="n"/>
      <c r="O361" s="22" t="n"/>
      <c r="P361" s="23" t="n"/>
      <c r="Q361" s="65" t="n"/>
      <c r="R361" s="65" t="n"/>
      <c r="S361" s="55" t="n"/>
      <c r="T361" s="55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</row>
    <row r="362" ht="51.75" customHeight="1" s="211">
      <c r="A362" s="55" t="n"/>
      <c r="B362" s="12" t="n"/>
      <c r="C362" s="55">
        <f>'Sales Candence'!B362</f>
        <v/>
      </c>
      <c r="D362" s="71" t="n"/>
      <c r="E362" s="71" t="n"/>
      <c r="F362" s="22" t="n"/>
      <c r="G362" s="22" t="n"/>
      <c r="H362" s="31" t="n"/>
      <c r="I362" s="23" t="n"/>
      <c r="J362" s="56" t="n"/>
      <c r="K362" s="22" t="n"/>
      <c r="L362" s="22" t="n"/>
      <c r="M362" s="22" t="n"/>
      <c r="N362" s="22" t="n"/>
      <c r="O362" s="22" t="n"/>
      <c r="P362" s="23" t="n"/>
      <c r="Q362" s="65" t="n"/>
      <c r="R362" s="65" t="n"/>
      <c r="S362" s="55" t="n"/>
      <c r="T362" s="55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</row>
    <row r="363" ht="51.75" customHeight="1" s="211">
      <c r="A363" s="55" t="n"/>
      <c r="B363" s="12" t="n"/>
      <c r="C363" s="55">
        <f>'Sales Candence'!B363</f>
        <v/>
      </c>
      <c r="D363" s="71" t="n"/>
      <c r="E363" s="71" t="n"/>
      <c r="F363" s="22" t="n"/>
      <c r="G363" s="22" t="n"/>
      <c r="H363" s="31" t="n"/>
      <c r="I363" s="23" t="n"/>
      <c r="J363" s="56" t="n"/>
      <c r="K363" s="22" t="n"/>
      <c r="L363" s="22" t="n"/>
      <c r="M363" s="22" t="n"/>
      <c r="N363" s="22" t="n"/>
      <c r="O363" s="22" t="n"/>
      <c r="P363" s="23" t="n"/>
      <c r="Q363" s="65" t="n"/>
      <c r="R363" s="65" t="n"/>
      <c r="S363" s="55" t="n"/>
      <c r="T363" s="55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</row>
    <row r="364" ht="51.75" customHeight="1" s="211">
      <c r="A364" s="55" t="n"/>
      <c r="B364" s="12" t="n"/>
      <c r="C364" s="55">
        <f>'Sales Candence'!B364</f>
        <v/>
      </c>
      <c r="D364" s="71" t="n"/>
      <c r="E364" s="71" t="n"/>
      <c r="F364" s="22" t="n"/>
      <c r="G364" s="22" t="n"/>
      <c r="H364" s="31" t="n"/>
      <c r="I364" s="23" t="n"/>
      <c r="J364" s="56" t="n"/>
      <c r="K364" s="22" t="n"/>
      <c r="L364" s="22" t="n"/>
      <c r="M364" s="22" t="n"/>
      <c r="N364" s="22" t="n"/>
      <c r="O364" s="22" t="n"/>
      <c r="P364" s="23" t="n"/>
      <c r="Q364" s="65" t="n"/>
      <c r="R364" s="65" t="n"/>
      <c r="S364" s="55" t="n"/>
      <c r="T364" s="55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</row>
    <row r="365" ht="51.75" customHeight="1" s="211">
      <c r="A365" s="55" t="n"/>
      <c r="B365" s="12" t="n"/>
      <c r="C365" s="55">
        <f>'Sales Candence'!B365</f>
        <v/>
      </c>
      <c r="D365" s="71" t="n"/>
      <c r="E365" s="71" t="n"/>
      <c r="F365" s="22" t="n"/>
      <c r="G365" s="22" t="n"/>
      <c r="H365" s="31" t="n"/>
      <c r="I365" s="23" t="n"/>
      <c r="J365" s="56" t="n"/>
      <c r="K365" s="22" t="n"/>
      <c r="L365" s="22" t="n"/>
      <c r="M365" s="22" t="n"/>
      <c r="N365" s="22" t="n"/>
      <c r="O365" s="22" t="n"/>
      <c r="P365" s="23" t="n"/>
      <c r="Q365" s="65" t="n"/>
      <c r="R365" s="65" t="n"/>
      <c r="S365" s="55" t="n"/>
      <c r="T365" s="55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</row>
    <row r="366" ht="51.75" customHeight="1" s="211">
      <c r="A366" s="55" t="n"/>
      <c r="B366" s="12" t="n"/>
      <c r="C366" s="55">
        <f>'Sales Candence'!B366</f>
        <v/>
      </c>
      <c r="D366" s="71" t="n"/>
      <c r="E366" s="71" t="n"/>
      <c r="F366" s="22" t="n"/>
      <c r="G366" s="22" t="n"/>
      <c r="H366" s="31" t="n"/>
      <c r="I366" s="23" t="n"/>
      <c r="J366" s="56" t="n"/>
      <c r="K366" s="22" t="n"/>
      <c r="L366" s="22" t="n"/>
      <c r="M366" s="22" t="n"/>
      <c r="N366" s="22" t="n"/>
      <c r="O366" s="22" t="n"/>
      <c r="P366" s="23" t="n"/>
      <c r="Q366" s="65" t="n"/>
      <c r="R366" s="65" t="n"/>
      <c r="S366" s="55" t="n"/>
      <c r="T366" s="55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</row>
    <row r="367" ht="51.75" customHeight="1" s="211">
      <c r="A367" s="55" t="n"/>
      <c r="B367" s="12" t="n"/>
      <c r="C367" s="55">
        <f>'Sales Candence'!B367</f>
        <v/>
      </c>
      <c r="D367" s="71" t="n"/>
      <c r="E367" s="71" t="n"/>
      <c r="F367" s="22" t="n"/>
      <c r="G367" s="22" t="n"/>
      <c r="H367" s="31" t="n"/>
      <c r="I367" s="23" t="n"/>
      <c r="J367" s="56" t="n"/>
      <c r="K367" s="22" t="n"/>
      <c r="L367" s="22" t="n"/>
      <c r="M367" s="22" t="n"/>
      <c r="N367" s="22" t="n"/>
      <c r="O367" s="22" t="n"/>
      <c r="P367" s="23" t="n"/>
      <c r="Q367" s="65" t="n"/>
      <c r="R367" s="65" t="n"/>
      <c r="S367" s="55" t="n"/>
      <c r="T367" s="55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</row>
    <row r="368" ht="51.75" customHeight="1" s="211">
      <c r="A368" s="55" t="n"/>
      <c r="B368" s="12" t="n"/>
      <c r="C368" s="55">
        <f>'Sales Candence'!B368</f>
        <v/>
      </c>
      <c r="D368" s="71" t="n"/>
      <c r="E368" s="71" t="n"/>
      <c r="F368" s="22" t="n"/>
      <c r="G368" s="22" t="n"/>
      <c r="H368" s="31" t="n"/>
      <c r="I368" s="23" t="n"/>
      <c r="J368" s="56" t="n"/>
      <c r="K368" s="22" t="n"/>
      <c r="L368" s="22" t="n"/>
      <c r="M368" s="22" t="n"/>
      <c r="N368" s="22" t="n"/>
      <c r="O368" s="22" t="n"/>
      <c r="P368" s="23" t="n"/>
      <c r="Q368" s="65" t="n"/>
      <c r="R368" s="65" t="n"/>
      <c r="S368" s="55" t="n"/>
      <c r="T368" s="55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</row>
    <row r="369" ht="51.75" customHeight="1" s="211">
      <c r="A369" s="55" t="n"/>
      <c r="B369" s="12" t="n"/>
      <c r="C369" s="55">
        <f>'Sales Candence'!B369</f>
        <v/>
      </c>
      <c r="D369" s="71" t="n"/>
      <c r="E369" s="71" t="n"/>
      <c r="F369" s="22" t="n"/>
      <c r="G369" s="22" t="n"/>
      <c r="H369" s="31" t="n"/>
      <c r="I369" s="23" t="n"/>
      <c r="J369" s="56" t="n"/>
      <c r="K369" s="22" t="n"/>
      <c r="L369" s="22" t="n"/>
      <c r="M369" s="22" t="n"/>
      <c r="N369" s="22" t="n"/>
      <c r="O369" s="22" t="n"/>
      <c r="P369" s="23" t="n"/>
      <c r="Q369" s="65" t="n"/>
      <c r="R369" s="65" t="n"/>
      <c r="S369" s="55" t="n"/>
      <c r="T369" s="55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</row>
    <row r="370" ht="51.75" customHeight="1" s="211">
      <c r="A370" s="55" t="n"/>
      <c r="B370" s="12" t="n"/>
      <c r="C370" s="55">
        <f>'Sales Candence'!B370</f>
        <v/>
      </c>
      <c r="D370" s="71" t="n"/>
      <c r="E370" s="71" t="n"/>
      <c r="F370" s="22" t="n"/>
      <c r="G370" s="22" t="n"/>
      <c r="H370" s="31" t="n"/>
      <c r="I370" s="23" t="n"/>
      <c r="J370" s="56" t="n"/>
      <c r="K370" s="22" t="n"/>
      <c r="L370" s="22" t="n"/>
      <c r="M370" s="22" t="n"/>
      <c r="N370" s="22" t="n"/>
      <c r="O370" s="22" t="n"/>
      <c r="P370" s="23" t="n"/>
      <c r="Q370" s="65" t="n"/>
      <c r="R370" s="65" t="n"/>
      <c r="S370" s="55" t="n"/>
      <c r="T370" s="55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</row>
    <row r="371" ht="51.75" customHeight="1" s="211">
      <c r="A371" s="55" t="n"/>
      <c r="B371" s="12" t="n"/>
      <c r="C371" s="55">
        <f>'Sales Candence'!B371</f>
        <v/>
      </c>
      <c r="D371" s="71" t="n"/>
      <c r="E371" s="71" t="n"/>
      <c r="F371" s="22" t="n"/>
      <c r="G371" s="22" t="n"/>
      <c r="H371" s="31" t="n"/>
      <c r="I371" s="23" t="n"/>
      <c r="J371" s="56" t="n"/>
      <c r="K371" s="22" t="n"/>
      <c r="L371" s="22" t="n"/>
      <c r="M371" s="22" t="n"/>
      <c r="N371" s="22" t="n"/>
      <c r="O371" s="22" t="n"/>
      <c r="P371" s="23" t="n"/>
      <c r="Q371" s="65" t="n"/>
      <c r="R371" s="65" t="n"/>
      <c r="S371" s="55" t="n"/>
      <c r="T371" s="55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</row>
    <row r="372" ht="51.75" customHeight="1" s="211">
      <c r="A372" s="55" t="n"/>
      <c r="B372" s="12" t="n"/>
      <c r="C372" s="55">
        <f>'Sales Candence'!B372</f>
        <v/>
      </c>
      <c r="D372" s="71" t="n"/>
      <c r="E372" s="71" t="n"/>
      <c r="F372" s="22" t="n"/>
      <c r="G372" s="22" t="n"/>
      <c r="H372" s="31" t="n"/>
      <c r="I372" s="23" t="n"/>
      <c r="J372" s="56" t="n"/>
      <c r="K372" s="22" t="n"/>
      <c r="L372" s="22" t="n"/>
      <c r="M372" s="22" t="n"/>
      <c r="N372" s="22" t="n"/>
      <c r="O372" s="22" t="n"/>
      <c r="P372" s="23" t="n"/>
      <c r="Q372" s="65" t="n"/>
      <c r="R372" s="65" t="n"/>
      <c r="S372" s="55" t="n"/>
      <c r="T372" s="55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</row>
    <row r="373" ht="51.75" customHeight="1" s="211">
      <c r="A373" s="55" t="n"/>
      <c r="B373" s="12" t="n"/>
      <c r="C373" s="55">
        <f>'Sales Candence'!B373</f>
        <v/>
      </c>
      <c r="D373" s="71" t="n"/>
      <c r="E373" s="71" t="n"/>
      <c r="F373" s="22" t="n"/>
      <c r="G373" s="22" t="n"/>
      <c r="H373" s="31" t="n"/>
      <c r="I373" s="23" t="n"/>
      <c r="J373" s="56" t="n"/>
      <c r="K373" s="22" t="n"/>
      <c r="L373" s="22" t="n"/>
      <c r="M373" s="22" t="n"/>
      <c r="N373" s="22" t="n"/>
      <c r="O373" s="22" t="n"/>
      <c r="P373" s="23" t="n"/>
      <c r="Q373" s="65" t="n"/>
      <c r="R373" s="65" t="n"/>
      <c r="S373" s="55" t="n"/>
      <c r="T373" s="55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</row>
    <row r="374" ht="51.75" customHeight="1" s="211">
      <c r="A374" s="55" t="n"/>
      <c r="B374" s="12" t="n"/>
      <c r="C374" s="55">
        <f>'Sales Candence'!B374</f>
        <v/>
      </c>
      <c r="D374" s="71" t="n"/>
      <c r="E374" s="71" t="n"/>
      <c r="F374" s="22" t="n"/>
      <c r="G374" s="22" t="n"/>
      <c r="H374" s="31" t="n"/>
      <c r="I374" s="23" t="n"/>
      <c r="J374" s="56" t="n"/>
      <c r="K374" s="22" t="n"/>
      <c r="L374" s="22" t="n"/>
      <c r="M374" s="22" t="n"/>
      <c r="N374" s="22" t="n"/>
      <c r="O374" s="22" t="n"/>
      <c r="P374" s="23" t="n"/>
      <c r="Q374" s="65" t="n"/>
      <c r="R374" s="65" t="n"/>
      <c r="S374" s="55" t="n"/>
      <c r="T374" s="55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</row>
    <row r="375" ht="51.75" customHeight="1" s="211">
      <c r="A375" s="55" t="n"/>
      <c r="B375" s="12" t="n"/>
      <c r="C375" s="55">
        <f>'Sales Candence'!B375</f>
        <v/>
      </c>
      <c r="D375" s="71" t="n"/>
      <c r="E375" s="71" t="n"/>
      <c r="F375" s="22" t="n"/>
      <c r="G375" s="22" t="n"/>
      <c r="H375" s="31" t="n"/>
      <c r="I375" s="23" t="n"/>
      <c r="J375" s="56" t="n"/>
      <c r="K375" s="22" t="n"/>
      <c r="L375" s="22" t="n"/>
      <c r="M375" s="22" t="n"/>
      <c r="N375" s="22" t="n"/>
      <c r="O375" s="22" t="n"/>
      <c r="P375" s="23" t="n"/>
      <c r="Q375" s="65" t="n"/>
      <c r="R375" s="65" t="n"/>
      <c r="S375" s="55" t="n"/>
      <c r="T375" s="55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</row>
    <row r="376" ht="51.75" customHeight="1" s="211">
      <c r="A376" s="55" t="n"/>
      <c r="B376" s="12" t="n"/>
      <c r="C376" s="55">
        <f>'Sales Candence'!B376</f>
        <v/>
      </c>
      <c r="D376" s="71" t="n"/>
      <c r="E376" s="71" t="n"/>
      <c r="F376" s="22" t="n"/>
      <c r="G376" s="22" t="n"/>
      <c r="H376" s="31" t="n"/>
      <c r="I376" s="23" t="n"/>
      <c r="J376" s="56" t="n"/>
      <c r="K376" s="22" t="n"/>
      <c r="L376" s="22" t="n"/>
      <c r="M376" s="22" t="n"/>
      <c r="N376" s="22" t="n"/>
      <c r="O376" s="22" t="n"/>
      <c r="P376" s="23" t="n"/>
      <c r="Q376" s="65" t="n"/>
      <c r="R376" s="65" t="n"/>
      <c r="S376" s="55" t="n"/>
      <c r="T376" s="55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</row>
    <row r="377" ht="51.75" customHeight="1" s="211">
      <c r="A377" s="55" t="n"/>
      <c r="B377" s="12" t="n"/>
      <c r="C377" s="55">
        <f>'Sales Candence'!B377</f>
        <v/>
      </c>
      <c r="D377" s="71" t="n"/>
      <c r="E377" s="71" t="n"/>
      <c r="F377" s="22" t="n"/>
      <c r="G377" s="22" t="n"/>
      <c r="H377" s="31" t="n"/>
      <c r="I377" s="23" t="n"/>
      <c r="J377" s="56" t="n"/>
      <c r="K377" s="22" t="n"/>
      <c r="L377" s="22" t="n"/>
      <c r="M377" s="22" t="n"/>
      <c r="N377" s="22" t="n"/>
      <c r="O377" s="22" t="n"/>
      <c r="P377" s="23" t="n"/>
      <c r="Q377" s="65" t="n"/>
      <c r="R377" s="65" t="n"/>
      <c r="S377" s="55" t="n"/>
      <c r="T377" s="55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</row>
    <row r="378" ht="51.75" customHeight="1" s="211">
      <c r="A378" s="55" t="n"/>
      <c r="B378" s="12" t="n"/>
      <c r="C378" s="55">
        <f>'Sales Candence'!B378</f>
        <v/>
      </c>
      <c r="D378" s="71" t="n"/>
      <c r="E378" s="71" t="n"/>
      <c r="F378" s="22" t="n"/>
      <c r="G378" s="22" t="n"/>
      <c r="H378" s="31" t="n"/>
      <c r="I378" s="23" t="n"/>
      <c r="J378" s="56" t="n"/>
      <c r="K378" s="22" t="n"/>
      <c r="L378" s="22" t="n"/>
      <c r="M378" s="22" t="n"/>
      <c r="N378" s="22" t="n"/>
      <c r="O378" s="22" t="n"/>
      <c r="P378" s="23" t="n"/>
      <c r="Q378" s="65" t="n"/>
      <c r="R378" s="65" t="n"/>
      <c r="S378" s="55" t="n"/>
      <c r="T378" s="55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</row>
    <row r="379" ht="51.75" customHeight="1" s="211">
      <c r="A379" s="55" t="n"/>
      <c r="B379" s="12" t="n"/>
      <c r="C379" s="55">
        <f>'Sales Candence'!B379</f>
        <v/>
      </c>
      <c r="D379" s="71" t="n"/>
      <c r="E379" s="71" t="n"/>
      <c r="F379" s="22" t="n"/>
      <c r="G379" s="22" t="n"/>
      <c r="H379" s="31" t="n"/>
      <c r="I379" s="23" t="n"/>
      <c r="J379" s="56" t="n"/>
      <c r="K379" s="22" t="n"/>
      <c r="L379" s="22" t="n"/>
      <c r="M379" s="22" t="n"/>
      <c r="N379" s="22" t="n"/>
      <c r="O379" s="22" t="n"/>
      <c r="P379" s="23" t="n"/>
      <c r="Q379" s="65" t="n"/>
      <c r="R379" s="65" t="n"/>
      <c r="S379" s="55" t="n"/>
      <c r="T379" s="55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</row>
    <row r="380" ht="51.75" customHeight="1" s="211">
      <c r="A380" s="55" t="n"/>
      <c r="B380" s="12" t="n"/>
      <c r="C380" s="55">
        <f>'Sales Candence'!B380</f>
        <v/>
      </c>
      <c r="D380" s="71" t="n"/>
      <c r="E380" s="71" t="n"/>
      <c r="F380" s="22" t="n"/>
      <c r="G380" s="22" t="n"/>
      <c r="H380" s="31" t="n"/>
      <c r="I380" s="23" t="n"/>
      <c r="J380" s="56" t="n"/>
      <c r="K380" s="22" t="n"/>
      <c r="L380" s="22" t="n"/>
      <c r="M380" s="22" t="n"/>
      <c r="N380" s="22" t="n"/>
      <c r="O380" s="22" t="n"/>
      <c r="P380" s="23" t="n"/>
      <c r="Q380" s="65" t="n"/>
      <c r="R380" s="65" t="n"/>
      <c r="S380" s="55" t="n"/>
      <c r="T380" s="55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</row>
    <row r="381" ht="51.75" customHeight="1" s="211">
      <c r="A381" s="55" t="n"/>
      <c r="B381" s="12" t="n"/>
      <c r="C381" s="55">
        <f>'Sales Candence'!B381</f>
        <v/>
      </c>
      <c r="D381" s="71" t="n"/>
      <c r="E381" s="71" t="n"/>
      <c r="F381" s="22" t="n"/>
      <c r="G381" s="22" t="n"/>
      <c r="H381" s="31" t="n"/>
      <c r="I381" s="23" t="n"/>
      <c r="J381" s="56" t="n"/>
      <c r="K381" s="22" t="n"/>
      <c r="L381" s="22" t="n"/>
      <c r="M381" s="22" t="n"/>
      <c r="N381" s="22" t="n"/>
      <c r="O381" s="22" t="n"/>
      <c r="P381" s="23" t="n"/>
      <c r="Q381" s="65" t="n"/>
      <c r="R381" s="65" t="n"/>
      <c r="S381" s="55" t="n"/>
      <c r="T381" s="55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</row>
    <row r="382" ht="51.75" customHeight="1" s="211">
      <c r="A382" s="55" t="n"/>
      <c r="B382" s="12" t="n"/>
      <c r="C382" s="55">
        <f>'Sales Candence'!B382</f>
        <v/>
      </c>
      <c r="D382" s="71" t="n"/>
      <c r="E382" s="71" t="n"/>
      <c r="F382" s="22" t="n"/>
      <c r="G382" s="22" t="n"/>
      <c r="H382" s="31" t="n"/>
      <c r="I382" s="23" t="n"/>
      <c r="J382" s="56" t="n"/>
      <c r="K382" s="22" t="n"/>
      <c r="L382" s="22" t="n"/>
      <c r="M382" s="22" t="n"/>
      <c r="N382" s="22" t="n"/>
      <c r="O382" s="22" t="n"/>
      <c r="P382" s="23" t="n"/>
      <c r="Q382" s="65" t="n"/>
      <c r="R382" s="65" t="n"/>
      <c r="S382" s="55" t="n"/>
      <c r="T382" s="55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</row>
    <row r="383" ht="51.75" customHeight="1" s="211">
      <c r="A383" s="55" t="n"/>
      <c r="B383" s="12" t="n"/>
      <c r="C383" s="55">
        <f>'Sales Candence'!B383</f>
        <v/>
      </c>
      <c r="D383" s="71" t="n"/>
      <c r="E383" s="71" t="n"/>
      <c r="F383" s="22" t="n"/>
      <c r="G383" s="22" t="n"/>
      <c r="H383" s="31" t="n"/>
      <c r="I383" s="23" t="n"/>
      <c r="J383" s="56" t="n"/>
      <c r="K383" s="22" t="n"/>
      <c r="L383" s="22" t="n"/>
      <c r="M383" s="22" t="n"/>
      <c r="N383" s="22" t="n"/>
      <c r="O383" s="22" t="n"/>
      <c r="P383" s="23" t="n"/>
      <c r="Q383" s="65" t="n"/>
      <c r="R383" s="65" t="n"/>
      <c r="S383" s="55" t="n"/>
      <c r="T383" s="55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</row>
    <row r="384" ht="51.75" customHeight="1" s="211">
      <c r="A384" s="55" t="n"/>
      <c r="B384" s="12" t="n"/>
      <c r="C384" s="55">
        <f>'Sales Candence'!B384</f>
        <v/>
      </c>
      <c r="D384" s="71" t="n"/>
      <c r="E384" s="71" t="n"/>
      <c r="F384" s="22" t="n"/>
      <c r="G384" s="22" t="n"/>
      <c r="H384" s="31" t="n"/>
      <c r="I384" s="23" t="n"/>
      <c r="J384" s="56" t="n"/>
      <c r="K384" s="22" t="n"/>
      <c r="L384" s="22" t="n"/>
      <c r="M384" s="22" t="n"/>
      <c r="N384" s="22" t="n"/>
      <c r="O384" s="22" t="n"/>
      <c r="P384" s="23" t="n"/>
      <c r="Q384" s="65" t="n"/>
      <c r="R384" s="65" t="n"/>
      <c r="S384" s="55" t="n"/>
      <c r="T384" s="55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</row>
    <row r="385" ht="51.75" customHeight="1" s="211">
      <c r="A385" s="55" t="n"/>
      <c r="B385" s="12" t="n"/>
      <c r="C385" s="55">
        <f>'Sales Candence'!B385</f>
        <v/>
      </c>
      <c r="D385" s="71" t="n"/>
      <c r="E385" s="71" t="n"/>
      <c r="F385" s="22" t="n"/>
      <c r="G385" s="22" t="n"/>
      <c r="H385" s="31" t="n"/>
      <c r="I385" s="23" t="n"/>
      <c r="J385" s="56" t="n"/>
      <c r="K385" s="22" t="n"/>
      <c r="L385" s="22" t="n"/>
      <c r="M385" s="22" t="n"/>
      <c r="N385" s="22" t="n"/>
      <c r="O385" s="22" t="n"/>
      <c r="P385" s="23" t="n"/>
      <c r="Q385" s="65" t="n"/>
      <c r="R385" s="65" t="n"/>
      <c r="S385" s="55" t="n"/>
      <c r="T385" s="55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</row>
    <row r="386" ht="51.75" customHeight="1" s="211">
      <c r="A386" s="55" t="n"/>
      <c r="B386" s="12" t="n"/>
      <c r="C386" s="55">
        <f>'Sales Candence'!B386</f>
        <v/>
      </c>
      <c r="D386" s="71" t="n"/>
      <c r="E386" s="71" t="n"/>
      <c r="F386" s="22" t="n"/>
      <c r="G386" s="22" t="n"/>
      <c r="H386" s="31" t="n"/>
      <c r="I386" s="23" t="n"/>
      <c r="J386" s="56" t="n"/>
      <c r="K386" s="22" t="n"/>
      <c r="L386" s="22" t="n"/>
      <c r="M386" s="22" t="n"/>
      <c r="N386" s="22" t="n"/>
      <c r="O386" s="22" t="n"/>
      <c r="P386" s="23" t="n"/>
      <c r="Q386" s="65" t="n"/>
      <c r="R386" s="65" t="n"/>
      <c r="S386" s="55" t="n"/>
      <c r="T386" s="55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</row>
    <row r="387" ht="51.75" customHeight="1" s="211">
      <c r="A387" s="55" t="n"/>
      <c r="B387" s="12" t="n"/>
      <c r="C387" s="55">
        <f>'Sales Candence'!B387</f>
        <v/>
      </c>
      <c r="D387" s="71" t="n"/>
      <c r="E387" s="71" t="n"/>
      <c r="F387" s="22" t="n"/>
      <c r="G387" s="22" t="n"/>
      <c r="H387" s="31" t="n"/>
      <c r="I387" s="23" t="n"/>
      <c r="J387" s="56" t="n"/>
      <c r="K387" s="22" t="n"/>
      <c r="L387" s="22" t="n"/>
      <c r="M387" s="22" t="n"/>
      <c r="N387" s="22" t="n"/>
      <c r="O387" s="22" t="n"/>
      <c r="P387" s="23" t="n"/>
      <c r="Q387" s="65" t="n"/>
      <c r="R387" s="65" t="n"/>
      <c r="S387" s="55" t="n"/>
      <c r="T387" s="55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</row>
    <row r="388" ht="51.75" customHeight="1" s="211">
      <c r="A388" s="55" t="n"/>
      <c r="B388" s="12" t="n"/>
      <c r="C388" s="55">
        <f>'Sales Candence'!B388</f>
        <v/>
      </c>
      <c r="D388" s="71" t="n"/>
      <c r="E388" s="71" t="n"/>
      <c r="F388" s="22" t="n"/>
      <c r="G388" s="22" t="n"/>
      <c r="H388" s="31" t="n"/>
      <c r="I388" s="23" t="n"/>
      <c r="J388" s="56" t="n"/>
      <c r="K388" s="22" t="n"/>
      <c r="L388" s="22" t="n"/>
      <c r="M388" s="22" t="n"/>
      <c r="N388" s="22" t="n"/>
      <c r="O388" s="22" t="n"/>
      <c r="P388" s="23" t="n"/>
      <c r="Q388" s="65" t="n"/>
      <c r="R388" s="65" t="n"/>
      <c r="S388" s="55" t="n"/>
      <c r="T388" s="55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</row>
    <row r="389" ht="51.75" customHeight="1" s="211">
      <c r="A389" s="55" t="n"/>
      <c r="B389" s="12" t="n"/>
      <c r="C389" s="55">
        <f>'Sales Candence'!B389</f>
        <v/>
      </c>
      <c r="D389" s="71" t="n"/>
      <c r="E389" s="71" t="n"/>
      <c r="F389" s="22" t="n"/>
      <c r="G389" s="22" t="n"/>
      <c r="H389" s="31" t="n"/>
      <c r="I389" s="23" t="n"/>
      <c r="J389" s="56" t="n"/>
      <c r="K389" s="22" t="n"/>
      <c r="L389" s="22" t="n"/>
      <c r="M389" s="22" t="n"/>
      <c r="N389" s="22" t="n"/>
      <c r="O389" s="22" t="n"/>
      <c r="P389" s="23" t="n"/>
      <c r="Q389" s="65" t="n"/>
      <c r="R389" s="65" t="n"/>
      <c r="S389" s="55" t="n"/>
      <c r="T389" s="55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</row>
    <row r="390" ht="51.75" customHeight="1" s="211">
      <c r="A390" s="55" t="n"/>
      <c r="B390" s="12" t="n"/>
      <c r="C390" s="55">
        <f>'Sales Candence'!B390</f>
        <v/>
      </c>
      <c r="D390" s="71" t="n"/>
      <c r="E390" s="71" t="n"/>
      <c r="F390" s="22" t="n"/>
      <c r="G390" s="22" t="n"/>
      <c r="H390" s="31" t="n"/>
      <c r="I390" s="23" t="n"/>
      <c r="J390" s="56" t="n"/>
      <c r="K390" s="22" t="n"/>
      <c r="L390" s="22" t="n"/>
      <c r="M390" s="22" t="n"/>
      <c r="N390" s="22" t="n"/>
      <c r="O390" s="22" t="n"/>
      <c r="P390" s="23" t="n"/>
      <c r="Q390" s="65" t="n"/>
      <c r="R390" s="65" t="n"/>
      <c r="S390" s="55" t="n"/>
      <c r="T390" s="55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</row>
    <row r="391" ht="51.75" customHeight="1" s="211">
      <c r="A391" s="55" t="n"/>
      <c r="B391" s="12" t="n"/>
      <c r="C391" s="55">
        <f>'Sales Candence'!B391</f>
        <v/>
      </c>
      <c r="D391" s="71" t="n"/>
      <c r="E391" s="71" t="n"/>
      <c r="F391" s="22" t="n"/>
      <c r="G391" s="22" t="n"/>
      <c r="H391" s="31" t="n"/>
      <c r="I391" s="23" t="n"/>
      <c r="J391" s="56" t="n"/>
      <c r="K391" s="22" t="n"/>
      <c r="L391" s="22" t="n"/>
      <c r="M391" s="22" t="n"/>
      <c r="N391" s="22" t="n"/>
      <c r="O391" s="22" t="n"/>
      <c r="P391" s="23" t="n"/>
      <c r="Q391" s="65" t="n"/>
      <c r="R391" s="65" t="n"/>
      <c r="S391" s="55" t="n"/>
      <c r="T391" s="55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</row>
    <row r="392" ht="51.75" customHeight="1" s="211">
      <c r="A392" s="55" t="n"/>
      <c r="B392" s="12" t="n"/>
      <c r="C392" s="55">
        <f>'Sales Candence'!B392</f>
        <v/>
      </c>
      <c r="D392" s="71" t="n"/>
      <c r="E392" s="71" t="n"/>
      <c r="F392" s="22" t="n"/>
      <c r="G392" s="22" t="n"/>
      <c r="H392" s="31" t="n"/>
      <c r="I392" s="23" t="n"/>
      <c r="J392" s="56" t="n"/>
      <c r="K392" s="22" t="n"/>
      <c r="L392" s="22" t="n"/>
      <c r="M392" s="22" t="n"/>
      <c r="N392" s="22" t="n"/>
      <c r="O392" s="22" t="n"/>
      <c r="P392" s="23" t="n"/>
      <c r="Q392" s="65" t="n"/>
      <c r="R392" s="65" t="n"/>
      <c r="S392" s="55" t="n"/>
      <c r="T392" s="55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</row>
    <row r="393" ht="51.75" customHeight="1" s="211">
      <c r="A393" s="55" t="n"/>
      <c r="B393" s="12" t="n"/>
      <c r="C393" s="55">
        <f>'Sales Candence'!B393</f>
        <v/>
      </c>
      <c r="D393" s="71" t="n"/>
      <c r="E393" s="71" t="n"/>
      <c r="F393" s="22" t="n"/>
      <c r="G393" s="22" t="n"/>
      <c r="H393" s="31" t="n"/>
      <c r="I393" s="23" t="n"/>
      <c r="J393" s="56" t="n"/>
      <c r="K393" s="22" t="n"/>
      <c r="L393" s="22" t="n"/>
      <c r="M393" s="22" t="n"/>
      <c r="N393" s="22" t="n"/>
      <c r="O393" s="22" t="n"/>
      <c r="P393" s="23" t="n"/>
      <c r="Q393" s="65" t="n"/>
      <c r="R393" s="65" t="n"/>
      <c r="S393" s="55" t="n"/>
      <c r="T393" s="55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</row>
    <row r="394" ht="51.75" customHeight="1" s="211">
      <c r="A394" s="55" t="n"/>
      <c r="B394" s="12" t="n"/>
      <c r="C394" s="55">
        <f>'Sales Candence'!B394</f>
        <v/>
      </c>
      <c r="D394" s="71" t="n"/>
      <c r="E394" s="71" t="n"/>
      <c r="F394" s="22" t="n"/>
      <c r="G394" s="22" t="n"/>
      <c r="H394" s="31" t="n"/>
      <c r="I394" s="23" t="n"/>
      <c r="J394" s="56" t="n"/>
      <c r="K394" s="22" t="n"/>
      <c r="L394" s="22" t="n"/>
      <c r="M394" s="22" t="n"/>
      <c r="N394" s="22" t="n"/>
      <c r="O394" s="22" t="n"/>
      <c r="P394" s="23" t="n"/>
      <c r="Q394" s="65" t="n"/>
      <c r="R394" s="65" t="n"/>
      <c r="S394" s="55" t="n"/>
      <c r="T394" s="55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</row>
    <row r="395" ht="51.75" customHeight="1" s="211">
      <c r="A395" s="55" t="n"/>
      <c r="B395" s="12" t="n"/>
      <c r="C395" s="55">
        <f>'Sales Candence'!B395</f>
        <v/>
      </c>
      <c r="D395" s="71" t="n"/>
      <c r="E395" s="71" t="n"/>
      <c r="F395" s="22" t="n"/>
      <c r="G395" s="22" t="n"/>
      <c r="H395" s="31" t="n"/>
      <c r="I395" s="23" t="n"/>
      <c r="J395" s="56" t="n"/>
      <c r="K395" s="22" t="n"/>
      <c r="L395" s="22" t="n"/>
      <c r="M395" s="22" t="n"/>
      <c r="N395" s="22" t="n"/>
      <c r="O395" s="22" t="n"/>
      <c r="P395" s="23" t="n"/>
      <c r="Q395" s="65" t="n"/>
      <c r="R395" s="65" t="n"/>
      <c r="S395" s="55" t="n"/>
      <c r="T395" s="55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</row>
    <row r="396" ht="51.75" customHeight="1" s="211">
      <c r="A396" s="55" t="n"/>
      <c r="B396" s="12" t="n"/>
      <c r="C396" s="55">
        <f>'Sales Candence'!B396</f>
        <v/>
      </c>
      <c r="D396" s="71" t="n"/>
      <c r="E396" s="71" t="n"/>
      <c r="F396" s="22" t="n"/>
      <c r="G396" s="22" t="n"/>
      <c r="H396" s="31" t="n"/>
      <c r="I396" s="23" t="n"/>
      <c r="J396" s="56" t="n"/>
      <c r="K396" s="22" t="n"/>
      <c r="L396" s="22" t="n"/>
      <c r="M396" s="22" t="n"/>
      <c r="N396" s="22" t="n"/>
      <c r="O396" s="22" t="n"/>
      <c r="P396" s="23" t="n"/>
      <c r="Q396" s="65" t="n"/>
      <c r="R396" s="65" t="n"/>
      <c r="S396" s="55" t="n"/>
      <c r="T396" s="55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</row>
    <row r="397" ht="51.75" customHeight="1" s="211">
      <c r="A397" s="55" t="n"/>
      <c r="B397" s="12" t="n"/>
      <c r="C397" s="55">
        <f>'Sales Candence'!B397</f>
        <v/>
      </c>
      <c r="D397" s="71" t="n"/>
      <c r="E397" s="71" t="n"/>
      <c r="F397" s="22" t="n"/>
      <c r="G397" s="22" t="n"/>
      <c r="H397" s="31" t="n"/>
      <c r="I397" s="23" t="n"/>
      <c r="J397" s="56" t="n"/>
      <c r="K397" s="22" t="n"/>
      <c r="L397" s="22" t="n"/>
      <c r="M397" s="22" t="n"/>
      <c r="N397" s="22" t="n"/>
      <c r="O397" s="22" t="n"/>
      <c r="P397" s="23" t="n"/>
      <c r="Q397" s="65" t="n"/>
      <c r="R397" s="65" t="n"/>
      <c r="S397" s="55" t="n"/>
      <c r="T397" s="55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</row>
    <row r="398" ht="51.75" customHeight="1" s="211">
      <c r="A398" s="55" t="n"/>
      <c r="B398" s="12" t="n"/>
      <c r="C398" s="55">
        <f>'Sales Candence'!B398</f>
        <v/>
      </c>
      <c r="D398" s="71" t="n"/>
      <c r="E398" s="71" t="n"/>
      <c r="F398" s="22" t="n"/>
      <c r="G398" s="22" t="n"/>
      <c r="H398" s="31" t="n"/>
      <c r="I398" s="23" t="n"/>
      <c r="J398" s="56" t="n"/>
      <c r="K398" s="22" t="n"/>
      <c r="L398" s="22" t="n"/>
      <c r="M398" s="22" t="n"/>
      <c r="N398" s="22" t="n"/>
      <c r="O398" s="22" t="n"/>
      <c r="P398" s="23" t="n"/>
      <c r="Q398" s="65" t="n"/>
      <c r="R398" s="65" t="n"/>
      <c r="S398" s="55" t="n"/>
      <c r="T398" s="55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</row>
    <row r="399" ht="51.75" customHeight="1" s="211">
      <c r="A399" s="55" t="n"/>
      <c r="B399" s="12" t="n"/>
      <c r="C399" s="55">
        <f>'Sales Candence'!B399</f>
        <v/>
      </c>
      <c r="D399" s="71" t="n"/>
      <c r="E399" s="71" t="n"/>
      <c r="F399" s="22" t="n"/>
      <c r="G399" s="22" t="n"/>
      <c r="H399" s="31" t="n"/>
      <c r="I399" s="23" t="n"/>
      <c r="J399" s="56" t="n"/>
      <c r="K399" s="22" t="n"/>
      <c r="L399" s="22" t="n"/>
      <c r="M399" s="22" t="n"/>
      <c r="N399" s="22" t="n"/>
      <c r="O399" s="22" t="n"/>
      <c r="P399" s="23" t="n"/>
      <c r="Q399" s="65" t="n"/>
      <c r="R399" s="65" t="n"/>
      <c r="S399" s="55" t="n"/>
      <c r="T399" s="55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</row>
    <row r="400" ht="51.75" customHeight="1" s="211">
      <c r="A400" s="55" t="n"/>
      <c r="B400" s="12" t="n"/>
      <c r="C400" s="55">
        <f>'Sales Candence'!B400</f>
        <v/>
      </c>
      <c r="D400" s="71" t="n"/>
      <c r="E400" s="71" t="n"/>
      <c r="F400" s="22" t="n"/>
      <c r="G400" s="22" t="n"/>
      <c r="H400" s="31" t="n"/>
      <c r="I400" s="23" t="n"/>
      <c r="J400" s="56" t="n"/>
      <c r="K400" s="22" t="n"/>
      <c r="L400" s="22" t="n"/>
      <c r="M400" s="22" t="n"/>
      <c r="N400" s="22" t="n"/>
      <c r="O400" s="22" t="n"/>
      <c r="P400" s="23" t="n"/>
      <c r="Q400" s="65" t="n"/>
      <c r="R400" s="65" t="n"/>
      <c r="S400" s="55" t="n"/>
      <c r="T400" s="55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</row>
    <row r="401" ht="51.75" customHeight="1" s="211">
      <c r="A401" s="55" t="n"/>
      <c r="B401" s="12" t="n"/>
      <c r="C401" s="55">
        <f>'Sales Candence'!B401</f>
        <v/>
      </c>
      <c r="D401" s="71" t="n"/>
      <c r="E401" s="71" t="n"/>
      <c r="F401" s="22" t="n"/>
      <c r="G401" s="22" t="n"/>
      <c r="H401" s="31" t="n"/>
      <c r="I401" s="23" t="n"/>
      <c r="J401" s="56" t="n"/>
      <c r="K401" s="22" t="n"/>
      <c r="L401" s="22" t="n"/>
      <c r="M401" s="22" t="n"/>
      <c r="N401" s="22" t="n"/>
      <c r="O401" s="22" t="n"/>
      <c r="P401" s="23" t="n"/>
      <c r="Q401" s="65" t="n"/>
      <c r="R401" s="65" t="n"/>
      <c r="S401" s="55" t="n"/>
      <c r="T401" s="55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</row>
    <row r="402" ht="51.75" customHeight="1" s="211">
      <c r="A402" s="55" t="n"/>
      <c r="B402" s="12" t="n"/>
      <c r="C402" s="55">
        <f>'Sales Candence'!B402</f>
        <v/>
      </c>
      <c r="D402" s="71" t="n"/>
      <c r="E402" s="71" t="n"/>
      <c r="F402" s="22" t="n"/>
      <c r="G402" s="22" t="n"/>
      <c r="H402" s="31" t="n"/>
      <c r="I402" s="23" t="n"/>
      <c r="J402" s="56" t="n"/>
      <c r="K402" s="22" t="n"/>
      <c r="L402" s="22" t="n"/>
      <c r="M402" s="22" t="n"/>
      <c r="N402" s="22" t="n"/>
      <c r="O402" s="22" t="n"/>
      <c r="P402" s="23" t="n"/>
      <c r="Q402" s="65" t="n"/>
      <c r="R402" s="65" t="n"/>
      <c r="S402" s="55" t="n"/>
      <c r="T402" s="55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</row>
    <row r="403" ht="51.75" customHeight="1" s="211">
      <c r="A403" s="55" t="n"/>
      <c r="B403" s="12" t="n"/>
      <c r="C403" s="55">
        <f>'Sales Candence'!B403</f>
        <v/>
      </c>
      <c r="D403" s="71" t="n"/>
      <c r="E403" s="71" t="n"/>
      <c r="F403" s="22" t="n"/>
      <c r="G403" s="22" t="n"/>
      <c r="H403" s="31" t="n"/>
      <c r="I403" s="23" t="n"/>
      <c r="J403" s="56" t="n"/>
      <c r="K403" s="22" t="n"/>
      <c r="L403" s="22" t="n"/>
      <c r="M403" s="22" t="n"/>
      <c r="N403" s="22" t="n"/>
      <c r="O403" s="22" t="n"/>
      <c r="P403" s="23" t="n"/>
      <c r="Q403" s="65" t="n"/>
      <c r="R403" s="65" t="n"/>
      <c r="S403" s="55" t="n"/>
      <c r="T403" s="55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</row>
    <row r="404" ht="51.75" customHeight="1" s="211">
      <c r="A404" s="55" t="n"/>
      <c r="B404" s="12" t="n"/>
      <c r="C404" s="55">
        <f>'Sales Candence'!B404</f>
        <v/>
      </c>
      <c r="D404" s="71" t="n"/>
      <c r="E404" s="71" t="n"/>
      <c r="F404" s="22" t="n"/>
      <c r="G404" s="22" t="n"/>
      <c r="H404" s="31" t="n"/>
      <c r="I404" s="23" t="n"/>
      <c r="J404" s="56" t="n"/>
      <c r="K404" s="22" t="n"/>
      <c r="L404" s="22" t="n"/>
      <c r="M404" s="22" t="n"/>
      <c r="N404" s="22" t="n"/>
      <c r="O404" s="22" t="n"/>
      <c r="P404" s="23" t="n"/>
      <c r="Q404" s="65" t="n"/>
      <c r="R404" s="65" t="n"/>
      <c r="S404" s="55" t="n"/>
      <c r="T404" s="55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</row>
    <row r="405" ht="51.75" customHeight="1" s="211">
      <c r="A405" s="55" t="n"/>
      <c r="B405" s="12" t="n"/>
      <c r="C405" s="55">
        <f>'Sales Candence'!B405</f>
        <v/>
      </c>
      <c r="D405" s="71" t="n"/>
      <c r="E405" s="71" t="n"/>
      <c r="F405" s="22" t="n"/>
      <c r="G405" s="22" t="n"/>
      <c r="H405" s="31" t="n"/>
      <c r="I405" s="23" t="n"/>
      <c r="J405" s="56" t="n"/>
      <c r="K405" s="22" t="n"/>
      <c r="L405" s="22" t="n"/>
      <c r="M405" s="22" t="n"/>
      <c r="N405" s="22" t="n"/>
      <c r="O405" s="22" t="n"/>
      <c r="P405" s="23" t="n"/>
      <c r="Q405" s="65" t="n"/>
      <c r="R405" s="65" t="n"/>
      <c r="S405" s="55" t="n"/>
      <c r="T405" s="55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</row>
    <row r="406" ht="51.75" customHeight="1" s="211">
      <c r="A406" s="55" t="n"/>
      <c r="B406" s="12" t="n"/>
      <c r="C406" s="55">
        <f>'Sales Candence'!B406</f>
        <v/>
      </c>
      <c r="D406" s="71" t="n"/>
      <c r="E406" s="71" t="n"/>
      <c r="F406" s="22" t="n"/>
      <c r="G406" s="22" t="n"/>
      <c r="H406" s="31" t="n"/>
      <c r="I406" s="23" t="n"/>
      <c r="J406" s="56" t="n"/>
      <c r="K406" s="22" t="n"/>
      <c r="L406" s="22" t="n"/>
      <c r="M406" s="22" t="n"/>
      <c r="N406" s="22" t="n"/>
      <c r="O406" s="22" t="n"/>
      <c r="P406" s="23" t="n"/>
      <c r="Q406" s="65" t="n"/>
      <c r="R406" s="65" t="n"/>
      <c r="S406" s="55" t="n"/>
      <c r="T406" s="55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</row>
    <row r="407" ht="51.75" customHeight="1" s="211">
      <c r="A407" s="55" t="n"/>
      <c r="B407" s="12" t="n"/>
      <c r="C407" s="55">
        <f>'Sales Candence'!B407</f>
        <v/>
      </c>
      <c r="D407" s="71" t="n"/>
      <c r="E407" s="71" t="n"/>
      <c r="F407" s="22" t="n"/>
      <c r="G407" s="22" t="n"/>
      <c r="H407" s="31" t="n"/>
      <c r="I407" s="23" t="n"/>
      <c r="J407" s="56" t="n"/>
      <c r="K407" s="22" t="n"/>
      <c r="L407" s="22" t="n"/>
      <c r="M407" s="22" t="n"/>
      <c r="N407" s="22" t="n"/>
      <c r="O407" s="22" t="n"/>
      <c r="P407" s="23" t="n"/>
      <c r="Q407" s="65" t="n"/>
      <c r="R407" s="65" t="n"/>
      <c r="S407" s="55" t="n"/>
      <c r="T407" s="55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</row>
    <row r="408" ht="51.75" customHeight="1" s="211">
      <c r="A408" s="55" t="n"/>
      <c r="B408" s="12" t="n"/>
      <c r="C408" s="55">
        <f>'Sales Candence'!B408</f>
        <v/>
      </c>
      <c r="D408" s="71" t="n"/>
      <c r="E408" s="71" t="n"/>
      <c r="F408" s="22" t="n"/>
      <c r="G408" s="22" t="n"/>
      <c r="H408" s="31" t="n"/>
      <c r="I408" s="23" t="n"/>
      <c r="J408" s="56" t="n"/>
      <c r="K408" s="22" t="n"/>
      <c r="L408" s="22" t="n"/>
      <c r="M408" s="22" t="n"/>
      <c r="N408" s="22" t="n"/>
      <c r="O408" s="22" t="n"/>
      <c r="P408" s="23" t="n"/>
      <c r="Q408" s="65" t="n"/>
      <c r="R408" s="65" t="n"/>
      <c r="S408" s="55" t="n"/>
      <c r="T408" s="55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</row>
    <row r="409" ht="51.75" customHeight="1" s="211">
      <c r="A409" s="55" t="n"/>
      <c r="B409" s="12" t="n"/>
      <c r="C409" s="55">
        <f>'Sales Candence'!B409</f>
        <v/>
      </c>
      <c r="D409" s="71" t="n"/>
      <c r="E409" s="71" t="n"/>
      <c r="F409" s="22" t="n"/>
      <c r="G409" s="22" t="n"/>
      <c r="H409" s="31" t="n"/>
      <c r="I409" s="23" t="n"/>
      <c r="J409" s="56" t="n"/>
      <c r="K409" s="22" t="n"/>
      <c r="L409" s="22" t="n"/>
      <c r="M409" s="22" t="n"/>
      <c r="N409" s="22" t="n"/>
      <c r="O409" s="22" t="n"/>
      <c r="P409" s="23" t="n"/>
      <c r="Q409" s="65" t="n"/>
      <c r="R409" s="65" t="n"/>
      <c r="S409" s="55" t="n"/>
      <c r="T409" s="55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</row>
    <row r="410" ht="51.75" customHeight="1" s="211">
      <c r="A410" s="55" t="n"/>
      <c r="B410" s="12" t="n"/>
      <c r="C410" s="55">
        <f>'Sales Candence'!B410</f>
        <v/>
      </c>
      <c r="D410" s="71" t="n"/>
      <c r="E410" s="71" t="n"/>
      <c r="F410" s="22" t="n"/>
      <c r="G410" s="22" t="n"/>
      <c r="H410" s="31" t="n"/>
      <c r="I410" s="23" t="n"/>
      <c r="J410" s="56" t="n"/>
      <c r="K410" s="22" t="n"/>
      <c r="L410" s="22" t="n"/>
      <c r="M410" s="22" t="n"/>
      <c r="N410" s="22" t="n"/>
      <c r="O410" s="22" t="n"/>
      <c r="P410" s="23" t="n"/>
      <c r="Q410" s="65" t="n"/>
      <c r="R410" s="65" t="n"/>
      <c r="S410" s="55" t="n"/>
      <c r="T410" s="55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</row>
    <row r="411" ht="51.75" customHeight="1" s="211">
      <c r="A411" s="55" t="n"/>
      <c r="B411" s="12" t="n"/>
      <c r="C411" s="55">
        <f>'Sales Candence'!B411</f>
        <v/>
      </c>
      <c r="D411" s="71" t="n"/>
      <c r="E411" s="71" t="n"/>
      <c r="F411" s="22" t="n"/>
      <c r="G411" s="22" t="n"/>
      <c r="H411" s="31" t="n"/>
      <c r="I411" s="23" t="n"/>
      <c r="J411" s="56" t="n"/>
      <c r="K411" s="22" t="n"/>
      <c r="L411" s="22" t="n"/>
      <c r="M411" s="22" t="n"/>
      <c r="N411" s="22" t="n"/>
      <c r="O411" s="22" t="n"/>
      <c r="P411" s="23" t="n"/>
      <c r="Q411" s="65" t="n"/>
      <c r="R411" s="65" t="n"/>
      <c r="S411" s="55" t="n"/>
      <c r="T411" s="55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</row>
    <row r="412" ht="51.75" customHeight="1" s="211">
      <c r="A412" s="55" t="n"/>
      <c r="B412" s="12" t="n"/>
      <c r="C412" s="55">
        <f>'Sales Candence'!B412</f>
        <v/>
      </c>
      <c r="D412" s="71" t="n"/>
      <c r="E412" s="71" t="n"/>
      <c r="F412" s="22" t="n"/>
      <c r="G412" s="22" t="n"/>
      <c r="H412" s="31" t="n"/>
      <c r="I412" s="23" t="n"/>
      <c r="J412" s="56" t="n"/>
      <c r="K412" s="22" t="n"/>
      <c r="L412" s="22" t="n"/>
      <c r="M412" s="22" t="n"/>
      <c r="N412" s="22" t="n"/>
      <c r="O412" s="22" t="n"/>
      <c r="P412" s="23" t="n"/>
      <c r="Q412" s="65" t="n"/>
      <c r="R412" s="65" t="n"/>
      <c r="S412" s="55" t="n"/>
      <c r="T412" s="55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</row>
    <row r="413" ht="51.75" customHeight="1" s="211">
      <c r="A413" s="55" t="n"/>
      <c r="B413" s="12" t="n"/>
      <c r="C413" s="55">
        <f>'Sales Candence'!B413</f>
        <v/>
      </c>
      <c r="D413" s="71" t="n"/>
      <c r="E413" s="71" t="n"/>
      <c r="F413" s="22" t="n"/>
      <c r="G413" s="22" t="n"/>
      <c r="H413" s="31" t="n"/>
      <c r="I413" s="23" t="n"/>
      <c r="J413" s="56" t="n"/>
      <c r="K413" s="22" t="n"/>
      <c r="L413" s="22" t="n"/>
      <c r="M413" s="22" t="n"/>
      <c r="N413" s="22" t="n"/>
      <c r="O413" s="22" t="n"/>
      <c r="P413" s="23" t="n"/>
      <c r="Q413" s="65" t="n"/>
      <c r="R413" s="65" t="n"/>
      <c r="S413" s="55" t="n"/>
      <c r="T413" s="55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</row>
    <row r="414" ht="51.75" customHeight="1" s="211">
      <c r="A414" s="55" t="n"/>
      <c r="B414" s="12" t="n"/>
      <c r="C414" s="55">
        <f>'Sales Candence'!B414</f>
        <v/>
      </c>
      <c r="D414" s="71" t="n"/>
      <c r="E414" s="71" t="n"/>
      <c r="F414" s="22" t="n"/>
      <c r="G414" s="22" t="n"/>
      <c r="H414" s="31" t="n"/>
      <c r="I414" s="23" t="n"/>
      <c r="J414" s="56" t="n"/>
      <c r="K414" s="22" t="n"/>
      <c r="L414" s="22" t="n"/>
      <c r="M414" s="22" t="n"/>
      <c r="N414" s="22" t="n"/>
      <c r="O414" s="22" t="n"/>
      <c r="P414" s="23" t="n"/>
      <c r="Q414" s="65" t="n"/>
      <c r="R414" s="65" t="n"/>
      <c r="S414" s="55" t="n"/>
      <c r="T414" s="55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</row>
    <row r="415" ht="51.75" customHeight="1" s="211">
      <c r="A415" s="55" t="n"/>
      <c r="B415" s="12" t="n"/>
      <c r="C415" s="55">
        <f>'Sales Candence'!B415</f>
        <v/>
      </c>
      <c r="D415" s="71" t="n"/>
      <c r="E415" s="71" t="n"/>
      <c r="F415" s="22" t="n"/>
      <c r="G415" s="22" t="n"/>
      <c r="H415" s="31" t="n"/>
      <c r="I415" s="23" t="n"/>
      <c r="J415" s="56" t="n"/>
      <c r="K415" s="22" t="n"/>
      <c r="L415" s="22" t="n"/>
      <c r="M415" s="22" t="n"/>
      <c r="N415" s="22" t="n"/>
      <c r="O415" s="22" t="n"/>
      <c r="P415" s="23" t="n"/>
      <c r="Q415" s="65" t="n"/>
      <c r="R415" s="65" t="n"/>
      <c r="S415" s="55" t="n"/>
      <c r="T415" s="55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</row>
    <row r="416" ht="51.75" customHeight="1" s="211">
      <c r="A416" s="55" t="n"/>
      <c r="B416" s="12" t="n"/>
      <c r="C416" s="55">
        <f>'Sales Candence'!B416</f>
        <v/>
      </c>
      <c r="D416" s="71" t="n"/>
      <c r="E416" s="71" t="n"/>
      <c r="F416" s="22" t="n"/>
      <c r="G416" s="22" t="n"/>
      <c r="H416" s="31" t="n"/>
      <c r="I416" s="23" t="n"/>
      <c r="J416" s="56" t="n"/>
      <c r="K416" s="22" t="n"/>
      <c r="L416" s="22" t="n"/>
      <c r="M416" s="22" t="n"/>
      <c r="N416" s="22" t="n"/>
      <c r="O416" s="22" t="n"/>
      <c r="P416" s="23" t="n"/>
      <c r="Q416" s="65" t="n"/>
      <c r="R416" s="65" t="n"/>
      <c r="S416" s="55" t="n"/>
      <c r="T416" s="55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</row>
    <row r="417" ht="51.75" customHeight="1" s="211">
      <c r="A417" s="55" t="n"/>
      <c r="B417" s="12" t="n"/>
      <c r="C417" s="55">
        <f>'Sales Candence'!B417</f>
        <v/>
      </c>
      <c r="D417" s="71" t="n"/>
      <c r="E417" s="71" t="n"/>
      <c r="F417" s="22" t="n"/>
      <c r="G417" s="22" t="n"/>
      <c r="H417" s="31" t="n"/>
      <c r="I417" s="23" t="n"/>
      <c r="J417" s="56" t="n"/>
      <c r="K417" s="22" t="n"/>
      <c r="L417" s="22" t="n"/>
      <c r="M417" s="22" t="n"/>
      <c r="N417" s="22" t="n"/>
      <c r="O417" s="22" t="n"/>
      <c r="P417" s="23" t="n"/>
      <c r="Q417" s="65" t="n"/>
      <c r="R417" s="65" t="n"/>
      <c r="S417" s="55" t="n"/>
      <c r="T417" s="55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</row>
    <row r="418" ht="51.75" customHeight="1" s="211">
      <c r="A418" s="55" t="n"/>
      <c r="B418" s="12" t="n"/>
      <c r="C418" s="55">
        <f>'Sales Candence'!B418</f>
        <v/>
      </c>
      <c r="D418" s="71" t="n"/>
      <c r="E418" s="71" t="n"/>
      <c r="F418" s="22" t="n"/>
      <c r="G418" s="22" t="n"/>
      <c r="H418" s="31" t="n"/>
      <c r="I418" s="23" t="n"/>
      <c r="J418" s="56" t="n"/>
      <c r="K418" s="22" t="n"/>
      <c r="L418" s="22" t="n"/>
      <c r="M418" s="22" t="n"/>
      <c r="N418" s="22" t="n"/>
      <c r="O418" s="22" t="n"/>
      <c r="P418" s="23" t="n"/>
      <c r="Q418" s="65" t="n"/>
      <c r="R418" s="65" t="n"/>
      <c r="S418" s="55" t="n"/>
      <c r="T418" s="55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</row>
    <row r="419" ht="51.75" customHeight="1" s="211">
      <c r="A419" s="55" t="n"/>
      <c r="B419" s="12" t="n"/>
      <c r="C419" s="55">
        <f>'Sales Candence'!B419</f>
        <v/>
      </c>
      <c r="D419" s="71" t="n"/>
      <c r="E419" s="71" t="n"/>
      <c r="F419" s="22" t="n"/>
      <c r="G419" s="22" t="n"/>
      <c r="H419" s="31" t="n"/>
      <c r="I419" s="23" t="n"/>
      <c r="J419" s="56" t="n"/>
      <c r="K419" s="22" t="n"/>
      <c r="L419" s="22" t="n"/>
      <c r="M419" s="22" t="n"/>
      <c r="N419" s="22" t="n"/>
      <c r="O419" s="22" t="n"/>
      <c r="P419" s="23" t="n"/>
      <c r="Q419" s="65" t="n"/>
      <c r="R419" s="65" t="n"/>
      <c r="S419" s="55" t="n"/>
      <c r="T419" s="55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</row>
    <row r="420" ht="51.75" customHeight="1" s="211">
      <c r="A420" s="55" t="n"/>
      <c r="B420" s="12" t="n"/>
      <c r="C420" s="55">
        <f>'Sales Candence'!B420</f>
        <v/>
      </c>
      <c r="D420" s="71" t="n"/>
      <c r="E420" s="71" t="n"/>
      <c r="F420" s="22" t="n"/>
      <c r="G420" s="22" t="n"/>
      <c r="H420" s="31" t="n"/>
      <c r="I420" s="23" t="n"/>
      <c r="J420" s="56" t="n"/>
      <c r="K420" s="22" t="n"/>
      <c r="L420" s="22" t="n"/>
      <c r="M420" s="22" t="n"/>
      <c r="N420" s="22" t="n"/>
      <c r="O420" s="22" t="n"/>
      <c r="P420" s="23" t="n"/>
      <c r="Q420" s="65" t="n"/>
      <c r="R420" s="65" t="n"/>
      <c r="S420" s="55" t="n"/>
      <c r="T420" s="55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</row>
    <row r="421" ht="51.75" customHeight="1" s="211">
      <c r="A421" s="55" t="n"/>
      <c r="B421" s="12" t="n"/>
      <c r="C421" s="55">
        <f>'Sales Candence'!B421</f>
        <v/>
      </c>
      <c r="D421" s="71" t="n"/>
      <c r="E421" s="71" t="n"/>
      <c r="F421" s="22" t="n"/>
      <c r="G421" s="22" t="n"/>
      <c r="H421" s="31" t="n"/>
      <c r="I421" s="23" t="n"/>
      <c r="J421" s="56" t="n"/>
      <c r="K421" s="22" t="n"/>
      <c r="L421" s="22" t="n"/>
      <c r="M421" s="22" t="n"/>
      <c r="N421" s="22" t="n"/>
      <c r="O421" s="22" t="n"/>
      <c r="P421" s="23" t="n"/>
      <c r="Q421" s="65" t="n"/>
      <c r="R421" s="65" t="n"/>
      <c r="S421" s="55" t="n"/>
      <c r="T421" s="55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</row>
    <row r="422" ht="51.75" customHeight="1" s="211">
      <c r="A422" s="55" t="n"/>
      <c r="B422" s="12" t="n"/>
      <c r="C422" s="55">
        <f>'Sales Candence'!B422</f>
        <v/>
      </c>
      <c r="D422" s="71" t="n"/>
      <c r="E422" s="71" t="n"/>
      <c r="F422" s="22" t="n"/>
      <c r="G422" s="22" t="n"/>
      <c r="H422" s="31" t="n"/>
      <c r="I422" s="23" t="n"/>
      <c r="J422" s="56" t="n"/>
      <c r="K422" s="22" t="n"/>
      <c r="L422" s="22" t="n"/>
      <c r="M422" s="22" t="n"/>
      <c r="N422" s="22" t="n"/>
      <c r="O422" s="22" t="n"/>
      <c r="P422" s="23" t="n"/>
      <c r="Q422" s="65" t="n"/>
      <c r="R422" s="65" t="n"/>
      <c r="S422" s="55" t="n"/>
      <c r="T422" s="55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</row>
    <row r="423" ht="51.75" customHeight="1" s="211">
      <c r="A423" s="55" t="n"/>
      <c r="B423" s="12" t="n"/>
      <c r="C423" s="55">
        <f>'Sales Candence'!B423</f>
        <v/>
      </c>
      <c r="D423" s="71" t="n"/>
      <c r="E423" s="71" t="n"/>
      <c r="F423" s="22" t="n"/>
      <c r="G423" s="22" t="n"/>
      <c r="H423" s="31" t="n"/>
      <c r="I423" s="23" t="n"/>
      <c r="J423" s="56" t="n"/>
      <c r="K423" s="22" t="n"/>
      <c r="L423" s="22" t="n"/>
      <c r="M423" s="22" t="n"/>
      <c r="N423" s="22" t="n"/>
      <c r="O423" s="22" t="n"/>
      <c r="P423" s="23" t="n"/>
      <c r="Q423" s="65" t="n"/>
      <c r="R423" s="65" t="n"/>
      <c r="S423" s="55" t="n"/>
      <c r="T423" s="55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</row>
    <row r="424" ht="51.75" customHeight="1" s="211">
      <c r="A424" s="55" t="n"/>
      <c r="B424" s="12" t="n"/>
      <c r="C424" s="55">
        <f>'Sales Candence'!B424</f>
        <v/>
      </c>
      <c r="D424" s="71" t="n"/>
      <c r="E424" s="71" t="n"/>
      <c r="F424" s="22" t="n"/>
      <c r="G424" s="22" t="n"/>
      <c r="H424" s="31" t="n"/>
      <c r="I424" s="23" t="n"/>
      <c r="J424" s="56" t="n"/>
      <c r="K424" s="22" t="n"/>
      <c r="L424" s="22" t="n"/>
      <c r="M424" s="22" t="n"/>
      <c r="N424" s="22" t="n"/>
      <c r="O424" s="22" t="n"/>
      <c r="P424" s="23" t="n"/>
      <c r="Q424" s="65" t="n"/>
      <c r="R424" s="65" t="n"/>
      <c r="S424" s="55" t="n"/>
      <c r="T424" s="55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</row>
    <row r="425" ht="51.75" customHeight="1" s="211">
      <c r="A425" s="55" t="n"/>
      <c r="B425" s="12" t="n"/>
      <c r="C425" s="55">
        <f>'Sales Candence'!B425</f>
        <v/>
      </c>
      <c r="D425" s="71" t="n"/>
      <c r="E425" s="71" t="n"/>
      <c r="F425" s="22" t="n"/>
      <c r="G425" s="22" t="n"/>
      <c r="H425" s="31" t="n"/>
      <c r="I425" s="23" t="n"/>
      <c r="J425" s="56" t="n"/>
      <c r="K425" s="22" t="n"/>
      <c r="L425" s="22" t="n"/>
      <c r="M425" s="22" t="n"/>
      <c r="N425" s="22" t="n"/>
      <c r="O425" s="22" t="n"/>
      <c r="P425" s="23" t="n"/>
      <c r="Q425" s="65" t="n"/>
      <c r="R425" s="65" t="n"/>
      <c r="S425" s="55" t="n"/>
      <c r="T425" s="55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</row>
    <row r="426" ht="51.75" customHeight="1" s="211">
      <c r="A426" s="55" t="n"/>
      <c r="B426" s="12" t="n"/>
      <c r="C426" s="55">
        <f>'Sales Candence'!B426</f>
        <v/>
      </c>
      <c r="D426" s="71" t="n"/>
      <c r="E426" s="71" t="n"/>
      <c r="F426" s="22" t="n"/>
      <c r="G426" s="22" t="n"/>
      <c r="H426" s="31" t="n"/>
      <c r="I426" s="23" t="n"/>
      <c r="J426" s="56" t="n"/>
      <c r="K426" s="22" t="n"/>
      <c r="L426" s="22" t="n"/>
      <c r="M426" s="22" t="n"/>
      <c r="N426" s="22" t="n"/>
      <c r="O426" s="22" t="n"/>
      <c r="P426" s="23" t="n"/>
      <c r="Q426" s="65" t="n"/>
      <c r="R426" s="65" t="n"/>
      <c r="S426" s="55" t="n"/>
      <c r="T426" s="55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</row>
    <row r="427" ht="51.75" customHeight="1" s="211">
      <c r="A427" s="55" t="n"/>
      <c r="B427" s="12" t="n"/>
      <c r="C427" s="55">
        <f>'Sales Candence'!B427</f>
        <v/>
      </c>
      <c r="D427" s="71" t="n"/>
      <c r="E427" s="71" t="n"/>
      <c r="F427" s="22" t="n"/>
      <c r="G427" s="22" t="n"/>
      <c r="H427" s="31" t="n"/>
      <c r="I427" s="23" t="n"/>
      <c r="J427" s="56" t="n"/>
      <c r="K427" s="22" t="n"/>
      <c r="L427" s="22" t="n"/>
      <c r="M427" s="22" t="n"/>
      <c r="N427" s="22" t="n"/>
      <c r="O427" s="22" t="n"/>
      <c r="P427" s="23" t="n"/>
      <c r="Q427" s="65" t="n"/>
      <c r="R427" s="65" t="n"/>
      <c r="S427" s="55" t="n"/>
      <c r="T427" s="55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</row>
    <row r="428" ht="51.75" customHeight="1" s="211">
      <c r="A428" s="55" t="n"/>
      <c r="B428" s="12" t="n"/>
      <c r="C428" s="55">
        <f>'Sales Candence'!B428</f>
        <v/>
      </c>
      <c r="D428" s="71" t="n"/>
      <c r="E428" s="71" t="n"/>
      <c r="F428" s="22" t="n"/>
      <c r="G428" s="22" t="n"/>
      <c r="H428" s="31" t="n"/>
      <c r="I428" s="23" t="n"/>
      <c r="J428" s="56" t="n"/>
      <c r="K428" s="22" t="n"/>
      <c r="L428" s="22" t="n"/>
      <c r="M428" s="22" t="n"/>
      <c r="N428" s="22" t="n"/>
      <c r="O428" s="22" t="n"/>
      <c r="P428" s="23" t="n"/>
      <c r="Q428" s="65" t="n"/>
      <c r="R428" s="65" t="n"/>
      <c r="S428" s="55" t="n"/>
      <c r="T428" s="55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</row>
    <row r="429" ht="51.75" customHeight="1" s="211">
      <c r="A429" s="55" t="n"/>
      <c r="B429" s="12" t="n"/>
      <c r="C429" s="55">
        <f>'Sales Candence'!B429</f>
        <v/>
      </c>
      <c r="D429" s="71" t="n"/>
      <c r="E429" s="71" t="n"/>
      <c r="F429" s="22" t="n"/>
      <c r="G429" s="22" t="n"/>
      <c r="H429" s="31" t="n"/>
      <c r="I429" s="23" t="n"/>
      <c r="J429" s="56" t="n"/>
      <c r="K429" s="22" t="n"/>
      <c r="L429" s="22" t="n"/>
      <c r="M429" s="22" t="n"/>
      <c r="N429" s="22" t="n"/>
      <c r="O429" s="22" t="n"/>
      <c r="P429" s="23" t="n"/>
      <c r="Q429" s="65" t="n"/>
      <c r="R429" s="65" t="n"/>
      <c r="S429" s="55" t="n"/>
      <c r="T429" s="55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</row>
    <row r="430" ht="51.75" customHeight="1" s="211">
      <c r="A430" s="55" t="n"/>
      <c r="B430" s="12" t="n"/>
      <c r="C430" s="55">
        <f>'Sales Candence'!B430</f>
        <v/>
      </c>
      <c r="D430" s="71" t="n"/>
      <c r="E430" s="71" t="n"/>
      <c r="F430" s="22" t="n"/>
      <c r="G430" s="22" t="n"/>
      <c r="H430" s="31" t="n"/>
      <c r="I430" s="23" t="n"/>
      <c r="J430" s="56" t="n"/>
      <c r="K430" s="22" t="n"/>
      <c r="L430" s="22" t="n"/>
      <c r="M430" s="22" t="n"/>
      <c r="N430" s="22" t="n"/>
      <c r="O430" s="22" t="n"/>
      <c r="P430" s="23" t="n"/>
      <c r="Q430" s="65" t="n"/>
      <c r="R430" s="65" t="n"/>
      <c r="S430" s="55" t="n"/>
      <c r="T430" s="55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</row>
    <row r="431" ht="51.75" customHeight="1" s="211">
      <c r="A431" s="55" t="n"/>
      <c r="B431" s="12" t="n"/>
      <c r="C431" s="55">
        <f>'Sales Candence'!B431</f>
        <v/>
      </c>
      <c r="D431" s="71" t="n"/>
      <c r="E431" s="71" t="n"/>
      <c r="F431" s="22" t="n"/>
      <c r="G431" s="22" t="n"/>
      <c r="H431" s="31" t="n"/>
      <c r="I431" s="23" t="n"/>
      <c r="J431" s="56" t="n"/>
      <c r="K431" s="22" t="n"/>
      <c r="L431" s="22" t="n"/>
      <c r="M431" s="22" t="n"/>
      <c r="N431" s="22" t="n"/>
      <c r="O431" s="22" t="n"/>
      <c r="P431" s="23" t="n"/>
      <c r="Q431" s="65" t="n"/>
      <c r="R431" s="65" t="n"/>
      <c r="S431" s="55" t="n"/>
      <c r="T431" s="55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</row>
    <row r="432" ht="51.75" customHeight="1" s="211">
      <c r="A432" s="55" t="n"/>
      <c r="B432" s="12" t="n"/>
      <c r="C432" s="55">
        <f>'Sales Candence'!B432</f>
        <v/>
      </c>
      <c r="D432" s="71" t="n"/>
      <c r="E432" s="71" t="n"/>
      <c r="F432" s="22" t="n"/>
      <c r="G432" s="22" t="n"/>
      <c r="H432" s="31" t="n"/>
      <c r="I432" s="23" t="n"/>
      <c r="J432" s="56" t="n"/>
      <c r="K432" s="22" t="n"/>
      <c r="L432" s="22" t="n"/>
      <c r="M432" s="22" t="n"/>
      <c r="N432" s="22" t="n"/>
      <c r="O432" s="22" t="n"/>
      <c r="P432" s="23" t="n"/>
      <c r="Q432" s="65" t="n"/>
      <c r="R432" s="65" t="n"/>
      <c r="S432" s="55" t="n"/>
      <c r="T432" s="55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</row>
    <row r="433" ht="51.75" customHeight="1" s="211">
      <c r="A433" s="55" t="n"/>
      <c r="B433" s="12" t="n"/>
      <c r="C433" s="55">
        <f>'Sales Candence'!B433</f>
        <v/>
      </c>
      <c r="D433" s="71" t="n"/>
      <c r="E433" s="71" t="n"/>
      <c r="F433" s="22" t="n"/>
      <c r="G433" s="22" t="n"/>
      <c r="H433" s="31" t="n"/>
      <c r="I433" s="23" t="n"/>
      <c r="J433" s="56" t="n"/>
      <c r="K433" s="22" t="n"/>
      <c r="L433" s="22" t="n"/>
      <c r="M433" s="22" t="n"/>
      <c r="N433" s="22" t="n"/>
      <c r="O433" s="22" t="n"/>
      <c r="P433" s="23" t="n"/>
      <c r="Q433" s="65" t="n"/>
      <c r="R433" s="65" t="n"/>
      <c r="S433" s="55" t="n"/>
      <c r="T433" s="55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</row>
    <row r="434" ht="51.75" customHeight="1" s="211">
      <c r="A434" s="55" t="n"/>
      <c r="B434" s="12" t="n"/>
      <c r="C434" s="55">
        <f>'Sales Candence'!B434</f>
        <v/>
      </c>
      <c r="D434" s="71" t="n"/>
      <c r="E434" s="71" t="n"/>
      <c r="F434" s="22" t="n"/>
      <c r="G434" s="22" t="n"/>
      <c r="H434" s="31" t="n"/>
      <c r="I434" s="23" t="n"/>
      <c r="J434" s="56" t="n"/>
      <c r="K434" s="22" t="n"/>
      <c r="L434" s="22" t="n"/>
      <c r="M434" s="22" t="n"/>
      <c r="N434" s="22" t="n"/>
      <c r="O434" s="22" t="n"/>
      <c r="P434" s="23" t="n"/>
      <c r="Q434" s="65" t="n"/>
      <c r="R434" s="65" t="n"/>
      <c r="S434" s="55" t="n"/>
      <c r="T434" s="55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</row>
    <row r="435" ht="51.75" customHeight="1" s="211">
      <c r="A435" s="55" t="n"/>
      <c r="B435" s="12" t="n"/>
      <c r="C435" s="55">
        <f>'Sales Candence'!B435</f>
        <v/>
      </c>
      <c r="D435" s="71" t="n"/>
      <c r="E435" s="71" t="n"/>
      <c r="F435" s="22" t="n"/>
      <c r="G435" s="22" t="n"/>
      <c r="H435" s="31" t="n"/>
      <c r="I435" s="23" t="n"/>
      <c r="J435" s="56" t="n"/>
      <c r="K435" s="22" t="n"/>
      <c r="L435" s="22" t="n"/>
      <c r="M435" s="22" t="n"/>
      <c r="N435" s="22" t="n"/>
      <c r="O435" s="22" t="n"/>
      <c r="P435" s="23" t="n"/>
      <c r="Q435" s="65" t="n"/>
      <c r="R435" s="65" t="n"/>
      <c r="S435" s="55" t="n"/>
      <c r="T435" s="55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</row>
    <row r="436" ht="51.75" customHeight="1" s="211">
      <c r="A436" s="55" t="n"/>
      <c r="B436" s="12" t="n"/>
      <c r="C436" s="55">
        <f>'Sales Candence'!B436</f>
        <v/>
      </c>
      <c r="D436" s="71" t="n"/>
      <c r="E436" s="71" t="n"/>
      <c r="F436" s="22" t="n"/>
      <c r="G436" s="22" t="n"/>
      <c r="H436" s="31" t="n"/>
      <c r="I436" s="23" t="n"/>
      <c r="J436" s="56" t="n"/>
      <c r="K436" s="22" t="n"/>
      <c r="L436" s="22" t="n"/>
      <c r="M436" s="22" t="n"/>
      <c r="N436" s="22" t="n"/>
      <c r="O436" s="22" t="n"/>
      <c r="P436" s="23" t="n"/>
      <c r="Q436" s="65" t="n"/>
      <c r="R436" s="65" t="n"/>
      <c r="S436" s="55" t="n"/>
      <c r="T436" s="55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</row>
    <row r="437" ht="51.75" customHeight="1" s="211">
      <c r="A437" s="55" t="n"/>
      <c r="B437" s="12" t="n"/>
      <c r="C437" s="55">
        <f>'Sales Candence'!B437</f>
        <v/>
      </c>
      <c r="D437" s="71" t="n"/>
      <c r="E437" s="71" t="n"/>
      <c r="F437" s="22" t="n"/>
      <c r="G437" s="22" t="n"/>
      <c r="H437" s="31" t="n"/>
      <c r="I437" s="23" t="n"/>
      <c r="J437" s="56" t="n"/>
      <c r="K437" s="22" t="n"/>
      <c r="L437" s="22" t="n"/>
      <c r="M437" s="22" t="n"/>
      <c r="N437" s="22" t="n"/>
      <c r="O437" s="22" t="n"/>
      <c r="P437" s="23" t="n"/>
      <c r="Q437" s="65" t="n"/>
      <c r="R437" s="65" t="n"/>
      <c r="S437" s="55" t="n"/>
      <c r="T437" s="55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</row>
    <row r="438" ht="51.75" customHeight="1" s="211">
      <c r="A438" s="55" t="n"/>
      <c r="B438" s="12" t="n"/>
      <c r="C438" s="55">
        <f>'Sales Candence'!B438</f>
        <v/>
      </c>
      <c r="D438" s="71" t="n"/>
      <c r="E438" s="71" t="n"/>
      <c r="F438" s="22" t="n"/>
      <c r="G438" s="22" t="n"/>
      <c r="H438" s="31" t="n"/>
      <c r="I438" s="23" t="n"/>
      <c r="J438" s="56" t="n"/>
      <c r="K438" s="22" t="n"/>
      <c r="L438" s="22" t="n"/>
      <c r="M438" s="22" t="n"/>
      <c r="N438" s="22" t="n"/>
      <c r="O438" s="22" t="n"/>
      <c r="P438" s="23" t="n"/>
      <c r="Q438" s="65" t="n"/>
      <c r="R438" s="65" t="n"/>
      <c r="S438" s="55" t="n"/>
      <c r="T438" s="55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</row>
    <row r="439" ht="51.75" customHeight="1" s="211">
      <c r="A439" s="55" t="n"/>
      <c r="B439" s="12" t="n"/>
      <c r="C439" s="55">
        <f>'Sales Candence'!B439</f>
        <v/>
      </c>
      <c r="D439" s="71" t="n"/>
      <c r="E439" s="71" t="n"/>
      <c r="F439" s="22" t="n"/>
      <c r="G439" s="22" t="n"/>
      <c r="H439" s="31" t="n"/>
      <c r="I439" s="23" t="n"/>
      <c r="J439" s="56" t="n"/>
      <c r="K439" s="22" t="n"/>
      <c r="L439" s="22" t="n"/>
      <c r="M439" s="22" t="n"/>
      <c r="N439" s="22" t="n"/>
      <c r="O439" s="22" t="n"/>
      <c r="P439" s="23" t="n"/>
      <c r="Q439" s="65" t="n"/>
      <c r="R439" s="65" t="n"/>
      <c r="S439" s="55" t="n"/>
      <c r="T439" s="55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</row>
    <row r="440" ht="51.75" customHeight="1" s="211">
      <c r="A440" s="55" t="n"/>
      <c r="B440" s="12" t="n"/>
      <c r="C440" s="55">
        <f>'Sales Candence'!B440</f>
        <v/>
      </c>
      <c r="D440" s="71" t="n"/>
      <c r="E440" s="71" t="n"/>
      <c r="F440" s="22" t="n"/>
      <c r="G440" s="22" t="n"/>
      <c r="H440" s="31" t="n"/>
      <c r="I440" s="23" t="n"/>
      <c r="J440" s="56" t="n"/>
      <c r="K440" s="22" t="n"/>
      <c r="L440" s="22" t="n"/>
      <c r="M440" s="22" t="n"/>
      <c r="N440" s="22" t="n"/>
      <c r="O440" s="22" t="n"/>
      <c r="P440" s="23" t="n"/>
      <c r="Q440" s="65" t="n"/>
      <c r="R440" s="65" t="n"/>
      <c r="S440" s="55" t="n"/>
      <c r="T440" s="55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</row>
    <row r="441" ht="51.75" customHeight="1" s="211">
      <c r="A441" s="55" t="n"/>
      <c r="B441" s="12" t="n"/>
      <c r="C441" s="55">
        <f>'Sales Candence'!B441</f>
        <v/>
      </c>
      <c r="D441" s="71" t="n"/>
      <c r="E441" s="71" t="n"/>
      <c r="F441" s="22" t="n"/>
      <c r="G441" s="22" t="n"/>
      <c r="H441" s="31" t="n"/>
      <c r="I441" s="23" t="n"/>
      <c r="J441" s="56" t="n"/>
      <c r="K441" s="22" t="n"/>
      <c r="L441" s="22" t="n"/>
      <c r="M441" s="22" t="n"/>
      <c r="N441" s="22" t="n"/>
      <c r="O441" s="22" t="n"/>
      <c r="P441" s="23" t="n"/>
      <c r="Q441" s="65" t="n"/>
      <c r="R441" s="65" t="n"/>
      <c r="S441" s="55" t="n"/>
      <c r="T441" s="55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</row>
    <row r="442" ht="51.75" customHeight="1" s="211">
      <c r="A442" s="55" t="n"/>
      <c r="B442" s="12" t="n"/>
      <c r="C442" s="55">
        <f>'Sales Candence'!B442</f>
        <v/>
      </c>
      <c r="D442" s="71" t="n"/>
      <c r="E442" s="71" t="n"/>
      <c r="F442" s="22" t="n"/>
      <c r="G442" s="22" t="n"/>
      <c r="H442" s="31" t="n"/>
      <c r="I442" s="23" t="n"/>
      <c r="J442" s="56" t="n"/>
      <c r="K442" s="22" t="n"/>
      <c r="L442" s="22" t="n"/>
      <c r="M442" s="22" t="n"/>
      <c r="N442" s="22" t="n"/>
      <c r="O442" s="22" t="n"/>
      <c r="P442" s="23" t="n"/>
      <c r="Q442" s="65" t="n"/>
      <c r="R442" s="65" t="n"/>
      <c r="S442" s="55" t="n"/>
      <c r="T442" s="55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</row>
    <row r="443" ht="51.75" customHeight="1" s="211">
      <c r="A443" s="55" t="n"/>
      <c r="B443" s="12" t="n"/>
      <c r="C443" s="55">
        <f>'Sales Candence'!B443</f>
        <v/>
      </c>
      <c r="D443" s="71" t="n"/>
      <c r="E443" s="71" t="n"/>
      <c r="F443" s="22" t="n"/>
      <c r="G443" s="22" t="n"/>
      <c r="H443" s="31" t="n"/>
      <c r="I443" s="23" t="n"/>
      <c r="J443" s="56" t="n"/>
      <c r="K443" s="22" t="n"/>
      <c r="L443" s="22" t="n"/>
      <c r="M443" s="22" t="n"/>
      <c r="N443" s="22" t="n"/>
      <c r="O443" s="22" t="n"/>
      <c r="P443" s="23" t="n"/>
      <c r="Q443" s="65" t="n"/>
      <c r="R443" s="65" t="n"/>
      <c r="S443" s="55" t="n"/>
      <c r="T443" s="55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</row>
    <row r="444" ht="51.75" customHeight="1" s="211">
      <c r="A444" s="55" t="n"/>
      <c r="B444" s="12" t="n"/>
      <c r="C444" s="55">
        <f>'Sales Candence'!B444</f>
        <v/>
      </c>
      <c r="D444" s="71" t="n"/>
      <c r="E444" s="71" t="n"/>
      <c r="F444" s="22" t="n"/>
      <c r="G444" s="22" t="n"/>
      <c r="H444" s="31" t="n"/>
      <c r="I444" s="23" t="n"/>
      <c r="J444" s="56" t="n"/>
      <c r="K444" s="22" t="n"/>
      <c r="L444" s="22" t="n"/>
      <c r="M444" s="22" t="n"/>
      <c r="N444" s="22" t="n"/>
      <c r="O444" s="22" t="n"/>
      <c r="P444" s="23" t="n"/>
      <c r="Q444" s="65" t="n"/>
      <c r="R444" s="65" t="n"/>
      <c r="S444" s="55" t="n"/>
      <c r="T444" s="55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</row>
    <row r="445" ht="51.75" customHeight="1" s="211">
      <c r="A445" s="55" t="n"/>
      <c r="B445" s="12" t="n"/>
      <c r="C445" s="55">
        <f>'Sales Candence'!B445</f>
        <v/>
      </c>
      <c r="D445" s="71" t="n"/>
      <c r="E445" s="71" t="n"/>
      <c r="F445" s="22" t="n"/>
      <c r="G445" s="22" t="n"/>
      <c r="H445" s="31" t="n"/>
      <c r="I445" s="23" t="n"/>
      <c r="J445" s="56" t="n"/>
      <c r="K445" s="22" t="n"/>
      <c r="L445" s="22" t="n"/>
      <c r="M445" s="22" t="n"/>
      <c r="N445" s="22" t="n"/>
      <c r="O445" s="22" t="n"/>
      <c r="P445" s="23" t="n"/>
      <c r="Q445" s="65" t="n"/>
      <c r="R445" s="65" t="n"/>
      <c r="S445" s="55" t="n"/>
      <c r="T445" s="55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</row>
    <row r="446" ht="51.75" customHeight="1" s="211">
      <c r="A446" s="55" t="n"/>
      <c r="B446" s="12" t="n"/>
      <c r="C446" s="55">
        <f>'Sales Candence'!B446</f>
        <v/>
      </c>
      <c r="D446" s="71" t="n"/>
      <c r="E446" s="71" t="n"/>
      <c r="F446" s="22" t="n"/>
      <c r="G446" s="22" t="n"/>
      <c r="H446" s="31" t="n"/>
      <c r="I446" s="23" t="n"/>
      <c r="J446" s="56" t="n"/>
      <c r="K446" s="22" t="n"/>
      <c r="L446" s="22" t="n"/>
      <c r="M446" s="22" t="n"/>
      <c r="N446" s="22" t="n"/>
      <c r="O446" s="22" t="n"/>
      <c r="P446" s="23" t="n"/>
      <c r="Q446" s="65" t="n"/>
      <c r="R446" s="65" t="n"/>
      <c r="S446" s="55" t="n"/>
      <c r="T446" s="55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</row>
    <row r="447" ht="51.75" customHeight="1" s="211">
      <c r="A447" s="55" t="n"/>
      <c r="B447" s="12" t="n"/>
      <c r="C447" s="55">
        <f>'Sales Candence'!B447</f>
        <v/>
      </c>
      <c r="D447" s="71" t="n"/>
      <c r="E447" s="71" t="n"/>
      <c r="F447" s="22" t="n"/>
      <c r="G447" s="22" t="n"/>
      <c r="H447" s="31" t="n"/>
      <c r="I447" s="23" t="n"/>
      <c r="J447" s="56" t="n"/>
      <c r="K447" s="22" t="n"/>
      <c r="L447" s="22" t="n"/>
      <c r="M447" s="22" t="n"/>
      <c r="N447" s="22" t="n"/>
      <c r="O447" s="22" t="n"/>
      <c r="P447" s="23" t="n"/>
      <c r="Q447" s="65" t="n"/>
      <c r="R447" s="65" t="n"/>
      <c r="S447" s="55" t="n"/>
      <c r="T447" s="55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</row>
    <row r="448" ht="51.75" customHeight="1" s="211">
      <c r="A448" s="55" t="n"/>
      <c r="B448" s="12" t="n"/>
      <c r="C448" s="55">
        <f>'Sales Candence'!B448</f>
        <v/>
      </c>
      <c r="D448" s="71" t="n"/>
      <c r="E448" s="71" t="n"/>
      <c r="F448" s="22" t="n"/>
      <c r="G448" s="22" t="n"/>
      <c r="H448" s="31" t="n"/>
      <c r="I448" s="23" t="n"/>
      <c r="J448" s="56" t="n"/>
      <c r="K448" s="22" t="n"/>
      <c r="L448" s="22" t="n"/>
      <c r="M448" s="22" t="n"/>
      <c r="N448" s="22" t="n"/>
      <c r="O448" s="22" t="n"/>
      <c r="P448" s="23" t="n"/>
      <c r="Q448" s="65" t="n"/>
      <c r="R448" s="65" t="n"/>
      <c r="S448" s="55" t="n"/>
      <c r="T448" s="55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</row>
    <row r="449" ht="51.75" customHeight="1" s="211">
      <c r="A449" s="55" t="n"/>
      <c r="B449" s="12" t="n"/>
      <c r="C449" s="55">
        <f>'Sales Candence'!B449</f>
        <v/>
      </c>
      <c r="D449" s="71" t="n"/>
      <c r="E449" s="71" t="n"/>
      <c r="F449" s="22" t="n"/>
      <c r="G449" s="22" t="n"/>
      <c r="H449" s="31" t="n"/>
      <c r="I449" s="23" t="n"/>
      <c r="J449" s="56" t="n"/>
      <c r="K449" s="22" t="n"/>
      <c r="L449" s="22" t="n"/>
      <c r="M449" s="22" t="n"/>
      <c r="N449" s="22" t="n"/>
      <c r="O449" s="22" t="n"/>
      <c r="P449" s="23" t="n"/>
      <c r="Q449" s="65" t="n"/>
      <c r="R449" s="65" t="n"/>
      <c r="S449" s="55" t="n"/>
      <c r="T449" s="55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</row>
    <row r="450" ht="51.75" customHeight="1" s="211">
      <c r="A450" s="55" t="n"/>
      <c r="B450" s="12" t="n"/>
      <c r="C450" s="55">
        <f>'Sales Candence'!B450</f>
        <v/>
      </c>
      <c r="D450" s="71" t="n"/>
      <c r="E450" s="71" t="n"/>
      <c r="F450" s="22" t="n"/>
      <c r="G450" s="22" t="n"/>
      <c r="H450" s="31" t="n"/>
      <c r="I450" s="23" t="n"/>
      <c r="J450" s="56" t="n"/>
      <c r="K450" s="22" t="n"/>
      <c r="L450" s="22" t="n"/>
      <c r="M450" s="22" t="n"/>
      <c r="N450" s="22" t="n"/>
      <c r="O450" s="22" t="n"/>
      <c r="P450" s="23" t="n"/>
      <c r="Q450" s="65" t="n"/>
      <c r="R450" s="65" t="n"/>
      <c r="S450" s="55" t="n"/>
      <c r="T450" s="55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</row>
    <row r="451" ht="51.75" customHeight="1" s="211">
      <c r="A451" s="55" t="n"/>
      <c r="B451" s="12" t="n"/>
      <c r="C451" s="55">
        <f>'Sales Candence'!B451</f>
        <v/>
      </c>
      <c r="D451" s="71" t="n"/>
      <c r="E451" s="71" t="n"/>
      <c r="F451" s="22" t="n"/>
      <c r="G451" s="22" t="n"/>
      <c r="H451" s="31" t="n"/>
      <c r="I451" s="23" t="n"/>
      <c r="J451" s="56" t="n"/>
      <c r="K451" s="22" t="n"/>
      <c r="L451" s="22" t="n"/>
      <c r="M451" s="22" t="n"/>
      <c r="N451" s="22" t="n"/>
      <c r="O451" s="22" t="n"/>
      <c r="P451" s="23" t="n"/>
      <c r="Q451" s="65" t="n"/>
      <c r="R451" s="65" t="n"/>
      <c r="S451" s="55" t="n"/>
      <c r="T451" s="55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</row>
    <row r="452" ht="51.75" customHeight="1" s="211">
      <c r="A452" s="55" t="n"/>
      <c r="B452" s="12" t="n"/>
      <c r="C452" s="55">
        <f>'Sales Candence'!B452</f>
        <v/>
      </c>
      <c r="D452" s="71" t="n"/>
      <c r="E452" s="71" t="n"/>
      <c r="F452" s="22" t="n"/>
      <c r="G452" s="22" t="n"/>
      <c r="H452" s="31" t="n"/>
      <c r="I452" s="23" t="n"/>
      <c r="J452" s="56" t="n"/>
      <c r="K452" s="22" t="n"/>
      <c r="L452" s="22" t="n"/>
      <c r="M452" s="22" t="n"/>
      <c r="N452" s="22" t="n"/>
      <c r="O452" s="22" t="n"/>
      <c r="P452" s="23" t="n"/>
      <c r="Q452" s="65" t="n"/>
      <c r="R452" s="65" t="n"/>
      <c r="S452" s="55" t="n"/>
      <c r="T452" s="55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</row>
    <row r="453" ht="51.75" customHeight="1" s="211">
      <c r="A453" s="55" t="n"/>
      <c r="B453" s="12" t="n"/>
      <c r="C453" s="55">
        <f>'Sales Candence'!B453</f>
        <v/>
      </c>
      <c r="D453" s="71" t="n"/>
      <c r="E453" s="71" t="n"/>
      <c r="F453" s="22" t="n"/>
      <c r="G453" s="22" t="n"/>
      <c r="H453" s="31" t="n"/>
      <c r="I453" s="23" t="n"/>
      <c r="J453" s="56" t="n"/>
      <c r="K453" s="22" t="n"/>
      <c r="L453" s="22" t="n"/>
      <c r="M453" s="22" t="n"/>
      <c r="N453" s="22" t="n"/>
      <c r="O453" s="22" t="n"/>
      <c r="P453" s="23" t="n"/>
      <c r="Q453" s="65" t="n"/>
      <c r="R453" s="65" t="n"/>
      <c r="S453" s="55" t="n"/>
      <c r="T453" s="55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</row>
    <row r="454" ht="51.75" customHeight="1" s="211">
      <c r="A454" s="55" t="n"/>
      <c r="B454" s="12" t="n"/>
      <c r="C454" s="55">
        <f>'Sales Candence'!B454</f>
        <v/>
      </c>
      <c r="D454" s="71" t="n"/>
      <c r="E454" s="71" t="n"/>
      <c r="F454" s="22" t="n"/>
      <c r="G454" s="22" t="n"/>
      <c r="H454" s="31" t="n"/>
      <c r="I454" s="23" t="n"/>
      <c r="J454" s="56" t="n"/>
      <c r="K454" s="22" t="n"/>
      <c r="L454" s="22" t="n"/>
      <c r="M454" s="22" t="n"/>
      <c r="N454" s="22" t="n"/>
      <c r="O454" s="22" t="n"/>
      <c r="P454" s="23" t="n"/>
      <c r="Q454" s="65" t="n"/>
      <c r="R454" s="65" t="n"/>
      <c r="S454" s="55" t="n"/>
      <c r="T454" s="55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</row>
    <row r="455" ht="51.75" customHeight="1" s="211">
      <c r="A455" s="55" t="n"/>
      <c r="B455" s="12" t="n"/>
      <c r="C455" s="55">
        <f>'Sales Candence'!B455</f>
        <v/>
      </c>
      <c r="D455" s="71" t="n"/>
      <c r="E455" s="71" t="n"/>
      <c r="F455" s="22" t="n"/>
      <c r="G455" s="22" t="n"/>
      <c r="H455" s="31" t="n"/>
      <c r="I455" s="23" t="n"/>
      <c r="J455" s="56" t="n"/>
      <c r="K455" s="22" t="n"/>
      <c r="L455" s="22" t="n"/>
      <c r="M455" s="22" t="n"/>
      <c r="N455" s="22" t="n"/>
      <c r="O455" s="22" t="n"/>
      <c r="P455" s="23" t="n"/>
      <c r="Q455" s="65" t="n"/>
      <c r="R455" s="65" t="n"/>
      <c r="S455" s="55" t="n"/>
      <c r="T455" s="55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</row>
    <row r="456" ht="51.75" customHeight="1" s="211">
      <c r="A456" s="55" t="n"/>
      <c r="B456" s="12" t="n"/>
      <c r="C456" s="55">
        <f>'Sales Candence'!B456</f>
        <v/>
      </c>
      <c r="D456" s="71" t="n"/>
      <c r="E456" s="71" t="n"/>
      <c r="F456" s="22" t="n"/>
      <c r="G456" s="22" t="n"/>
      <c r="H456" s="31" t="n"/>
      <c r="I456" s="23" t="n"/>
      <c r="J456" s="56" t="n"/>
      <c r="K456" s="22" t="n"/>
      <c r="L456" s="22" t="n"/>
      <c r="M456" s="22" t="n"/>
      <c r="N456" s="22" t="n"/>
      <c r="O456" s="22" t="n"/>
      <c r="P456" s="23" t="n"/>
      <c r="Q456" s="65" t="n"/>
      <c r="R456" s="65" t="n"/>
      <c r="S456" s="55" t="n"/>
      <c r="T456" s="55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</row>
    <row r="457" ht="51.75" customHeight="1" s="211">
      <c r="A457" s="55" t="n"/>
      <c r="B457" s="12" t="n"/>
      <c r="C457" s="55">
        <f>'Sales Candence'!B457</f>
        <v/>
      </c>
      <c r="D457" s="71" t="n"/>
      <c r="E457" s="71" t="n"/>
      <c r="F457" s="22" t="n"/>
      <c r="G457" s="22" t="n"/>
      <c r="H457" s="31" t="n"/>
      <c r="I457" s="23" t="n"/>
      <c r="J457" s="56" t="n"/>
      <c r="K457" s="22" t="n"/>
      <c r="L457" s="22" t="n"/>
      <c r="M457" s="22" t="n"/>
      <c r="N457" s="22" t="n"/>
      <c r="O457" s="22" t="n"/>
      <c r="P457" s="23" t="n"/>
      <c r="Q457" s="65" t="n"/>
      <c r="R457" s="65" t="n"/>
      <c r="S457" s="55" t="n"/>
      <c r="T457" s="55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</row>
    <row r="458" ht="51.75" customHeight="1" s="211">
      <c r="A458" s="55" t="n"/>
      <c r="B458" s="12" t="n"/>
      <c r="C458" s="55">
        <f>'Sales Candence'!B458</f>
        <v/>
      </c>
      <c r="D458" s="71" t="n"/>
      <c r="E458" s="71" t="n"/>
      <c r="F458" s="22" t="n"/>
      <c r="G458" s="22" t="n"/>
      <c r="H458" s="31" t="n"/>
      <c r="I458" s="23" t="n"/>
      <c r="J458" s="56" t="n"/>
      <c r="K458" s="22" t="n"/>
      <c r="L458" s="22" t="n"/>
      <c r="M458" s="22" t="n"/>
      <c r="N458" s="22" t="n"/>
      <c r="O458" s="22" t="n"/>
      <c r="P458" s="23" t="n"/>
      <c r="Q458" s="65" t="n"/>
      <c r="R458" s="65" t="n"/>
      <c r="S458" s="55" t="n"/>
      <c r="T458" s="55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</row>
    <row r="459" ht="51.75" customHeight="1" s="211">
      <c r="A459" s="55" t="n"/>
      <c r="B459" s="12" t="n"/>
      <c r="C459" s="55">
        <f>'Sales Candence'!B459</f>
        <v/>
      </c>
      <c r="D459" s="71" t="n"/>
      <c r="E459" s="71" t="n"/>
      <c r="F459" s="22" t="n"/>
      <c r="G459" s="22" t="n"/>
      <c r="H459" s="31" t="n"/>
      <c r="I459" s="23" t="n"/>
      <c r="J459" s="56" t="n"/>
      <c r="K459" s="22" t="n"/>
      <c r="L459" s="22" t="n"/>
      <c r="M459" s="22" t="n"/>
      <c r="N459" s="22" t="n"/>
      <c r="O459" s="22" t="n"/>
      <c r="P459" s="23" t="n"/>
      <c r="Q459" s="65" t="n"/>
      <c r="R459" s="65" t="n"/>
      <c r="S459" s="55" t="n"/>
      <c r="T459" s="55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</row>
    <row r="460" ht="51.75" customHeight="1" s="211">
      <c r="A460" s="55" t="n"/>
      <c r="B460" s="12" t="n"/>
      <c r="C460" s="55">
        <f>'Sales Candence'!B460</f>
        <v/>
      </c>
      <c r="D460" s="71" t="n"/>
      <c r="E460" s="71" t="n"/>
      <c r="F460" s="22" t="n"/>
      <c r="G460" s="22" t="n"/>
      <c r="H460" s="31" t="n"/>
      <c r="I460" s="23" t="n"/>
      <c r="J460" s="56" t="n"/>
      <c r="K460" s="22" t="n"/>
      <c r="L460" s="22" t="n"/>
      <c r="M460" s="22" t="n"/>
      <c r="N460" s="22" t="n"/>
      <c r="O460" s="22" t="n"/>
      <c r="P460" s="23" t="n"/>
      <c r="Q460" s="65" t="n"/>
      <c r="R460" s="65" t="n"/>
      <c r="S460" s="55" t="n"/>
      <c r="T460" s="55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</row>
    <row r="461" ht="51.75" customHeight="1" s="211">
      <c r="A461" s="55" t="n"/>
      <c r="B461" s="12" t="n"/>
      <c r="C461" s="55">
        <f>'Sales Candence'!B461</f>
        <v/>
      </c>
      <c r="D461" s="71" t="n"/>
      <c r="E461" s="71" t="n"/>
      <c r="F461" s="22" t="n"/>
      <c r="G461" s="22" t="n"/>
      <c r="H461" s="31" t="n"/>
      <c r="I461" s="23" t="n"/>
      <c r="J461" s="56" t="n"/>
      <c r="K461" s="22" t="n"/>
      <c r="L461" s="22" t="n"/>
      <c r="M461" s="22" t="n"/>
      <c r="N461" s="22" t="n"/>
      <c r="O461" s="22" t="n"/>
      <c r="P461" s="23" t="n"/>
      <c r="Q461" s="65" t="n"/>
      <c r="R461" s="65" t="n"/>
      <c r="S461" s="55" t="n"/>
      <c r="T461" s="55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</row>
    <row r="462" ht="51.75" customHeight="1" s="211">
      <c r="A462" s="55" t="n"/>
      <c r="B462" s="12" t="n"/>
      <c r="C462" s="55">
        <f>'Sales Candence'!B462</f>
        <v/>
      </c>
      <c r="D462" s="71" t="n"/>
      <c r="E462" s="71" t="n"/>
      <c r="F462" s="22" t="n"/>
      <c r="G462" s="22" t="n"/>
      <c r="H462" s="31" t="n"/>
      <c r="I462" s="23" t="n"/>
      <c r="J462" s="56" t="n"/>
      <c r="K462" s="22" t="n"/>
      <c r="L462" s="22" t="n"/>
      <c r="M462" s="22" t="n"/>
      <c r="N462" s="22" t="n"/>
      <c r="O462" s="22" t="n"/>
      <c r="P462" s="23" t="n"/>
      <c r="Q462" s="65" t="n"/>
      <c r="R462" s="65" t="n"/>
      <c r="S462" s="55" t="n"/>
      <c r="T462" s="55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</row>
    <row r="463" ht="51.75" customHeight="1" s="211">
      <c r="A463" s="55" t="n"/>
      <c r="B463" s="12" t="n"/>
      <c r="C463" s="55">
        <f>'Sales Candence'!B463</f>
        <v/>
      </c>
      <c r="D463" s="71" t="n"/>
      <c r="E463" s="71" t="n"/>
      <c r="F463" s="22" t="n"/>
      <c r="G463" s="22" t="n"/>
      <c r="H463" s="31" t="n"/>
      <c r="I463" s="23" t="n"/>
      <c r="J463" s="56" t="n"/>
      <c r="K463" s="22" t="n"/>
      <c r="L463" s="22" t="n"/>
      <c r="M463" s="22" t="n"/>
      <c r="N463" s="22" t="n"/>
      <c r="O463" s="22" t="n"/>
      <c r="P463" s="23" t="n"/>
      <c r="Q463" s="65" t="n"/>
      <c r="R463" s="65" t="n"/>
      <c r="S463" s="55" t="n"/>
      <c r="T463" s="55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</row>
    <row r="464" ht="51.75" customHeight="1" s="211">
      <c r="A464" s="55" t="n"/>
      <c r="B464" s="12" t="n"/>
      <c r="C464" s="55">
        <f>'Sales Candence'!B464</f>
        <v/>
      </c>
      <c r="D464" s="71" t="n"/>
      <c r="E464" s="71" t="n"/>
      <c r="F464" s="22" t="n"/>
      <c r="G464" s="22" t="n"/>
      <c r="H464" s="31" t="n"/>
      <c r="I464" s="23" t="n"/>
      <c r="J464" s="56" t="n"/>
      <c r="K464" s="22" t="n"/>
      <c r="L464" s="22" t="n"/>
      <c r="M464" s="22" t="n"/>
      <c r="N464" s="22" t="n"/>
      <c r="O464" s="22" t="n"/>
      <c r="P464" s="23" t="n"/>
      <c r="Q464" s="65" t="n"/>
      <c r="R464" s="65" t="n"/>
      <c r="S464" s="55" t="n"/>
      <c r="T464" s="55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</row>
    <row r="465" ht="51.75" customHeight="1" s="211">
      <c r="A465" s="55" t="n"/>
      <c r="B465" s="12" t="n"/>
      <c r="C465" s="55">
        <f>'Sales Candence'!B465</f>
        <v/>
      </c>
      <c r="D465" s="71" t="n"/>
      <c r="E465" s="71" t="n"/>
      <c r="F465" s="22" t="n"/>
      <c r="G465" s="22" t="n"/>
      <c r="H465" s="31" t="n"/>
      <c r="I465" s="23" t="n"/>
      <c r="J465" s="56" t="n"/>
      <c r="K465" s="22" t="n"/>
      <c r="L465" s="22" t="n"/>
      <c r="M465" s="22" t="n"/>
      <c r="N465" s="22" t="n"/>
      <c r="O465" s="22" t="n"/>
      <c r="P465" s="23" t="n"/>
      <c r="Q465" s="65" t="n"/>
      <c r="R465" s="65" t="n"/>
      <c r="S465" s="55" t="n"/>
      <c r="T465" s="55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</row>
    <row r="466" ht="51.75" customHeight="1" s="211">
      <c r="A466" s="55" t="n"/>
      <c r="B466" s="12" t="n"/>
      <c r="C466" s="55">
        <f>'Sales Candence'!B466</f>
        <v/>
      </c>
      <c r="D466" s="71" t="n"/>
      <c r="E466" s="71" t="n"/>
      <c r="F466" s="22" t="n"/>
      <c r="G466" s="22" t="n"/>
      <c r="H466" s="31" t="n"/>
      <c r="I466" s="23" t="n"/>
      <c r="J466" s="56" t="n"/>
      <c r="K466" s="22" t="n"/>
      <c r="L466" s="22" t="n"/>
      <c r="M466" s="22" t="n"/>
      <c r="N466" s="22" t="n"/>
      <c r="O466" s="22" t="n"/>
      <c r="P466" s="23" t="n"/>
      <c r="Q466" s="65" t="n"/>
      <c r="R466" s="65" t="n"/>
      <c r="S466" s="55" t="n"/>
      <c r="T466" s="55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</row>
    <row r="467" ht="51.75" customHeight="1" s="211">
      <c r="A467" s="55" t="n"/>
      <c r="B467" s="12" t="n"/>
      <c r="C467" s="55">
        <f>'Sales Candence'!B467</f>
        <v/>
      </c>
      <c r="D467" s="71" t="n"/>
      <c r="E467" s="71" t="n"/>
      <c r="F467" s="22" t="n"/>
      <c r="G467" s="22" t="n"/>
      <c r="H467" s="31" t="n"/>
      <c r="I467" s="23" t="n"/>
      <c r="J467" s="56" t="n"/>
      <c r="K467" s="22" t="n"/>
      <c r="L467" s="22" t="n"/>
      <c r="M467" s="22" t="n"/>
      <c r="N467" s="22" t="n"/>
      <c r="O467" s="22" t="n"/>
      <c r="P467" s="23" t="n"/>
      <c r="Q467" s="65" t="n"/>
      <c r="R467" s="65" t="n"/>
      <c r="S467" s="55" t="n"/>
      <c r="T467" s="55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</row>
    <row r="468" ht="51.75" customHeight="1" s="211">
      <c r="A468" s="55" t="n"/>
      <c r="B468" s="12" t="n"/>
      <c r="C468" s="55">
        <f>'Sales Candence'!B468</f>
        <v/>
      </c>
      <c r="D468" s="71" t="n"/>
      <c r="E468" s="71" t="n"/>
      <c r="F468" s="22" t="n"/>
      <c r="G468" s="22" t="n"/>
      <c r="H468" s="31" t="n"/>
      <c r="I468" s="23" t="n"/>
      <c r="J468" s="56" t="n"/>
      <c r="K468" s="22" t="n"/>
      <c r="L468" s="22" t="n"/>
      <c r="M468" s="22" t="n"/>
      <c r="N468" s="22" t="n"/>
      <c r="O468" s="22" t="n"/>
      <c r="P468" s="23" t="n"/>
      <c r="Q468" s="65" t="n"/>
      <c r="R468" s="65" t="n"/>
      <c r="S468" s="55" t="n"/>
      <c r="T468" s="55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</row>
    <row r="469" ht="51.75" customHeight="1" s="211">
      <c r="A469" s="55" t="n"/>
      <c r="B469" s="12" t="n"/>
      <c r="C469" s="55">
        <f>'Sales Candence'!B469</f>
        <v/>
      </c>
      <c r="D469" s="71" t="n"/>
      <c r="E469" s="71" t="n"/>
      <c r="F469" s="22" t="n"/>
      <c r="G469" s="22" t="n"/>
      <c r="H469" s="31" t="n"/>
      <c r="I469" s="23" t="n"/>
      <c r="J469" s="56" t="n"/>
      <c r="K469" s="22" t="n"/>
      <c r="L469" s="22" t="n"/>
      <c r="M469" s="22" t="n"/>
      <c r="N469" s="22" t="n"/>
      <c r="O469" s="22" t="n"/>
      <c r="P469" s="23" t="n"/>
      <c r="Q469" s="65" t="n"/>
      <c r="R469" s="65" t="n"/>
      <c r="S469" s="55" t="n"/>
      <c r="T469" s="55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</row>
    <row r="470" ht="51.75" customHeight="1" s="211">
      <c r="A470" s="55" t="n"/>
      <c r="B470" s="12" t="n"/>
      <c r="C470" s="55">
        <f>'Sales Candence'!B470</f>
        <v/>
      </c>
      <c r="D470" s="71" t="n"/>
      <c r="E470" s="71" t="n"/>
      <c r="F470" s="22" t="n"/>
      <c r="G470" s="22" t="n"/>
      <c r="H470" s="31" t="n"/>
      <c r="I470" s="23" t="n"/>
      <c r="J470" s="56" t="n"/>
      <c r="K470" s="22" t="n"/>
      <c r="L470" s="22" t="n"/>
      <c r="M470" s="22" t="n"/>
      <c r="N470" s="22" t="n"/>
      <c r="O470" s="22" t="n"/>
      <c r="P470" s="23" t="n"/>
      <c r="Q470" s="65" t="n"/>
      <c r="R470" s="65" t="n"/>
      <c r="S470" s="55" t="n"/>
      <c r="T470" s="55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</row>
    <row r="471" ht="51.75" customHeight="1" s="211">
      <c r="A471" s="55" t="n"/>
      <c r="B471" s="12" t="n"/>
      <c r="C471" s="55">
        <f>'Sales Candence'!B471</f>
        <v/>
      </c>
      <c r="D471" s="71" t="n"/>
      <c r="E471" s="71" t="n"/>
      <c r="F471" s="22" t="n"/>
      <c r="G471" s="22" t="n"/>
      <c r="H471" s="31" t="n"/>
      <c r="I471" s="23" t="n"/>
      <c r="J471" s="56" t="n"/>
      <c r="K471" s="22" t="n"/>
      <c r="L471" s="22" t="n"/>
      <c r="M471" s="22" t="n"/>
      <c r="N471" s="22" t="n"/>
      <c r="O471" s="22" t="n"/>
      <c r="P471" s="23" t="n"/>
      <c r="Q471" s="65" t="n"/>
      <c r="R471" s="65" t="n"/>
      <c r="S471" s="55" t="n"/>
      <c r="T471" s="55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</row>
    <row r="472" ht="51.75" customHeight="1" s="211">
      <c r="A472" s="55" t="n"/>
      <c r="B472" s="12" t="n"/>
      <c r="C472" s="55">
        <f>'Sales Candence'!B472</f>
        <v/>
      </c>
      <c r="D472" s="71" t="n"/>
      <c r="E472" s="71" t="n"/>
      <c r="F472" s="22" t="n"/>
      <c r="G472" s="22" t="n"/>
      <c r="H472" s="31" t="n"/>
      <c r="I472" s="23" t="n"/>
      <c r="J472" s="56" t="n"/>
      <c r="K472" s="22" t="n"/>
      <c r="L472" s="22" t="n"/>
      <c r="M472" s="22" t="n"/>
      <c r="N472" s="22" t="n"/>
      <c r="O472" s="22" t="n"/>
      <c r="P472" s="23" t="n"/>
      <c r="Q472" s="65" t="n"/>
      <c r="R472" s="65" t="n"/>
      <c r="S472" s="55" t="n"/>
      <c r="T472" s="55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</row>
    <row r="473" ht="51.75" customHeight="1" s="211">
      <c r="A473" s="55" t="n"/>
      <c r="B473" s="12" t="n"/>
      <c r="C473" s="55">
        <f>'Sales Candence'!B473</f>
        <v/>
      </c>
      <c r="D473" s="71" t="n"/>
      <c r="E473" s="71" t="n"/>
      <c r="F473" s="22" t="n"/>
      <c r="G473" s="22" t="n"/>
      <c r="H473" s="31" t="n"/>
      <c r="I473" s="23" t="n"/>
      <c r="J473" s="56" t="n"/>
      <c r="K473" s="22" t="n"/>
      <c r="L473" s="22" t="n"/>
      <c r="M473" s="22" t="n"/>
      <c r="N473" s="22" t="n"/>
      <c r="O473" s="22" t="n"/>
      <c r="P473" s="23" t="n"/>
      <c r="Q473" s="65" t="n"/>
      <c r="R473" s="65" t="n"/>
      <c r="S473" s="55" t="n"/>
      <c r="T473" s="55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</row>
    <row r="474" ht="51.75" customHeight="1" s="211">
      <c r="A474" s="55" t="n"/>
      <c r="B474" s="12" t="n"/>
      <c r="C474" s="55">
        <f>'Sales Candence'!B474</f>
        <v/>
      </c>
      <c r="D474" s="71" t="n"/>
      <c r="E474" s="71" t="n"/>
      <c r="F474" s="22" t="n"/>
      <c r="G474" s="22" t="n"/>
      <c r="H474" s="31" t="n"/>
      <c r="I474" s="23" t="n"/>
      <c r="J474" s="56" t="n"/>
      <c r="K474" s="22" t="n"/>
      <c r="L474" s="22" t="n"/>
      <c r="M474" s="22" t="n"/>
      <c r="N474" s="22" t="n"/>
      <c r="O474" s="22" t="n"/>
      <c r="P474" s="23" t="n"/>
      <c r="Q474" s="65" t="n"/>
      <c r="R474" s="65" t="n"/>
      <c r="S474" s="55" t="n"/>
      <c r="T474" s="55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</row>
    <row r="475" ht="51.75" customHeight="1" s="211">
      <c r="A475" s="55" t="n"/>
      <c r="B475" s="12" t="n"/>
      <c r="C475" s="55">
        <f>'Sales Candence'!B475</f>
        <v/>
      </c>
      <c r="D475" s="71" t="n"/>
      <c r="E475" s="71" t="n"/>
      <c r="F475" s="22" t="n"/>
      <c r="G475" s="22" t="n"/>
      <c r="H475" s="31" t="n"/>
      <c r="I475" s="23" t="n"/>
      <c r="J475" s="56" t="n"/>
      <c r="K475" s="22" t="n"/>
      <c r="L475" s="22" t="n"/>
      <c r="M475" s="22" t="n"/>
      <c r="N475" s="22" t="n"/>
      <c r="O475" s="22" t="n"/>
      <c r="P475" s="23" t="n"/>
      <c r="Q475" s="65" t="n"/>
      <c r="R475" s="65" t="n"/>
      <c r="S475" s="55" t="n"/>
      <c r="T475" s="55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</row>
    <row r="476" ht="51.75" customHeight="1" s="211">
      <c r="A476" s="55" t="n"/>
      <c r="B476" s="12" t="n"/>
      <c r="C476" s="55">
        <f>'Sales Candence'!B476</f>
        <v/>
      </c>
      <c r="D476" s="71" t="n"/>
      <c r="E476" s="71" t="n"/>
      <c r="F476" s="22" t="n"/>
      <c r="G476" s="22" t="n"/>
      <c r="H476" s="31" t="n"/>
      <c r="I476" s="23" t="n"/>
      <c r="J476" s="56" t="n"/>
      <c r="K476" s="22" t="n"/>
      <c r="L476" s="22" t="n"/>
      <c r="M476" s="22" t="n"/>
      <c r="N476" s="22" t="n"/>
      <c r="O476" s="22" t="n"/>
      <c r="P476" s="23" t="n"/>
      <c r="Q476" s="65" t="n"/>
      <c r="R476" s="65" t="n"/>
      <c r="S476" s="55" t="n"/>
      <c r="T476" s="55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</row>
    <row r="477" ht="51.75" customHeight="1" s="211">
      <c r="A477" s="55" t="n"/>
      <c r="B477" s="12" t="n"/>
      <c r="C477" s="55">
        <f>'Sales Candence'!B477</f>
        <v/>
      </c>
      <c r="D477" s="71" t="n"/>
      <c r="E477" s="71" t="n"/>
      <c r="F477" s="22" t="n"/>
      <c r="G477" s="22" t="n"/>
      <c r="H477" s="31" t="n"/>
      <c r="I477" s="23" t="n"/>
      <c r="J477" s="56" t="n"/>
      <c r="K477" s="22" t="n"/>
      <c r="L477" s="22" t="n"/>
      <c r="M477" s="22" t="n"/>
      <c r="N477" s="22" t="n"/>
      <c r="O477" s="22" t="n"/>
      <c r="P477" s="23" t="n"/>
      <c r="Q477" s="65" t="n"/>
      <c r="R477" s="65" t="n"/>
      <c r="S477" s="55" t="n"/>
      <c r="T477" s="55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</row>
    <row r="478" ht="51.75" customHeight="1" s="211">
      <c r="A478" s="55" t="n"/>
      <c r="B478" s="12" t="n"/>
      <c r="C478" s="55">
        <f>'Sales Candence'!B478</f>
        <v/>
      </c>
      <c r="D478" s="71" t="n"/>
      <c r="E478" s="71" t="n"/>
      <c r="F478" s="22" t="n"/>
      <c r="G478" s="22" t="n"/>
      <c r="H478" s="31" t="n"/>
      <c r="I478" s="23" t="n"/>
      <c r="J478" s="56" t="n"/>
      <c r="K478" s="22" t="n"/>
      <c r="L478" s="22" t="n"/>
      <c r="M478" s="22" t="n"/>
      <c r="N478" s="22" t="n"/>
      <c r="O478" s="22" t="n"/>
      <c r="P478" s="23" t="n"/>
      <c r="Q478" s="65" t="n"/>
      <c r="R478" s="65" t="n"/>
      <c r="S478" s="55" t="n"/>
      <c r="T478" s="55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</row>
    <row r="479" ht="51.75" customHeight="1" s="211">
      <c r="A479" s="55" t="n"/>
      <c r="B479" s="12" t="n"/>
      <c r="C479" s="55">
        <f>'Sales Candence'!B479</f>
        <v/>
      </c>
      <c r="D479" s="71" t="n"/>
      <c r="E479" s="71" t="n"/>
      <c r="F479" s="22" t="n"/>
      <c r="G479" s="22" t="n"/>
      <c r="H479" s="31" t="n"/>
      <c r="I479" s="23" t="n"/>
      <c r="J479" s="56" t="n"/>
      <c r="K479" s="22" t="n"/>
      <c r="L479" s="22" t="n"/>
      <c r="M479" s="22" t="n"/>
      <c r="N479" s="22" t="n"/>
      <c r="O479" s="22" t="n"/>
      <c r="P479" s="23" t="n"/>
      <c r="Q479" s="65" t="n"/>
      <c r="R479" s="65" t="n"/>
      <c r="S479" s="55" t="n"/>
      <c r="T479" s="55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</row>
    <row r="480" ht="51.75" customHeight="1" s="211">
      <c r="A480" s="55" t="n"/>
      <c r="B480" s="12" t="n"/>
      <c r="C480" s="55">
        <f>'Sales Candence'!B480</f>
        <v/>
      </c>
      <c r="D480" s="71" t="n"/>
      <c r="E480" s="71" t="n"/>
      <c r="F480" s="22" t="n"/>
      <c r="G480" s="22" t="n"/>
      <c r="H480" s="31" t="n"/>
      <c r="I480" s="23" t="n"/>
      <c r="J480" s="56" t="n"/>
      <c r="K480" s="22" t="n"/>
      <c r="L480" s="22" t="n"/>
      <c r="M480" s="22" t="n"/>
      <c r="N480" s="22" t="n"/>
      <c r="O480" s="22" t="n"/>
      <c r="P480" s="23" t="n"/>
      <c r="Q480" s="65" t="n"/>
      <c r="R480" s="65" t="n"/>
      <c r="S480" s="55" t="n"/>
      <c r="T480" s="55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</row>
    <row r="481" ht="51.75" customHeight="1" s="211">
      <c r="A481" s="55" t="n"/>
      <c r="B481" s="12" t="n"/>
      <c r="C481" s="55">
        <f>'Sales Candence'!B481</f>
        <v/>
      </c>
      <c r="D481" s="71" t="n"/>
      <c r="E481" s="71" t="n"/>
      <c r="F481" s="22" t="n"/>
      <c r="G481" s="22" t="n"/>
      <c r="H481" s="31" t="n"/>
      <c r="I481" s="23" t="n"/>
      <c r="J481" s="56" t="n"/>
      <c r="K481" s="22" t="n"/>
      <c r="L481" s="22" t="n"/>
      <c r="M481" s="22" t="n"/>
      <c r="N481" s="22" t="n"/>
      <c r="O481" s="22" t="n"/>
      <c r="P481" s="23" t="n"/>
      <c r="Q481" s="65" t="n"/>
      <c r="R481" s="65" t="n"/>
      <c r="S481" s="55" t="n"/>
      <c r="T481" s="55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</row>
    <row r="482" ht="51.75" customHeight="1" s="211">
      <c r="A482" s="55" t="n"/>
      <c r="B482" s="12" t="n"/>
      <c r="C482" s="55">
        <f>'Sales Candence'!B482</f>
        <v/>
      </c>
      <c r="D482" s="71" t="n"/>
      <c r="E482" s="71" t="n"/>
      <c r="F482" s="22" t="n"/>
      <c r="G482" s="22" t="n"/>
      <c r="H482" s="31" t="n"/>
      <c r="I482" s="23" t="n"/>
      <c r="J482" s="56" t="n"/>
      <c r="K482" s="22" t="n"/>
      <c r="L482" s="22" t="n"/>
      <c r="M482" s="22" t="n"/>
      <c r="N482" s="22" t="n"/>
      <c r="O482" s="22" t="n"/>
      <c r="P482" s="23" t="n"/>
      <c r="Q482" s="65" t="n"/>
      <c r="R482" s="65" t="n"/>
      <c r="S482" s="55" t="n"/>
      <c r="T482" s="55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</row>
    <row r="483" ht="51.75" customHeight="1" s="211">
      <c r="A483" s="55" t="n"/>
      <c r="B483" s="12" t="n"/>
      <c r="C483" s="55">
        <f>'Sales Candence'!B483</f>
        <v/>
      </c>
      <c r="D483" s="71" t="n"/>
      <c r="E483" s="71" t="n"/>
      <c r="F483" s="22" t="n"/>
      <c r="G483" s="22" t="n"/>
      <c r="H483" s="31" t="n"/>
      <c r="I483" s="23" t="n"/>
      <c r="J483" s="56" t="n"/>
      <c r="K483" s="22" t="n"/>
      <c r="L483" s="22" t="n"/>
      <c r="M483" s="22" t="n"/>
      <c r="N483" s="22" t="n"/>
      <c r="O483" s="22" t="n"/>
      <c r="P483" s="23" t="n"/>
      <c r="Q483" s="65" t="n"/>
      <c r="R483" s="65" t="n"/>
      <c r="S483" s="55" t="n"/>
      <c r="T483" s="55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</row>
    <row r="484" ht="51.75" customHeight="1" s="211">
      <c r="A484" s="55" t="n"/>
      <c r="B484" s="12" t="n"/>
      <c r="C484" s="55">
        <f>'Sales Candence'!B484</f>
        <v/>
      </c>
      <c r="D484" s="71" t="n"/>
      <c r="E484" s="71" t="n"/>
      <c r="F484" s="22" t="n"/>
      <c r="G484" s="22" t="n"/>
      <c r="H484" s="31" t="n"/>
      <c r="I484" s="23" t="n"/>
      <c r="J484" s="56" t="n"/>
      <c r="K484" s="22" t="n"/>
      <c r="L484" s="22" t="n"/>
      <c r="M484" s="22" t="n"/>
      <c r="N484" s="22" t="n"/>
      <c r="O484" s="22" t="n"/>
      <c r="P484" s="23" t="n"/>
      <c r="Q484" s="65" t="n"/>
      <c r="R484" s="65" t="n"/>
      <c r="S484" s="55" t="n"/>
      <c r="T484" s="55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</row>
    <row r="485" ht="51.75" customHeight="1" s="211">
      <c r="A485" s="55" t="n"/>
      <c r="B485" s="12" t="n"/>
      <c r="C485" s="55">
        <f>'Sales Candence'!B485</f>
        <v/>
      </c>
      <c r="D485" s="71" t="n"/>
      <c r="E485" s="71" t="n"/>
      <c r="F485" s="22" t="n"/>
      <c r="G485" s="22" t="n"/>
      <c r="H485" s="31" t="n"/>
      <c r="I485" s="23" t="n"/>
      <c r="J485" s="56" t="n"/>
      <c r="K485" s="22" t="n"/>
      <c r="L485" s="22" t="n"/>
      <c r="M485" s="22" t="n"/>
      <c r="N485" s="22" t="n"/>
      <c r="O485" s="22" t="n"/>
      <c r="P485" s="23" t="n"/>
      <c r="Q485" s="65" t="n"/>
      <c r="R485" s="65" t="n"/>
      <c r="S485" s="55" t="n"/>
      <c r="T485" s="55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</row>
    <row r="486" ht="51.75" customHeight="1" s="211">
      <c r="A486" s="55" t="n"/>
      <c r="B486" s="12" t="n"/>
      <c r="C486" s="55">
        <f>'Sales Candence'!B486</f>
        <v/>
      </c>
      <c r="D486" s="71" t="n"/>
      <c r="E486" s="71" t="n"/>
      <c r="F486" s="22" t="n"/>
      <c r="G486" s="22" t="n"/>
      <c r="H486" s="31" t="n"/>
      <c r="I486" s="23" t="n"/>
      <c r="J486" s="56" t="n"/>
      <c r="K486" s="22" t="n"/>
      <c r="L486" s="22" t="n"/>
      <c r="M486" s="22" t="n"/>
      <c r="N486" s="22" t="n"/>
      <c r="O486" s="22" t="n"/>
      <c r="P486" s="23" t="n"/>
      <c r="Q486" s="65" t="n"/>
      <c r="R486" s="65" t="n"/>
      <c r="S486" s="55" t="n"/>
      <c r="T486" s="55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</row>
    <row r="487" ht="51.75" customHeight="1" s="211">
      <c r="A487" s="55" t="n"/>
      <c r="B487" s="12" t="n"/>
      <c r="C487" s="55">
        <f>'Sales Candence'!B487</f>
        <v/>
      </c>
      <c r="D487" s="71" t="n"/>
      <c r="E487" s="71" t="n"/>
      <c r="F487" s="22" t="n"/>
      <c r="G487" s="22" t="n"/>
      <c r="H487" s="31" t="n"/>
      <c r="I487" s="23" t="n"/>
      <c r="J487" s="56" t="n"/>
      <c r="K487" s="22" t="n"/>
      <c r="L487" s="22" t="n"/>
      <c r="M487" s="22" t="n"/>
      <c r="N487" s="22" t="n"/>
      <c r="O487" s="22" t="n"/>
      <c r="P487" s="23" t="n"/>
      <c r="Q487" s="65" t="n"/>
      <c r="R487" s="65" t="n"/>
      <c r="S487" s="55" t="n"/>
      <c r="T487" s="55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</row>
    <row r="488" ht="51.75" customHeight="1" s="211">
      <c r="A488" s="55" t="n"/>
      <c r="B488" s="12" t="n"/>
      <c r="C488" s="55">
        <f>'Sales Candence'!B488</f>
        <v/>
      </c>
      <c r="D488" s="71" t="n"/>
      <c r="E488" s="71" t="n"/>
      <c r="F488" s="22" t="n"/>
      <c r="G488" s="22" t="n"/>
      <c r="H488" s="31" t="n"/>
      <c r="I488" s="23" t="n"/>
      <c r="J488" s="56" t="n"/>
      <c r="K488" s="22" t="n"/>
      <c r="L488" s="22" t="n"/>
      <c r="M488" s="22" t="n"/>
      <c r="N488" s="22" t="n"/>
      <c r="O488" s="22" t="n"/>
      <c r="P488" s="23" t="n"/>
      <c r="Q488" s="65" t="n"/>
      <c r="R488" s="65" t="n"/>
      <c r="S488" s="55" t="n"/>
      <c r="T488" s="55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</row>
    <row r="489" ht="51.75" customHeight="1" s="211">
      <c r="A489" s="55" t="n"/>
      <c r="B489" s="12" t="n"/>
      <c r="C489" s="55">
        <f>'Sales Candence'!B489</f>
        <v/>
      </c>
      <c r="D489" s="71" t="n"/>
      <c r="E489" s="71" t="n"/>
      <c r="F489" s="22" t="n"/>
      <c r="G489" s="22" t="n"/>
      <c r="H489" s="31" t="n"/>
      <c r="I489" s="23" t="n"/>
      <c r="J489" s="56" t="n"/>
      <c r="K489" s="22" t="n"/>
      <c r="L489" s="22" t="n"/>
      <c r="M489" s="22" t="n"/>
      <c r="N489" s="22" t="n"/>
      <c r="O489" s="22" t="n"/>
      <c r="P489" s="23" t="n"/>
      <c r="Q489" s="65" t="n"/>
      <c r="R489" s="65" t="n"/>
      <c r="S489" s="55" t="n"/>
      <c r="T489" s="55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</row>
    <row r="490" ht="51.75" customHeight="1" s="211">
      <c r="A490" s="55" t="n"/>
      <c r="B490" s="12" t="n"/>
      <c r="C490" s="55">
        <f>'Sales Candence'!B490</f>
        <v/>
      </c>
      <c r="D490" s="71" t="n"/>
      <c r="E490" s="71" t="n"/>
      <c r="F490" s="22" t="n"/>
      <c r="G490" s="22" t="n"/>
      <c r="H490" s="31" t="n"/>
      <c r="I490" s="23" t="n"/>
      <c r="J490" s="56" t="n"/>
      <c r="K490" s="22" t="n"/>
      <c r="L490" s="22" t="n"/>
      <c r="M490" s="22" t="n"/>
      <c r="N490" s="22" t="n"/>
      <c r="O490" s="22" t="n"/>
      <c r="P490" s="23" t="n"/>
      <c r="Q490" s="65" t="n"/>
      <c r="R490" s="65" t="n"/>
      <c r="S490" s="55" t="n"/>
      <c r="T490" s="55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</row>
    <row r="491" ht="51.75" customHeight="1" s="211">
      <c r="A491" s="55" t="n"/>
      <c r="B491" s="12" t="n"/>
      <c r="C491" s="55">
        <f>'Sales Candence'!B491</f>
        <v/>
      </c>
      <c r="D491" s="71" t="n"/>
      <c r="E491" s="71" t="n"/>
      <c r="F491" s="22" t="n"/>
      <c r="G491" s="22" t="n"/>
      <c r="H491" s="31" t="n"/>
      <c r="I491" s="23" t="n"/>
      <c r="J491" s="56" t="n"/>
      <c r="K491" s="22" t="n"/>
      <c r="L491" s="22" t="n"/>
      <c r="M491" s="22" t="n"/>
      <c r="N491" s="22" t="n"/>
      <c r="O491" s="22" t="n"/>
      <c r="P491" s="23" t="n"/>
      <c r="Q491" s="65" t="n"/>
      <c r="R491" s="65" t="n"/>
      <c r="S491" s="55" t="n"/>
      <c r="T491" s="55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</row>
    <row r="492" ht="51.75" customHeight="1" s="211">
      <c r="A492" s="55" t="n"/>
      <c r="B492" s="12" t="n"/>
      <c r="C492" s="55">
        <f>'Sales Candence'!B492</f>
        <v/>
      </c>
      <c r="D492" s="71" t="n"/>
      <c r="E492" s="71" t="n"/>
      <c r="F492" s="22" t="n"/>
      <c r="G492" s="22" t="n"/>
      <c r="H492" s="31" t="n"/>
      <c r="I492" s="23" t="n"/>
      <c r="J492" s="56" t="n"/>
      <c r="K492" s="22" t="n"/>
      <c r="L492" s="22" t="n"/>
      <c r="M492" s="22" t="n"/>
      <c r="N492" s="22" t="n"/>
      <c r="O492" s="22" t="n"/>
      <c r="P492" s="23" t="n"/>
      <c r="Q492" s="65" t="n"/>
      <c r="R492" s="65" t="n"/>
      <c r="S492" s="55" t="n"/>
      <c r="T492" s="55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</row>
    <row r="493" ht="51.75" customHeight="1" s="211">
      <c r="A493" s="55" t="n"/>
      <c r="B493" s="12" t="n"/>
      <c r="C493" s="55">
        <f>'Sales Candence'!B493</f>
        <v/>
      </c>
      <c r="D493" s="71" t="n"/>
      <c r="E493" s="71" t="n"/>
      <c r="F493" s="22" t="n"/>
      <c r="G493" s="22" t="n"/>
      <c r="H493" s="31" t="n"/>
      <c r="I493" s="23" t="n"/>
      <c r="J493" s="56" t="n"/>
      <c r="K493" s="22" t="n"/>
      <c r="L493" s="22" t="n"/>
      <c r="M493" s="22" t="n"/>
      <c r="N493" s="22" t="n"/>
      <c r="O493" s="22" t="n"/>
      <c r="P493" s="23" t="n"/>
      <c r="Q493" s="65" t="n"/>
      <c r="R493" s="65" t="n"/>
      <c r="S493" s="55" t="n"/>
      <c r="T493" s="55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</row>
    <row r="494" ht="51.75" customHeight="1" s="211">
      <c r="A494" s="55" t="n"/>
      <c r="B494" s="12" t="n"/>
      <c r="C494" s="55">
        <f>'Sales Candence'!B494</f>
        <v/>
      </c>
      <c r="D494" s="71" t="n"/>
      <c r="E494" s="71" t="n"/>
      <c r="F494" s="22" t="n"/>
      <c r="G494" s="22" t="n"/>
      <c r="H494" s="31" t="n"/>
      <c r="I494" s="23" t="n"/>
      <c r="J494" s="56" t="n"/>
      <c r="K494" s="22" t="n"/>
      <c r="L494" s="22" t="n"/>
      <c r="M494" s="22" t="n"/>
      <c r="N494" s="22" t="n"/>
      <c r="O494" s="22" t="n"/>
      <c r="P494" s="23" t="n"/>
      <c r="Q494" s="65" t="n"/>
      <c r="R494" s="65" t="n"/>
      <c r="S494" s="55" t="n"/>
      <c r="T494" s="55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</row>
    <row r="495" ht="51.75" customHeight="1" s="211">
      <c r="A495" s="55" t="n"/>
      <c r="B495" s="12" t="n"/>
      <c r="C495" s="55">
        <f>'Sales Candence'!B495</f>
        <v/>
      </c>
      <c r="D495" s="71" t="n"/>
      <c r="E495" s="71" t="n"/>
      <c r="F495" s="22" t="n"/>
      <c r="G495" s="22" t="n"/>
      <c r="H495" s="31" t="n"/>
      <c r="I495" s="23" t="n"/>
      <c r="J495" s="56" t="n"/>
      <c r="K495" s="22" t="n"/>
      <c r="L495" s="22" t="n"/>
      <c r="M495" s="22" t="n"/>
      <c r="N495" s="22" t="n"/>
      <c r="O495" s="22" t="n"/>
      <c r="P495" s="23" t="n"/>
      <c r="Q495" s="65" t="n"/>
      <c r="R495" s="65" t="n"/>
      <c r="S495" s="55" t="n"/>
      <c r="T495" s="55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</row>
    <row r="496" ht="51.75" customHeight="1" s="211">
      <c r="A496" s="55" t="n"/>
      <c r="B496" s="12" t="n"/>
      <c r="C496" s="55">
        <f>'Sales Candence'!B496</f>
        <v/>
      </c>
      <c r="D496" s="71" t="n"/>
      <c r="E496" s="71" t="n"/>
      <c r="F496" s="22" t="n"/>
      <c r="G496" s="22" t="n"/>
      <c r="H496" s="31" t="n"/>
      <c r="I496" s="23" t="n"/>
      <c r="J496" s="56" t="n"/>
      <c r="K496" s="22" t="n"/>
      <c r="L496" s="22" t="n"/>
      <c r="M496" s="22" t="n"/>
      <c r="N496" s="22" t="n"/>
      <c r="O496" s="22" t="n"/>
      <c r="P496" s="23" t="n"/>
      <c r="Q496" s="65" t="n"/>
      <c r="R496" s="65" t="n"/>
      <c r="S496" s="55" t="n"/>
      <c r="T496" s="55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</row>
    <row r="497" ht="51.75" customHeight="1" s="211">
      <c r="A497" s="55" t="n"/>
      <c r="B497" s="12" t="n"/>
      <c r="C497" s="55">
        <f>'Sales Candence'!B497</f>
        <v/>
      </c>
      <c r="D497" s="71" t="n"/>
      <c r="E497" s="71" t="n"/>
      <c r="F497" s="22" t="n"/>
      <c r="G497" s="22" t="n"/>
      <c r="H497" s="31" t="n"/>
      <c r="I497" s="23" t="n"/>
      <c r="J497" s="56" t="n"/>
      <c r="K497" s="22" t="n"/>
      <c r="L497" s="22" t="n"/>
      <c r="M497" s="22" t="n"/>
      <c r="N497" s="22" t="n"/>
      <c r="O497" s="22" t="n"/>
      <c r="P497" s="23" t="n"/>
      <c r="Q497" s="65" t="n"/>
      <c r="R497" s="65" t="n"/>
      <c r="S497" s="55" t="n"/>
      <c r="T497" s="55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</row>
    <row r="498" ht="51.75" customHeight="1" s="211">
      <c r="A498" s="55" t="n"/>
      <c r="B498" s="12" t="n"/>
      <c r="C498" s="55">
        <f>'Sales Candence'!B498</f>
        <v/>
      </c>
      <c r="D498" s="71" t="n"/>
      <c r="E498" s="71" t="n"/>
      <c r="F498" s="22" t="n"/>
      <c r="G498" s="22" t="n"/>
      <c r="H498" s="31" t="n"/>
      <c r="I498" s="23" t="n"/>
      <c r="J498" s="56" t="n"/>
      <c r="K498" s="22" t="n"/>
      <c r="L498" s="22" t="n"/>
      <c r="M498" s="22" t="n"/>
      <c r="N498" s="22" t="n"/>
      <c r="O498" s="22" t="n"/>
      <c r="P498" s="23" t="n"/>
      <c r="Q498" s="65" t="n"/>
      <c r="R498" s="65" t="n"/>
      <c r="S498" s="55" t="n"/>
      <c r="T498" s="55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</row>
    <row r="499" ht="51.75" customHeight="1" s="211">
      <c r="A499" s="55" t="n"/>
      <c r="B499" s="12" t="n"/>
      <c r="C499" s="55">
        <f>'Sales Candence'!B499</f>
        <v/>
      </c>
      <c r="D499" s="71" t="n"/>
      <c r="E499" s="71" t="n"/>
      <c r="F499" s="22" t="n"/>
      <c r="G499" s="22" t="n"/>
      <c r="H499" s="31" t="n"/>
      <c r="I499" s="23" t="n"/>
      <c r="J499" s="56" t="n"/>
      <c r="K499" s="22" t="n"/>
      <c r="L499" s="22" t="n"/>
      <c r="M499" s="22" t="n"/>
      <c r="N499" s="22" t="n"/>
      <c r="O499" s="22" t="n"/>
      <c r="P499" s="23" t="n"/>
      <c r="Q499" s="65" t="n"/>
      <c r="R499" s="65" t="n"/>
      <c r="S499" s="55" t="n"/>
      <c r="T499" s="55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</row>
    <row r="500" ht="51.75" customHeight="1" s="211">
      <c r="A500" s="55" t="n"/>
      <c r="B500" s="12" t="n"/>
      <c r="C500" s="55">
        <f>'Sales Candence'!B500</f>
        <v/>
      </c>
      <c r="D500" s="71" t="n"/>
      <c r="E500" s="71" t="n"/>
      <c r="F500" s="22" t="n"/>
      <c r="G500" s="22" t="n"/>
      <c r="H500" s="31" t="n"/>
      <c r="I500" s="23" t="n"/>
      <c r="J500" s="56" t="n"/>
      <c r="K500" s="22" t="n"/>
      <c r="L500" s="22" t="n"/>
      <c r="M500" s="22" t="n"/>
      <c r="N500" s="22" t="n"/>
      <c r="O500" s="22" t="n"/>
      <c r="P500" s="23" t="n"/>
      <c r="Q500" s="65" t="n"/>
      <c r="R500" s="65" t="n"/>
      <c r="S500" s="55" t="n"/>
      <c r="T500" s="55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</row>
    <row r="501" ht="51.75" customHeight="1" s="211">
      <c r="A501" s="55" t="n"/>
      <c r="B501" s="12" t="n"/>
      <c r="C501" s="55">
        <f>'Sales Candence'!B501</f>
        <v/>
      </c>
      <c r="D501" s="71" t="n"/>
      <c r="E501" s="71" t="n"/>
      <c r="F501" s="22" t="n"/>
      <c r="G501" s="22" t="n"/>
      <c r="H501" s="31" t="n"/>
      <c r="I501" s="23" t="n"/>
      <c r="J501" s="56" t="n"/>
      <c r="K501" s="22" t="n"/>
      <c r="L501" s="22" t="n"/>
      <c r="M501" s="22" t="n"/>
      <c r="N501" s="22" t="n"/>
      <c r="O501" s="22" t="n"/>
      <c r="P501" s="23" t="n"/>
      <c r="Q501" s="65" t="n"/>
      <c r="R501" s="65" t="n"/>
      <c r="S501" s="55" t="n"/>
      <c r="T501" s="55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</row>
    <row r="502" ht="51.75" customHeight="1" s="211">
      <c r="A502" s="55" t="n"/>
      <c r="B502" s="12" t="n"/>
      <c r="C502" s="55">
        <f>'Sales Candence'!B502</f>
        <v/>
      </c>
      <c r="D502" s="71" t="n"/>
      <c r="E502" s="71" t="n"/>
      <c r="F502" s="22" t="n"/>
      <c r="G502" s="22" t="n"/>
      <c r="H502" s="31" t="n"/>
      <c r="I502" s="23" t="n"/>
      <c r="J502" s="56" t="n"/>
      <c r="K502" s="22" t="n"/>
      <c r="L502" s="22" t="n"/>
      <c r="M502" s="22" t="n"/>
      <c r="N502" s="22" t="n"/>
      <c r="O502" s="22" t="n"/>
      <c r="P502" s="23" t="n"/>
      <c r="Q502" s="65" t="n"/>
      <c r="R502" s="65" t="n"/>
      <c r="S502" s="55" t="n"/>
      <c r="T502" s="55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</row>
    <row r="503" ht="51.75" customHeight="1" s="211">
      <c r="A503" s="55" t="n"/>
      <c r="B503" s="12" t="n"/>
      <c r="C503" s="55">
        <f>'Sales Candence'!B503</f>
        <v/>
      </c>
      <c r="D503" s="71" t="n"/>
      <c r="E503" s="71" t="n"/>
      <c r="F503" s="22" t="n"/>
      <c r="G503" s="22" t="n"/>
      <c r="H503" s="31" t="n"/>
      <c r="I503" s="23" t="n"/>
      <c r="J503" s="56" t="n"/>
      <c r="K503" s="22" t="n"/>
      <c r="L503" s="22" t="n"/>
      <c r="M503" s="22" t="n"/>
      <c r="N503" s="22" t="n"/>
      <c r="O503" s="22" t="n"/>
      <c r="P503" s="23" t="n"/>
      <c r="Q503" s="65" t="n"/>
      <c r="R503" s="65" t="n"/>
      <c r="S503" s="55" t="n"/>
      <c r="T503" s="55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</row>
    <row r="504" ht="51.75" customHeight="1" s="211">
      <c r="A504" s="55" t="n"/>
      <c r="B504" s="12" t="n"/>
      <c r="C504" s="55">
        <f>'Sales Candence'!B504</f>
        <v/>
      </c>
      <c r="D504" s="71" t="n"/>
      <c r="E504" s="71" t="n"/>
      <c r="F504" s="22" t="n"/>
      <c r="G504" s="22" t="n"/>
      <c r="H504" s="31" t="n"/>
      <c r="I504" s="23" t="n"/>
      <c r="J504" s="56" t="n"/>
      <c r="K504" s="22" t="n"/>
      <c r="L504" s="22" t="n"/>
      <c r="M504" s="22" t="n"/>
      <c r="N504" s="22" t="n"/>
      <c r="O504" s="22" t="n"/>
      <c r="P504" s="23" t="n"/>
      <c r="Q504" s="65" t="n"/>
      <c r="R504" s="65" t="n"/>
      <c r="S504" s="55" t="n"/>
      <c r="T504" s="55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</row>
    <row r="505" ht="51.75" customHeight="1" s="211">
      <c r="A505" s="55" t="n"/>
      <c r="B505" s="12" t="n"/>
      <c r="C505" s="55">
        <f>'Sales Candence'!B505</f>
        <v/>
      </c>
      <c r="D505" s="71" t="n"/>
      <c r="E505" s="71" t="n"/>
      <c r="F505" s="22" t="n"/>
      <c r="G505" s="22" t="n"/>
      <c r="H505" s="31" t="n"/>
      <c r="I505" s="23" t="n"/>
      <c r="J505" s="56" t="n"/>
      <c r="K505" s="22" t="n"/>
      <c r="L505" s="22" t="n"/>
      <c r="M505" s="22" t="n"/>
      <c r="N505" s="22" t="n"/>
      <c r="O505" s="22" t="n"/>
      <c r="P505" s="23" t="n"/>
      <c r="Q505" s="65" t="n"/>
      <c r="R505" s="65" t="n"/>
      <c r="S505" s="55" t="n"/>
      <c r="T505" s="55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</row>
    <row r="506" ht="51.75" customHeight="1" s="211">
      <c r="A506" s="55" t="n"/>
      <c r="B506" s="12" t="n"/>
      <c r="C506" s="55">
        <f>'Sales Candence'!B506</f>
        <v/>
      </c>
      <c r="D506" s="71" t="n"/>
      <c r="E506" s="71" t="n"/>
      <c r="F506" s="22" t="n"/>
      <c r="G506" s="22" t="n"/>
      <c r="H506" s="31" t="n"/>
      <c r="I506" s="23" t="n"/>
      <c r="J506" s="56" t="n"/>
      <c r="K506" s="22" t="n"/>
      <c r="L506" s="22" t="n"/>
      <c r="M506" s="22" t="n"/>
      <c r="N506" s="22" t="n"/>
      <c r="O506" s="22" t="n"/>
      <c r="P506" s="23" t="n"/>
      <c r="Q506" s="65" t="n"/>
      <c r="R506" s="65" t="n"/>
      <c r="S506" s="55" t="n"/>
      <c r="T506" s="55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</row>
    <row r="507" ht="51.75" customHeight="1" s="211">
      <c r="A507" s="55" t="n"/>
      <c r="B507" s="12" t="n"/>
      <c r="C507" s="55">
        <f>'Sales Candence'!B507</f>
        <v/>
      </c>
      <c r="D507" s="71" t="n"/>
      <c r="E507" s="71" t="n"/>
      <c r="F507" s="22" t="n"/>
      <c r="G507" s="22" t="n"/>
      <c r="H507" s="31" t="n"/>
      <c r="I507" s="23" t="n"/>
      <c r="J507" s="56" t="n"/>
      <c r="K507" s="22" t="n"/>
      <c r="L507" s="22" t="n"/>
      <c r="M507" s="22" t="n"/>
      <c r="N507" s="22" t="n"/>
      <c r="O507" s="22" t="n"/>
      <c r="P507" s="23" t="n"/>
      <c r="Q507" s="65" t="n"/>
      <c r="R507" s="65" t="n"/>
      <c r="S507" s="55" t="n"/>
      <c r="T507" s="55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</row>
    <row r="508" ht="51.75" customHeight="1" s="211">
      <c r="A508" s="55" t="n"/>
      <c r="B508" s="12" t="n"/>
      <c r="C508" s="55">
        <f>'Sales Candence'!B508</f>
        <v/>
      </c>
      <c r="D508" s="71" t="n"/>
      <c r="E508" s="71" t="n"/>
      <c r="F508" s="22" t="n"/>
      <c r="G508" s="22" t="n"/>
      <c r="H508" s="31" t="n"/>
      <c r="I508" s="23" t="n"/>
      <c r="J508" s="56" t="n"/>
      <c r="K508" s="22" t="n"/>
      <c r="L508" s="22" t="n"/>
      <c r="M508" s="22" t="n"/>
      <c r="N508" s="22" t="n"/>
      <c r="O508" s="22" t="n"/>
      <c r="P508" s="23" t="n"/>
      <c r="Q508" s="65" t="n"/>
      <c r="R508" s="65" t="n"/>
      <c r="S508" s="55" t="n"/>
      <c r="T508" s="55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</row>
    <row r="509" ht="51.75" customHeight="1" s="211">
      <c r="A509" s="55" t="n"/>
      <c r="B509" s="12" t="n"/>
      <c r="C509" s="55">
        <f>'Sales Candence'!B509</f>
        <v/>
      </c>
      <c r="D509" s="71" t="n"/>
      <c r="E509" s="71" t="n"/>
      <c r="F509" s="22" t="n"/>
      <c r="G509" s="22" t="n"/>
      <c r="H509" s="31" t="n"/>
      <c r="I509" s="23" t="n"/>
      <c r="J509" s="56" t="n"/>
      <c r="K509" s="22" t="n"/>
      <c r="L509" s="22" t="n"/>
      <c r="M509" s="22" t="n"/>
      <c r="N509" s="22" t="n"/>
      <c r="O509" s="22" t="n"/>
      <c r="P509" s="23" t="n"/>
      <c r="Q509" s="65" t="n"/>
      <c r="R509" s="65" t="n"/>
      <c r="S509" s="55" t="n"/>
      <c r="T509" s="55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</row>
    <row r="510" ht="51.75" customHeight="1" s="211">
      <c r="A510" s="55" t="n"/>
      <c r="B510" s="12" t="n"/>
      <c r="C510" s="55">
        <f>'Sales Candence'!B510</f>
        <v/>
      </c>
      <c r="D510" s="71" t="n"/>
      <c r="E510" s="71" t="n"/>
      <c r="F510" s="22" t="n"/>
      <c r="G510" s="22" t="n"/>
      <c r="H510" s="31" t="n"/>
      <c r="I510" s="23" t="n"/>
      <c r="J510" s="56" t="n"/>
      <c r="K510" s="22" t="n"/>
      <c r="L510" s="22" t="n"/>
      <c r="M510" s="22" t="n"/>
      <c r="N510" s="22" t="n"/>
      <c r="O510" s="22" t="n"/>
      <c r="P510" s="23" t="n"/>
      <c r="Q510" s="65" t="n"/>
      <c r="R510" s="65" t="n"/>
      <c r="S510" s="55" t="n"/>
      <c r="T510" s="55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</row>
    <row r="511" ht="51.75" customHeight="1" s="211">
      <c r="A511" s="55" t="n"/>
      <c r="B511" s="12" t="n"/>
      <c r="C511" s="55">
        <f>'Sales Candence'!B511</f>
        <v/>
      </c>
      <c r="D511" s="71" t="n"/>
      <c r="E511" s="71" t="n"/>
      <c r="F511" s="22" t="n"/>
      <c r="G511" s="22" t="n"/>
      <c r="H511" s="31" t="n"/>
      <c r="I511" s="23" t="n"/>
      <c r="J511" s="56" t="n"/>
      <c r="K511" s="22" t="n"/>
      <c r="L511" s="22" t="n"/>
      <c r="M511" s="22" t="n"/>
      <c r="N511" s="22" t="n"/>
      <c r="O511" s="22" t="n"/>
      <c r="P511" s="23" t="n"/>
      <c r="Q511" s="65" t="n"/>
      <c r="R511" s="65" t="n"/>
      <c r="S511" s="55" t="n"/>
      <c r="T511" s="55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</row>
    <row r="512" ht="51.75" customHeight="1" s="211">
      <c r="A512" s="55" t="n"/>
      <c r="B512" s="12" t="n"/>
      <c r="C512" s="55">
        <f>'Sales Candence'!B512</f>
        <v/>
      </c>
      <c r="D512" s="71" t="n"/>
      <c r="E512" s="71" t="n"/>
      <c r="F512" s="22" t="n"/>
      <c r="G512" s="22" t="n"/>
      <c r="H512" s="31" t="n"/>
      <c r="I512" s="23" t="n"/>
      <c r="J512" s="56" t="n"/>
      <c r="K512" s="22" t="n"/>
      <c r="L512" s="22" t="n"/>
      <c r="M512" s="22" t="n"/>
      <c r="N512" s="22" t="n"/>
      <c r="O512" s="22" t="n"/>
      <c r="P512" s="23" t="n"/>
      <c r="Q512" s="65" t="n"/>
      <c r="R512" s="65" t="n"/>
      <c r="S512" s="55" t="n"/>
      <c r="T512" s="55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</row>
    <row r="513" ht="51.75" customHeight="1" s="211">
      <c r="A513" s="55" t="n"/>
      <c r="B513" s="12" t="n"/>
      <c r="C513" s="55">
        <f>'Sales Candence'!B513</f>
        <v/>
      </c>
      <c r="D513" s="71" t="n"/>
      <c r="E513" s="71" t="n"/>
      <c r="F513" s="22" t="n"/>
      <c r="G513" s="22" t="n"/>
      <c r="H513" s="31" t="n"/>
      <c r="I513" s="23" t="n"/>
      <c r="J513" s="56" t="n"/>
      <c r="K513" s="22" t="n"/>
      <c r="L513" s="22" t="n"/>
      <c r="M513" s="22" t="n"/>
      <c r="N513" s="22" t="n"/>
      <c r="O513" s="22" t="n"/>
      <c r="P513" s="23" t="n"/>
      <c r="Q513" s="65" t="n"/>
      <c r="R513" s="65" t="n"/>
      <c r="S513" s="55" t="n"/>
      <c r="T513" s="55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</row>
    <row r="514" ht="51.75" customHeight="1" s="211">
      <c r="A514" s="55" t="n"/>
      <c r="B514" s="12" t="n"/>
      <c r="C514" s="55">
        <f>'Sales Candence'!B514</f>
        <v/>
      </c>
      <c r="D514" s="71" t="n"/>
      <c r="E514" s="71" t="n"/>
      <c r="F514" s="22" t="n"/>
      <c r="G514" s="22" t="n"/>
      <c r="H514" s="31" t="n"/>
      <c r="I514" s="23" t="n"/>
      <c r="J514" s="56" t="n"/>
      <c r="K514" s="22" t="n"/>
      <c r="L514" s="22" t="n"/>
      <c r="M514" s="22" t="n"/>
      <c r="N514" s="22" t="n"/>
      <c r="O514" s="22" t="n"/>
      <c r="P514" s="23" t="n"/>
      <c r="Q514" s="65" t="n"/>
      <c r="R514" s="65" t="n"/>
      <c r="S514" s="55" t="n"/>
      <c r="T514" s="55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</row>
    <row r="515" ht="51.75" customHeight="1" s="211">
      <c r="A515" s="55" t="n"/>
      <c r="B515" s="12" t="n"/>
      <c r="C515" s="55">
        <f>'Sales Candence'!B515</f>
        <v/>
      </c>
      <c r="D515" s="71" t="n"/>
      <c r="E515" s="71" t="n"/>
      <c r="F515" s="22" t="n"/>
      <c r="G515" s="22" t="n"/>
      <c r="H515" s="31" t="n"/>
      <c r="I515" s="23" t="n"/>
      <c r="J515" s="56" t="n"/>
      <c r="K515" s="22" t="n"/>
      <c r="L515" s="22" t="n"/>
      <c r="M515" s="22" t="n"/>
      <c r="N515" s="22" t="n"/>
      <c r="O515" s="22" t="n"/>
      <c r="P515" s="23" t="n"/>
      <c r="Q515" s="65" t="n"/>
      <c r="R515" s="65" t="n"/>
      <c r="S515" s="55" t="n"/>
      <c r="T515" s="55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</row>
    <row r="516" ht="51.75" customHeight="1" s="211">
      <c r="A516" s="55" t="n"/>
      <c r="B516" s="12" t="n"/>
      <c r="C516" s="55">
        <f>'Sales Candence'!B516</f>
        <v/>
      </c>
      <c r="D516" s="71" t="n"/>
      <c r="E516" s="71" t="n"/>
      <c r="F516" s="22" t="n"/>
      <c r="G516" s="22" t="n"/>
      <c r="H516" s="31" t="n"/>
      <c r="I516" s="23" t="n"/>
      <c r="J516" s="56" t="n"/>
      <c r="K516" s="22" t="n"/>
      <c r="L516" s="22" t="n"/>
      <c r="M516" s="22" t="n"/>
      <c r="N516" s="22" t="n"/>
      <c r="O516" s="22" t="n"/>
      <c r="P516" s="23" t="n"/>
      <c r="Q516" s="65" t="n"/>
      <c r="R516" s="65" t="n"/>
      <c r="S516" s="55" t="n"/>
      <c r="T516" s="55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</row>
    <row r="517" ht="51.75" customHeight="1" s="211">
      <c r="A517" s="55" t="n"/>
      <c r="B517" s="12" t="n"/>
      <c r="C517" s="55">
        <f>'Sales Candence'!B517</f>
        <v/>
      </c>
      <c r="D517" s="71" t="n"/>
      <c r="E517" s="71" t="n"/>
      <c r="F517" s="22" t="n"/>
      <c r="G517" s="22" t="n"/>
      <c r="H517" s="31" t="n"/>
      <c r="I517" s="23" t="n"/>
      <c r="J517" s="56" t="n"/>
      <c r="K517" s="22" t="n"/>
      <c r="L517" s="22" t="n"/>
      <c r="M517" s="22" t="n"/>
      <c r="N517" s="22" t="n"/>
      <c r="O517" s="22" t="n"/>
      <c r="P517" s="23" t="n"/>
      <c r="Q517" s="65" t="n"/>
      <c r="R517" s="65" t="n"/>
      <c r="S517" s="55" t="n"/>
      <c r="T517" s="55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</row>
    <row r="518" ht="51.75" customHeight="1" s="211">
      <c r="A518" s="55" t="n"/>
      <c r="B518" s="12" t="n"/>
      <c r="C518" s="55">
        <f>'Sales Candence'!B518</f>
        <v/>
      </c>
      <c r="D518" s="71" t="n"/>
      <c r="E518" s="71" t="n"/>
      <c r="F518" s="22" t="n"/>
      <c r="G518" s="22" t="n"/>
      <c r="H518" s="31" t="n"/>
      <c r="I518" s="23" t="n"/>
      <c r="J518" s="56" t="n"/>
      <c r="K518" s="22" t="n"/>
      <c r="L518" s="22" t="n"/>
      <c r="M518" s="22" t="n"/>
      <c r="N518" s="22" t="n"/>
      <c r="O518" s="22" t="n"/>
      <c r="P518" s="23" t="n"/>
      <c r="Q518" s="65" t="n"/>
      <c r="R518" s="65" t="n"/>
      <c r="S518" s="55" t="n"/>
      <c r="T518" s="55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</row>
    <row r="519" ht="51.75" customHeight="1" s="211">
      <c r="A519" s="55" t="n"/>
      <c r="B519" s="12" t="n"/>
      <c r="C519" s="55">
        <f>'Sales Candence'!B519</f>
        <v/>
      </c>
      <c r="D519" s="71" t="n"/>
      <c r="E519" s="71" t="n"/>
      <c r="F519" s="22" t="n"/>
      <c r="G519" s="22" t="n"/>
      <c r="H519" s="31" t="n"/>
      <c r="I519" s="23" t="n"/>
      <c r="J519" s="56" t="n"/>
      <c r="K519" s="22" t="n"/>
      <c r="L519" s="22" t="n"/>
      <c r="M519" s="22" t="n"/>
      <c r="N519" s="22" t="n"/>
      <c r="O519" s="22" t="n"/>
      <c r="P519" s="23" t="n"/>
      <c r="Q519" s="65" t="n"/>
      <c r="R519" s="65" t="n"/>
      <c r="S519" s="55" t="n"/>
      <c r="T519" s="55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</row>
    <row r="520" ht="51.75" customHeight="1" s="211">
      <c r="A520" s="55" t="n"/>
      <c r="B520" s="12" t="n"/>
      <c r="C520" s="55">
        <f>'Sales Candence'!B520</f>
        <v/>
      </c>
      <c r="D520" s="71" t="n"/>
      <c r="E520" s="71" t="n"/>
      <c r="F520" s="22" t="n"/>
      <c r="G520" s="22" t="n"/>
      <c r="H520" s="31" t="n"/>
      <c r="I520" s="23" t="n"/>
      <c r="J520" s="56" t="n"/>
      <c r="K520" s="22" t="n"/>
      <c r="L520" s="22" t="n"/>
      <c r="M520" s="22" t="n"/>
      <c r="N520" s="22" t="n"/>
      <c r="O520" s="22" t="n"/>
      <c r="P520" s="23" t="n"/>
      <c r="Q520" s="65" t="n"/>
      <c r="R520" s="65" t="n"/>
      <c r="S520" s="55" t="n"/>
      <c r="T520" s="55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</row>
    <row r="521" ht="51.75" customHeight="1" s="211">
      <c r="A521" s="55" t="n"/>
      <c r="B521" s="12" t="n"/>
      <c r="C521" s="55">
        <f>'Sales Candence'!B521</f>
        <v/>
      </c>
      <c r="D521" s="71" t="n"/>
      <c r="E521" s="71" t="n"/>
      <c r="F521" s="22" t="n"/>
      <c r="G521" s="22" t="n"/>
      <c r="H521" s="31" t="n"/>
      <c r="I521" s="23" t="n"/>
      <c r="J521" s="56" t="n"/>
      <c r="K521" s="22" t="n"/>
      <c r="L521" s="22" t="n"/>
      <c r="M521" s="22" t="n"/>
      <c r="N521" s="22" t="n"/>
      <c r="O521" s="22" t="n"/>
      <c r="P521" s="23" t="n"/>
      <c r="Q521" s="65" t="n"/>
      <c r="R521" s="65" t="n"/>
      <c r="S521" s="55" t="n"/>
      <c r="T521" s="55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</row>
    <row r="522" ht="51.75" customHeight="1" s="211">
      <c r="A522" s="55" t="n"/>
      <c r="B522" s="12" t="n"/>
      <c r="C522" s="55">
        <f>'Sales Candence'!B522</f>
        <v/>
      </c>
      <c r="D522" s="71" t="n"/>
      <c r="E522" s="71" t="n"/>
      <c r="F522" s="22" t="n"/>
      <c r="G522" s="22" t="n"/>
      <c r="H522" s="31" t="n"/>
      <c r="I522" s="23" t="n"/>
      <c r="J522" s="56" t="n"/>
      <c r="K522" s="22" t="n"/>
      <c r="L522" s="22" t="n"/>
      <c r="M522" s="22" t="n"/>
      <c r="N522" s="22" t="n"/>
      <c r="O522" s="22" t="n"/>
      <c r="P522" s="23" t="n"/>
      <c r="Q522" s="65" t="n"/>
      <c r="R522" s="65" t="n"/>
      <c r="S522" s="55" t="n"/>
      <c r="T522" s="55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</row>
    <row r="523" ht="51.75" customHeight="1" s="211">
      <c r="A523" s="55" t="n"/>
      <c r="B523" s="12" t="n"/>
      <c r="C523" s="55">
        <f>'Sales Candence'!B523</f>
        <v/>
      </c>
      <c r="D523" s="71" t="n"/>
      <c r="E523" s="71" t="n"/>
      <c r="F523" s="22" t="n"/>
      <c r="G523" s="22" t="n"/>
      <c r="H523" s="31" t="n"/>
      <c r="I523" s="23" t="n"/>
      <c r="J523" s="56" t="n"/>
      <c r="K523" s="22" t="n"/>
      <c r="L523" s="22" t="n"/>
      <c r="M523" s="22" t="n"/>
      <c r="N523" s="22" t="n"/>
      <c r="O523" s="22" t="n"/>
      <c r="P523" s="23" t="n"/>
      <c r="Q523" s="65" t="n"/>
      <c r="R523" s="65" t="n"/>
      <c r="S523" s="55" t="n"/>
      <c r="T523" s="55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</row>
    <row r="524" ht="51.75" customHeight="1" s="211">
      <c r="A524" s="55" t="n"/>
      <c r="B524" s="12" t="n"/>
      <c r="C524" s="55">
        <f>'Sales Candence'!B524</f>
        <v/>
      </c>
      <c r="D524" s="71" t="n"/>
      <c r="E524" s="71" t="n"/>
      <c r="F524" s="22" t="n"/>
      <c r="G524" s="22" t="n"/>
      <c r="H524" s="31" t="n"/>
      <c r="I524" s="23" t="n"/>
      <c r="J524" s="56" t="n"/>
      <c r="K524" s="22" t="n"/>
      <c r="L524" s="22" t="n"/>
      <c r="M524" s="22" t="n"/>
      <c r="N524" s="22" t="n"/>
      <c r="O524" s="22" t="n"/>
      <c r="P524" s="23" t="n"/>
      <c r="Q524" s="65" t="n"/>
      <c r="R524" s="65" t="n"/>
      <c r="S524" s="55" t="n"/>
      <c r="T524" s="55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</row>
    <row r="525" ht="51.75" customHeight="1" s="211">
      <c r="A525" s="55" t="n"/>
      <c r="B525" s="12" t="n"/>
      <c r="C525" s="55">
        <f>'Sales Candence'!B525</f>
        <v/>
      </c>
      <c r="D525" s="71" t="n"/>
      <c r="E525" s="71" t="n"/>
      <c r="F525" s="22" t="n"/>
      <c r="G525" s="22" t="n"/>
      <c r="H525" s="31" t="n"/>
      <c r="I525" s="23" t="n"/>
      <c r="J525" s="56" t="n"/>
      <c r="K525" s="22" t="n"/>
      <c r="L525" s="22" t="n"/>
      <c r="M525" s="22" t="n"/>
      <c r="N525" s="22" t="n"/>
      <c r="O525" s="22" t="n"/>
      <c r="P525" s="23" t="n"/>
      <c r="Q525" s="65" t="n"/>
      <c r="R525" s="65" t="n"/>
      <c r="S525" s="55" t="n"/>
      <c r="T525" s="55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</row>
    <row r="526" ht="51.75" customHeight="1" s="211">
      <c r="A526" s="55" t="n"/>
      <c r="B526" s="12" t="n"/>
      <c r="C526" s="55">
        <f>'Sales Candence'!B526</f>
        <v/>
      </c>
      <c r="D526" s="71" t="n"/>
      <c r="E526" s="71" t="n"/>
      <c r="F526" s="22" t="n"/>
      <c r="G526" s="22" t="n"/>
      <c r="H526" s="31" t="n"/>
      <c r="I526" s="23" t="n"/>
      <c r="J526" s="56" t="n"/>
      <c r="K526" s="22" t="n"/>
      <c r="L526" s="22" t="n"/>
      <c r="M526" s="22" t="n"/>
      <c r="N526" s="22" t="n"/>
      <c r="O526" s="22" t="n"/>
      <c r="P526" s="23" t="n"/>
      <c r="Q526" s="65" t="n"/>
      <c r="R526" s="65" t="n"/>
      <c r="S526" s="55" t="n"/>
      <c r="T526" s="55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</row>
    <row r="527" ht="51.75" customHeight="1" s="211">
      <c r="A527" s="55" t="n"/>
      <c r="B527" s="12" t="n"/>
      <c r="C527" s="55">
        <f>'Sales Candence'!B527</f>
        <v/>
      </c>
      <c r="D527" s="71" t="n"/>
      <c r="E527" s="71" t="n"/>
      <c r="F527" s="22" t="n"/>
      <c r="G527" s="22" t="n"/>
      <c r="H527" s="31" t="n"/>
      <c r="I527" s="23" t="n"/>
      <c r="J527" s="56" t="n"/>
      <c r="K527" s="22" t="n"/>
      <c r="L527" s="22" t="n"/>
      <c r="M527" s="22" t="n"/>
      <c r="N527" s="22" t="n"/>
      <c r="O527" s="22" t="n"/>
      <c r="P527" s="23" t="n"/>
      <c r="Q527" s="65" t="n"/>
      <c r="R527" s="65" t="n"/>
      <c r="S527" s="55" t="n"/>
      <c r="T527" s="55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</row>
    <row r="528" ht="51.75" customHeight="1" s="211">
      <c r="A528" s="55" t="n"/>
      <c r="B528" s="12" t="n"/>
      <c r="C528" s="55">
        <f>'Sales Candence'!B528</f>
        <v/>
      </c>
      <c r="D528" s="71" t="n"/>
      <c r="E528" s="71" t="n"/>
      <c r="F528" s="22" t="n"/>
      <c r="G528" s="22" t="n"/>
      <c r="H528" s="31" t="n"/>
      <c r="I528" s="23" t="n"/>
      <c r="J528" s="56" t="n"/>
      <c r="K528" s="22" t="n"/>
      <c r="L528" s="22" t="n"/>
      <c r="M528" s="22" t="n"/>
      <c r="N528" s="22" t="n"/>
      <c r="O528" s="22" t="n"/>
      <c r="P528" s="23" t="n"/>
      <c r="Q528" s="65" t="n"/>
      <c r="R528" s="65" t="n"/>
      <c r="S528" s="55" t="n"/>
      <c r="T528" s="55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</row>
    <row r="529" ht="51.75" customHeight="1" s="211">
      <c r="A529" s="55" t="n"/>
      <c r="B529" s="12" t="n"/>
      <c r="C529" s="55">
        <f>'Sales Candence'!B529</f>
        <v/>
      </c>
      <c r="D529" s="71" t="n"/>
      <c r="E529" s="71" t="n"/>
      <c r="F529" s="22" t="n"/>
      <c r="G529" s="22" t="n"/>
      <c r="H529" s="31" t="n"/>
      <c r="I529" s="23" t="n"/>
      <c r="J529" s="56" t="n"/>
      <c r="K529" s="22" t="n"/>
      <c r="L529" s="22" t="n"/>
      <c r="M529" s="22" t="n"/>
      <c r="N529" s="22" t="n"/>
      <c r="O529" s="22" t="n"/>
      <c r="P529" s="23" t="n"/>
      <c r="Q529" s="65" t="n"/>
      <c r="R529" s="65" t="n"/>
      <c r="S529" s="55" t="n"/>
      <c r="T529" s="55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</row>
    <row r="530" ht="51.75" customHeight="1" s="211">
      <c r="A530" s="55" t="n"/>
      <c r="B530" s="12" t="n"/>
      <c r="C530" s="55">
        <f>'Sales Candence'!B530</f>
        <v/>
      </c>
      <c r="D530" s="71" t="n"/>
      <c r="E530" s="71" t="n"/>
      <c r="F530" s="22" t="n"/>
      <c r="G530" s="22" t="n"/>
      <c r="H530" s="31" t="n"/>
      <c r="I530" s="23" t="n"/>
      <c r="J530" s="56" t="n"/>
      <c r="K530" s="22" t="n"/>
      <c r="L530" s="22" t="n"/>
      <c r="M530" s="22" t="n"/>
      <c r="N530" s="22" t="n"/>
      <c r="O530" s="22" t="n"/>
      <c r="P530" s="23" t="n"/>
      <c r="Q530" s="65" t="n"/>
      <c r="R530" s="65" t="n"/>
      <c r="S530" s="55" t="n"/>
      <c r="T530" s="55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</row>
    <row r="531" ht="51.75" customHeight="1" s="211">
      <c r="A531" s="55" t="n"/>
      <c r="B531" s="12" t="n"/>
      <c r="C531" s="55">
        <f>'Sales Candence'!B531</f>
        <v/>
      </c>
      <c r="D531" s="71" t="n"/>
      <c r="E531" s="71" t="n"/>
      <c r="F531" s="22" t="n"/>
      <c r="G531" s="22" t="n"/>
      <c r="H531" s="31" t="n"/>
      <c r="I531" s="23" t="n"/>
      <c r="J531" s="56" t="n"/>
      <c r="K531" s="22" t="n"/>
      <c r="L531" s="22" t="n"/>
      <c r="M531" s="22" t="n"/>
      <c r="N531" s="22" t="n"/>
      <c r="O531" s="22" t="n"/>
      <c r="P531" s="23" t="n"/>
      <c r="Q531" s="65" t="n"/>
      <c r="R531" s="65" t="n"/>
      <c r="S531" s="55" t="n"/>
      <c r="T531" s="55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</row>
    <row r="532" ht="51.75" customHeight="1" s="211">
      <c r="A532" s="55" t="n"/>
      <c r="B532" s="12" t="n"/>
      <c r="C532" s="55">
        <f>'Sales Candence'!B532</f>
        <v/>
      </c>
      <c r="D532" s="71" t="n"/>
      <c r="E532" s="71" t="n"/>
      <c r="F532" s="22" t="n"/>
      <c r="G532" s="22" t="n"/>
      <c r="H532" s="31" t="n"/>
      <c r="I532" s="23" t="n"/>
      <c r="J532" s="56" t="n"/>
      <c r="K532" s="22" t="n"/>
      <c r="L532" s="22" t="n"/>
      <c r="M532" s="22" t="n"/>
      <c r="N532" s="22" t="n"/>
      <c r="O532" s="22" t="n"/>
      <c r="P532" s="23" t="n"/>
      <c r="Q532" s="65" t="n"/>
      <c r="R532" s="65" t="n"/>
      <c r="S532" s="55" t="n"/>
      <c r="T532" s="55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</row>
    <row r="533" ht="51.75" customHeight="1" s="211">
      <c r="A533" s="55" t="n"/>
      <c r="B533" s="12" t="n"/>
      <c r="C533" s="55">
        <f>'Sales Candence'!B533</f>
        <v/>
      </c>
      <c r="D533" s="71" t="n"/>
      <c r="E533" s="71" t="n"/>
      <c r="F533" s="22" t="n"/>
      <c r="G533" s="22" t="n"/>
      <c r="H533" s="31" t="n"/>
      <c r="I533" s="23" t="n"/>
      <c r="J533" s="56" t="n"/>
      <c r="K533" s="22" t="n"/>
      <c r="L533" s="22" t="n"/>
      <c r="M533" s="22" t="n"/>
      <c r="N533" s="22" t="n"/>
      <c r="O533" s="22" t="n"/>
      <c r="P533" s="23" t="n"/>
      <c r="Q533" s="65" t="n"/>
      <c r="R533" s="65" t="n"/>
      <c r="S533" s="55" t="n"/>
      <c r="T533" s="55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</row>
    <row r="534" ht="51.75" customHeight="1" s="211">
      <c r="A534" s="55" t="n"/>
      <c r="B534" s="12" t="n"/>
      <c r="C534" s="55">
        <f>'Sales Candence'!B534</f>
        <v/>
      </c>
      <c r="D534" s="71" t="n"/>
      <c r="E534" s="71" t="n"/>
      <c r="F534" s="22" t="n"/>
      <c r="G534" s="22" t="n"/>
      <c r="H534" s="31" t="n"/>
      <c r="I534" s="23" t="n"/>
      <c r="J534" s="56" t="n"/>
      <c r="K534" s="22" t="n"/>
      <c r="L534" s="22" t="n"/>
      <c r="M534" s="22" t="n"/>
      <c r="N534" s="22" t="n"/>
      <c r="O534" s="22" t="n"/>
      <c r="P534" s="23" t="n"/>
      <c r="Q534" s="65" t="n"/>
      <c r="R534" s="65" t="n"/>
      <c r="S534" s="55" t="n"/>
      <c r="T534" s="55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</row>
    <row r="535" ht="51.75" customHeight="1" s="211">
      <c r="A535" s="55" t="n"/>
      <c r="B535" s="12" t="n"/>
      <c r="C535" s="55">
        <f>'Sales Candence'!B535</f>
        <v/>
      </c>
      <c r="D535" s="71" t="n"/>
      <c r="E535" s="71" t="n"/>
      <c r="F535" s="22" t="n"/>
      <c r="G535" s="22" t="n"/>
      <c r="H535" s="31" t="n"/>
      <c r="I535" s="23" t="n"/>
      <c r="J535" s="56" t="n"/>
      <c r="K535" s="22" t="n"/>
      <c r="L535" s="22" t="n"/>
      <c r="M535" s="22" t="n"/>
      <c r="N535" s="22" t="n"/>
      <c r="O535" s="22" t="n"/>
      <c r="P535" s="23" t="n"/>
      <c r="Q535" s="65" t="n"/>
      <c r="R535" s="65" t="n"/>
      <c r="S535" s="55" t="n"/>
      <c r="T535" s="55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</row>
    <row r="536" ht="51.75" customHeight="1" s="211">
      <c r="A536" s="55" t="n"/>
      <c r="B536" s="12" t="n"/>
      <c r="C536" s="55">
        <f>'Sales Candence'!B536</f>
        <v/>
      </c>
      <c r="D536" s="71" t="n"/>
      <c r="E536" s="71" t="n"/>
      <c r="F536" s="22" t="n"/>
      <c r="G536" s="22" t="n"/>
      <c r="H536" s="31" t="n"/>
      <c r="I536" s="23" t="n"/>
      <c r="J536" s="56" t="n"/>
      <c r="K536" s="22" t="n"/>
      <c r="L536" s="22" t="n"/>
      <c r="M536" s="22" t="n"/>
      <c r="N536" s="22" t="n"/>
      <c r="O536" s="22" t="n"/>
      <c r="P536" s="23" t="n"/>
      <c r="Q536" s="65" t="n"/>
      <c r="R536" s="65" t="n"/>
      <c r="S536" s="55" t="n"/>
      <c r="T536" s="55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</row>
    <row r="537" ht="51.75" customHeight="1" s="211">
      <c r="A537" s="55" t="n"/>
      <c r="B537" s="12" t="n"/>
      <c r="C537" s="55">
        <f>'Sales Candence'!B537</f>
        <v/>
      </c>
      <c r="D537" s="71" t="n"/>
      <c r="E537" s="71" t="n"/>
      <c r="F537" s="22" t="n"/>
      <c r="G537" s="22" t="n"/>
      <c r="H537" s="31" t="n"/>
      <c r="I537" s="23" t="n"/>
      <c r="J537" s="56" t="n"/>
      <c r="K537" s="22" t="n"/>
      <c r="L537" s="22" t="n"/>
      <c r="M537" s="22" t="n"/>
      <c r="N537" s="22" t="n"/>
      <c r="O537" s="22" t="n"/>
      <c r="P537" s="23" t="n"/>
      <c r="Q537" s="65" t="n"/>
      <c r="R537" s="65" t="n"/>
      <c r="S537" s="55" t="n"/>
      <c r="T537" s="55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</row>
    <row r="538" ht="51.75" customHeight="1" s="211">
      <c r="A538" s="55" t="n"/>
      <c r="B538" s="12" t="n"/>
      <c r="C538" s="55">
        <f>'Sales Candence'!B538</f>
        <v/>
      </c>
      <c r="D538" s="71" t="n"/>
      <c r="E538" s="71" t="n"/>
      <c r="F538" s="22" t="n"/>
      <c r="G538" s="22" t="n"/>
      <c r="H538" s="31" t="n"/>
      <c r="I538" s="23" t="n"/>
      <c r="J538" s="56" t="n"/>
      <c r="K538" s="22" t="n"/>
      <c r="L538" s="22" t="n"/>
      <c r="M538" s="22" t="n"/>
      <c r="N538" s="22" t="n"/>
      <c r="O538" s="22" t="n"/>
      <c r="P538" s="23" t="n"/>
      <c r="Q538" s="65" t="n"/>
      <c r="R538" s="65" t="n"/>
      <c r="S538" s="55" t="n"/>
      <c r="T538" s="55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</row>
    <row r="539" ht="51.75" customHeight="1" s="211">
      <c r="A539" s="55" t="n"/>
      <c r="B539" s="12" t="n"/>
      <c r="C539" s="55">
        <f>'Sales Candence'!B539</f>
        <v/>
      </c>
      <c r="D539" s="71" t="n"/>
      <c r="E539" s="71" t="n"/>
      <c r="F539" s="22" t="n"/>
      <c r="G539" s="22" t="n"/>
      <c r="H539" s="31" t="n"/>
      <c r="I539" s="23" t="n"/>
      <c r="J539" s="56" t="n"/>
      <c r="K539" s="22" t="n"/>
      <c r="L539" s="22" t="n"/>
      <c r="M539" s="22" t="n"/>
      <c r="N539" s="22" t="n"/>
      <c r="O539" s="22" t="n"/>
      <c r="P539" s="23" t="n"/>
      <c r="Q539" s="65" t="n"/>
      <c r="R539" s="65" t="n"/>
      <c r="S539" s="55" t="n"/>
      <c r="T539" s="55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</row>
    <row r="540" ht="51.75" customHeight="1" s="211">
      <c r="A540" s="55" t="n"/>
      <c r="B540" s="12" t="n"/>
      <c r="C540" s="55">
        <f>'Sales Candence'!B540</f>
        <v/>
      </c>
      <c r="D540" s="71" t="n"/>
      <c r="E540" s="71" t="n"/>
      <c r="F540" s="22" t="n"/>
      <c r="G540" s="22" t="n"/>
      <c r="H540" s="31" t="n"/>
      <c r="I540" s="23" t="n"/>
      <c r="J540" s="56" t="n"/>
      <c r="K540" s="22" t="n"/>
      <c r="L540" s="22" t="n"/>
      <c r="M540" s="22" t="n"/>
      <c r="N540" s="22" t="n"/>
      <c r="O540" s="22" t="n"/>
      <c r="P540" s="23" t="n"/>
      <c r="Q540" s="65" t="n"/>
      <c r="R540" s="65" t="n"/>
      <c r="S540" s="55" t="n"/>
      <c r="T540" s="55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</row>
    <row r="541" ht="51.75" customHeight="1" s="211">
      <c r="A541" s="55" t="n"/>
      <c r="B541" s="12" t="n"/>
      <c r="C541" s="55">
        <f>'Sales Candence'!B541</f>
        <v/>
      </c>
      <c r="D541" s="71" t="n"/>
      <c r="E541" s="71" t="n"/>
      <c r="F541" s="22" t="n"/>
      <c r="G541" s="22" t="n"/>
      <c r="H541" s="31" t="n"/>
      <c r="I541" s="23" t="n"/>
      <c r="J541" s="56" t="n"/>
      <c r="K541" s="22" t="n"/>
      <c r="L541" s="22" t="n"/>
      <c r="M541" s="22" t="n"/>
      <c r="N541" s="22" t="n"/>
      <c r="O541" s="22" t="n"/>
      <c r="P541" s="23" t="n"/>
      <c r="Q541" s="65" t="n"/>
      <c r="R541" s="65" t="n"/>
      <c r="S541" s="55" t="n"/>
      <c r="T541" s="55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</row>
    <row r="542" ht="51.75" customHeight="1" s="211">
      <c r="A542" s="55" t="n"/>
      <c r="B542" s="12" t="n"/>
      <c r="C542" s="55">
        <f>'Sales Candence'!B542</f>
        <v/>
      </c>
      <c r="D542" s="71" t="n"/>
      <c r="E542" s="71" t="n"/>
      <c r="F542" s="22" t="n"/>
      <c r="G542" s="22" t="n"/>
      <c r="H542" s="31" t="n"/>
      <c r="I542" s="23" t="n"/>
      <c r="J542" s="56" t="n"/>
      <c r="K542" s="22" t="n"/>
      <c r="L542" s="22" t="n"/>
      <c r="M542" s="22" t="n"/>
      <c r="N542" s="22" t="n"/>
      <c r="O542" s="22" t="n"/>
      <c r="P542" s="23" t="n"/>
      <c r="Q542" s="65" t="n"/>
      <c r="R542" s="65" t="n"/>
      <c r="S542" s="55" t="n"/>
      <c r="T542" s="55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</row>
    <row r="543" ht="51.75" customHeight="1" s="211">
      <c r="A543" s="55" t="n"/>
      <c r="B543" s="12" t="n"/>
      <c r="C543" s="55">
        <f>'Sales Candence'!B543</f>
        <v/>
      </c>
      <c r="D543" s="71" t="n"/>
      <c r="E543" s="71" t="n"/>
      <c r="F543" s="22" t="n"/>
      <c r="G543" s="22" t="n"/>
      <c r="H543" s="31" t="n"/>
      <c r="I543" s="23" t="n"/>
      <c r="J543" s="56" t="n"/>
      <c r="K543" s="22" t="n"/>
      <c r="L543" s="22" t="n"/>
      <c r="M543" s="22" t="n"/>
      <c r="N543" s="22" t="n"/>
      <c r="O543" s="22" t="n"/>
      <c r="P543" s="23" t="n"/>
      <c r="Q543" s="65" t="n"/>
      <c r="R543" s="65" t="n"/>
      <c r="S543" s="55" t="n"/>
      <c r="T543" s="55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</row>
    <row r="544" ht="51.75" customHeight="1" s="211">
      <c r="A544" s="55" t="n"/>
      <c r="B544" s="12" t="n"/>
      <c r="C544" s="55">
        <f>'Sales Candence'!B544</f>
        <v/>
      </c>
      <c r="D544" s="71" t="n"/>
      <c r="E544" s="71" t="n"/>
      <c r="F544" s="22" t="n"/>
      <c r="G544" s="22" t="n"/>
      <c r="H544" s="31" t="n"/>
      <c r="I544" s="23" t="n"/>
      <c r="J544" s="56" t="n"/>
      <c r="K544" s="22" t="n"/>
      <c r="L544" s="22" t="n"/>
      <c r="M544" s="22" t="n"/>
      <c r="N544" s="22" t="n"/>
      <c r="O544" s="22" t="n"/>
      <c r="P544" s="23" t="n"/>
      <c r="Q544" s="65" t="n"/>
      <c r="R544" s="65" t="n"/>
      <c r="S544" s="55" t="n"/>
      <c r="T544" s="55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</row>
    <row r="545" ht="51.75" customHeight="1" s="211">
      <c r="A545" s="55" t="n"/>
      <c r="B545" s="12" t="n"/>
      <c r="C545" s="55">
        <f>'Sales Candence'!B545</f>
        <v/>
      </c>
      <c r="D545" s="71" t="n"/>
      <c r="E545" s="71" t="n"/>
      <c r="F545" s="22" t="n"/>
      <c r="G545" s="22" t="n"/>
      <c r="H545" s="31" t="n"/>
      <c r="I545" s="23" t="n"/>
      <c r="J545" s="56" t="n"/>
      <c r="K545" s="22" t="n"/>
      <c r="L545" s="22" t="n"/>
      <c r="M545" s="22" t="n"/>
      <c r="N545" s="22" t="n"/>
      <c r="O545" s="22" t="n"/>
      <c r="P545" s="23" t="n"/>
      <c r="Q545" s="65" t="n"/>
      <c r="R545" s="65" t="n"/>
      <c r="S545" s="55" t="n"/>
      <c r="T545" s="55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</row>
    <row r="546" ht="51.75" customHeight="1" s="211">
      <c r="A546" s="55" t="n"/>
      <c r="B546" s="12" t="n"/>
      <c r="C546" s="55">
        <f>'Sales Candence'!B546</f>
        <v/>
      </c>
      <c r="D546" s="71" t="n"/>
      <c r="E546" s="71" t="n"/>
      <c r="F546" s="22" t="n"/>
      <c r="G546" s="22" t="n"/>
      <c r="H546" s="31" t="n"/>
      <c r="I546" s="23" t="n"/>
      <c r="J546" s="56" t="n"/>
      <c r="K546" s="22" t="n"/>
      <c r="L546" s="22" t="n"/>
      <c r="M546" s="22" t="n"/>
      <c r="N546" s="22" t="n"/>
      <c r="O546" s="22" t="n"/>
      <c r="P546" s="23" t="n"/>
      <c r="Q546" s="65" t="n"/>
      <c r="R546" s="65" t="n"/>
      <c r="S546" s="55" t="n"/>
      <c r="T546" s="55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</row>
    <row r="547" ht="51.75" customHeight="1" s="211">
      <c r="A547" s="55" t="n"/>
      <c r="B547" s="12" t="n"/>
      <c r="C547" s="55">
        <f>'Sales Candence'!B547</f>
        <v/>
      </c>
      <c r="D547" s="71" t="n"/>
      <c r="E547" s="71" t="n"/>
      <c r="F547" s="22" t="n"/>
      <c r="G547" s="22" t="n"/>
      <c r="H547" s="31" t="n"/>
      <c r="I547" s="23" t="n"/>
      <c r="J547" s="56" t="n"/>
      <c r="K547" s="22" t="n"/>
      <c r="L547" s="22" t="n"/>
      <c r="M547" s="22" t="n"/>
      <c r="N547" s="22" t="n"/>
      <c r="O547" s="22" t="n"/>
      <c r="P547" s="23" t="n"/>
      <c r="Q547" s="65" t="n"/>
      <c r="R547" s="65" t="n"/>
      <c r="S547" s="55" t="n"/>
      <c r="T547" s="55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</row>
    <row r="548" ht="51.75" customHeight="1" s="211">
      <c r="A548" s="55" t="n"/>
      <c r="B548" s="12" t="n"/>
      <c r="C548" s="55">
        <f>'Sales Candence'!B548</f>
        <v/>
      </c>
      <c r="D548" s="71" t="n"/>
      <c r="E548" s="71" t="n"/>
      <c r="F548" s="22" t="n"/>
      <c r="G548" s="22" t="n"/>
      <c r="H548" s="31" t="n"/>
      <c r="I548" s="23" t="n"/>
      <c r="J548" s="56" t="n"/>
      <c r="K548" s="22" t="n"/>
      <c r="L548" s="22" t="n"/>
      <c r="M548" s="22" t="n"/>
      <c r="N548" s="22" t="n"/>
      <c r="O548" s="22" t="n"/>
      <c r="P548" s="23" t="n"/>
      <c r="Q548" s="65" t="n"/>
      <c r="R548" s="65" t="n"/>
      <c r="S548" s="55" t="n"/>
      <c r="T548" s="55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</row>
    <row r="549" ht="51.75" customHeight="1" s="211">
      <c r="A549" s="55" t="n"/>
      <c r="B549" s="12" t="n"/>
      <c r="C549" s="55">
        <f>'Sales Candence'!B549</f>
        <v/>
      </c>
      <c r="D549" s="71" t="n"/>
      <c r="E549" s="71" t="n"/>
      <c r="F549" s="22" t="n"/>
      <c r="G549" s="22" t="n"/>
      <c r="H549" s="31" t="n"/>
      <c r="I549" s="23" t="n"/>
      <c r="J549" s="56" t="n"/>
      <c r="K549" s="22" t="n"/>
      <c r="L549" s="22" t="n"/>
      <c r="M549" s="22" t="n"/>
      <c r="N549" s="22" t="n"/>
      <c r="O549" s="22" t="n"/>
      <c r="P549" s="23" t="n"/>
      <c r="Q549" s="65" t="n"/>
      <c r="R549" s="65" t="n"/>
      <c r="S549" s="55" t="n"/>
      <c r="T549" s="55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</row>
    <row r="550" ht="51.75" customHeight="1" s="211">
      <c r="A550" s="55" t="n"/>
      <c r="B550" s="12" t="n"/>
      <c r="C550" s="55">
        <f>'Sales Candence'!B550</f>
        <v/>
      </c>
      <c r="D550" s="71" t="n"/>
      <c r="E550" s="71" t="n"/>
      <c r="F550" s="22" t="n"/>
      <c r="G550" s="22" t="n"/>
      <c r="H550" s="31" t="n"/>
      <c r="I550" s="23" t="n"/>
      <c r="J550" s="56" t="n"/>
      <c r="K550" s="22" t="n"/>
      <c r="L550" s="22" t="n"/>
      <c r="M550" s="22" t="n"/>
      <c r="N550" s="22" t="n"/>
      <c r="O550" s="22" t="n"/>
      <c r="P550" s="23" t="n"/>
      <c r="Q550" s="65" t="n"/>
      <c r="R550" s="65" t="n"/>
      <c r="S550" s="55" t="n"/>
      <c r="T550" s="55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</row>
    <row r="551" ht="51.75" customHeight="1" s="211">
      <c r="A551" s="55" t="n"/>
      <c r="B551" s="12" t="n"/>
      <c r="C551" s="55">
        <f>'Sales Candence'!B551</f>
        <v/>
      </c>
      <c r="D551" s="71" t="n"/>
      <c r="E551" s="71" t="n"/>
      <c r="F551" s="22" t="n"/>
      <c r="G551" s="22" t="n"/>
      <c r="H551" s="31" t="n"/>
      <c r="I551" s="23" t="n"/>
      <c r="J551" s="56" t="n"/>
      <c r="K551" s="22" t="n"/>
      <c r="L551" s="22" t="n"/>
      <c r="M551" s="22" t="n"/>
      <c r="N551" s="22" t="n"/>
      <c r="O551" s="22" t="n"/>
      <c r="P551" s="23" t="n"/>
      <c r="Q551" s="65" t="n"/>
      <c r="R551" s="65" t="n"/>
      <c r="S551" s="55" t="n"/>
      <c r="T551" s="55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</row>
    <row r="552" ht="51.75" customHeight="1" s="211">
      <c r="A552" s="55" t="n"/>
      <c r="B552" s="12" t="n"/>
      <c r="C552" s="55">
        <f>'Sales Candence'!B552</f>
        <v/>
      </c>
      <c r="D552" s="71" t="n"/>
      <c r="E552" s="71" t="n"/>
      <c r="F552" s="22" t="n"/>
      <c r="G552" s="22" t="n"/>
      <c r="H552" s="31" t="n"/>
      <c r="I552" s="23" t="n"/>
      <c r="J552" s="56" t="n"/>
      <c r="K552" s="22" t="n"/>
      <c r="L552" s="22" t="n"/>
      <c r="M552" s="22" t="n"/>
      <c r="N552" s="22" t="n"/>
      <c r="O552" s="22" t="n"/>
      <c r="P552" s="23" t="n"/>
      <c r="Q552" s="65" t="n"/>
      <c r="R552" s="65" t="n"/>
      <c r="S552" s="55" t="n"/>
      <c r="T552" s="55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</row>
    <row r="553" ht="51.75" customHeight="1" s="211">
      <c r="A553" s="55" t="n"/>
      <c r="B553" s="12" t="n"/>
      <c r="C553" s="55">
        <f>'Sales Candence'!B553</f>
        <v/>
      </c>
      <c r="D553" s="71" t="n"/>
      <c r="E553" s="71" t="n"/>
      <c r="F553" s="22" t="n"/>
      <c r="G553" s="22" t="n"/>
      <c r="H553" s="31" t="n"/>
      <c r="I553" s="23" t="n"/>
      <c r="J553" s="56" t="n"/>
      <c r="K553" s="22" t="n"/>
      <c r="L553" s="22" t="n"/>
      <c r="M553" s="22" t="n"/>
      <c r="N553" s="22" t="n"/>
      <c r="O553" s="22" t="n"/>
      <c r="P553" s="23" t="n"/>
      <c r="Q553" s="65" t="n"/>
      <c r="R553" s="65" t="n"/>
      <c r="S553" s="55" t="n"/>
      <c r="T553" s="55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</row>
    <row r="554" ht="51.75" customHeight="1" s="211">
      <c r="A554" s="55" t="n"/>
      <c r="B554" s="12" t="n"/>
      <c r="C554" s="55">
        <f>'Sales Candence'!B554</f>
        <v/>
      </c>
      <c r="D554" s="71" t="n"/>
      <c r="E554" s="71" t="n"/>
      <c r="F554" s="22" t="n"/>
      <c r="G554" s="22" t="n"/>
      <c r="H554" s="31" t="n"/>
      <c r="I554" s="23" t="n"/>
      <c r="J554" s="56" t="n"/>
      <c r="K554" s="22" t="n"/>
      <c r="L554" s="22" t="n"/>
      <c r="M554" s="22" t="n"/>
      <c r="N554" s="22" t="n"/>
      <c r="O554" s="22" t="n"/>
      <c r="P554" s="23" t="n"/>
      <c r="Q554" s="65" t="n"/>
      <c r="R554" s="65" t="n"/>
      <c r="S554" s="55" t="n"/>
      <c r="T554" s="55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</row>
    <row r="555" ht="51.75" customHeight="1" s="211">
      <c r="A555" s="55" t="n"/>
      <c r="B555" s="12" t="n"/>
      <c r="C555" s="55">
        <f>'Sales Candence'!B555</f>
        <v/>
      </c>
      <c r="D555" s="71" t="n"/>
      <c r="E555" s="71" t="n"/>
      <c r="F555" s="22" t="n"/>
      <c r="G555" s="22" t="n"/>
      <c r="H555" s="31" t="n"/>
      <c r="I555" s="23" t="n"/>
      <c r="J555" s="56" t="n"/>
      <c r="K555" s="22" t="n"/>
      <c r="L555" s="22" t="n"/>
      <c r="M555" s="22" t="n"/>
      <c r="N555" s="22" t="n"/>
      <c r="O555" s="22" t="n"/>
      <c r="P555" s="23" t="n"/>
      <c r="Q555" s="65" t="n"/>
      <c r="R555" s="65" t="n"/>
      <c r="S555" s="55" t="n"/>
      <c r="T555" s="55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</row>
    <row r="556" ht="51.75" customHeight="1" s="211">
      <c r="A556" s="55" t="n"/>
      <c r="B556" s="12" t="n"/>
      <c r="C556" s="55">
        <f>'Sales Candence'!B556</f>
        <v/>
      </c>
      <c r="D556" s="71" t="n"/>
      <c r="E556" s="71" t="n"/>
      <c r="F556" s="22" t="n"/>
      <c r="G556" s="22" t="n"/>
      <c r="H556" s="31" t="n"/>
      <c r="I556" s="23" t="n"/>
      <c r="J556" s="56" t="n"/>
      <c r="K556" s="22" t="n"/>
      <c r="L556" s="22" t="n"/>
      <c r="M556" s="22" t="n"/>
      <c r="N556" s="22" t="n"/>
      <c r="O556" s="22" t="n"/>
      <c r="P556" s="23" t="n"/>
      <c r="Q556" s="65" t="n"/>
      <c r="R556" s="65" t="n"/>
      <c r="S556" s="55" t="n"/>
      <c r="T556" s="55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</row>
    <row r="557" ht="51.75" customHeight="1" s="211">
      <c r="A557" s="55" t="n"/>
      <c r="B557" s="12" t="n"/>
      <c r="C557" s="55">
        <f>'Sales Candence'!B557</f>
        <v/>
      </c>
      <c r="D557" s="71" t="n"/>
      <c r="E557" s="71" t="n"/>
      <c r="F557" s="22" t="n"/>
      <c r="G557" s="22" t="n"/>
      <c r="H557" s="31" t="n"/>
      <c r="I557" s="23" t="n"/>
      <c r="J557" s="56" t="n"/>
      <c r="K557" s="22" t="n"/>
      <c r="L557" s="22" t="n"/>
      <c r="M557" s="22" t="n"/>
      <c r="N557" s="22" t="n"/>
      <c r="O557" s="22" t="n"/>
      <c r="P557" s="23" t="n"/>
      <c r="Q557" s="65" t="n"/>
      <c r="R557" s="65" t="n"/>
      <c r="S557" s="55" t="n"/>
      <c r="T557" s="55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</row>
    <row r="558" ht="51.75" customHeight="1" s="211">
      <c r="A558" s="55" t="n"/>
      <c r="B558" s="12" t="n"/>
      <c r="C558" s="55">
        <f>'Sales Candence'!B558</f>
        <v/>
      </c>
      <c r="D558" s="71" t="n"/>
      <c r="E558" s="71" t="n"/>
      <c r="F558" s="22" t="n"/>
      <c r="G558" s="22" t="n"/>
      <c r="H558" s="31" t="n"/>
      <c r="I558" s="23" t="n"/>
      <c r="J558" s="56" t="n"/>
      <c r="K558" s="22" t="n"/>
      <c r="L558" s="22" t="n"/>
      <c r="M558" s="22" t="n"/>
      <c r="N558" s="22" t="n"/>
      <c r="O558" s="22" t="n"/>
      <c r="P558" s="23" t="n"/>
      <c r="Q558" s="65" t="n"/>
      <c r="R558" s="65" t="n"/>
      <c r="S558" s="55" t="n"/>
      <c r="T558" s="55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</row>
    <row r="559" ht="51.75" customHeight="1" s="211">
      <c r="A559" s="55" t="n"/>
      <c r="B559" s="12" t="n"/>
      <c r="C559" s="55">
        <f>'Sales Candence'!B559</f>
        <v/>
      </c>
      <c r="D559" s="71" t="n"/>
      <c r="E559" s="71" t="n"/>
      <c r="F559" s="22" t="n"/>
      <c r="G559" s="22" t="n"/>
      <c r="H559" s="31" t="n"/>
      <c r="I559" s="23" t="n"/>
      <c r="J559" s="56" t="n"/>
      <c r="K559" s="22" t="n"/>
      <c r="L559" s="22" t="n"/>
      <c r="M559" s="22" t="n"/>
      <c r="N559" s="22" t="n"/>
      <c r="O559" s="22" t="n"/>
      <c r="P559" s="23" t="n"/>
      <c r="Q559" s="65" t="n"/>
      <c r="R559" s="65" t="n"/>
      <c r="S559" s="55" t="n"/>
      <c r="T559" s="55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</row>
    <row r="560" ht="51.75" customHeight="1" s="211">
      <c r="A560" s="55" t="n"/>
      <c r="B560" s="12" t="n"/>
      <c r="C560" s="55">
        <f>'Sales Candence'!B560</f>
        <v/>
      </c>
      <c r="D560" s="71" t="n"/>
      <c r="E560" s="71" t="n"/>
      <c r="F560" s="22" t="n"/>
      <c r="G560" s="22" t="n"/>
      <c r="H560" s="31" t="n"/>
      <c r="I560" s="23" t="n"/>
      <c r="J560" s="56" t="n"/>
      <c r="K560" s="22" t="n"/>
      <c r="L560" s="22" t="n"/>
      <c r="M560" s="22" t="n"/>
      <c r="N560" s="22" t="n"/>
      <c r="O560" s="22" t="n"/>
      <c r="P560" s="23" t="n"/>
      <c r="Q560" s="65" t="n"/>
      <c r="R560" s="65" t="n"/>
      <c r="S560" s="55" t="n"/>
      <c r="T560" s="55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</row>
    <row r="561" ht="51.75" customHeight="1" s="211">
      <c r="A561" s="55" t="n"/>
      <c r="B561" s="12" t="n"/>
      <c r="C561" s="55">
        <f>'Sales Candence'!B561</f>
        <v/>
      </c>
      <c r="D561" s="71" t="n"/>
      <c r="E561" s="71" t="n"/>
      <c r="F561" s="22" t="n"/>
      <c r="G561" s="22" t="n"/>
      <c r="H561" s="31" t="n"/>
      <c r="I561" s="23" t="n"/>
      <c r="J561" s="56" t="n"/>
      <c r="K561" s="22" t="n"/>
      <c r="L561" s="22" t="n"/>
      <c r="M561" s="22" t="n"/>
      <c r="N561" s="22" t="n"/>
      <c r="O561" s="22" t="n"/>
      <c r="P561" s="23" t="n"/>
      <c r="Q561" s="65" t="n"/>
      <c r="R561" s="65" t="n"/>
      <c r="S561" s="55" t="n"/>
      <c r="T561" s="55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</row>
    <row r="562" ht="51.75" customHeight="1" s="211">
      <c r="A562" s="55" t="n"/>
      <c r="B562" s="12" t="n"/>
      <c r="C562" s="55">
        <f>'Sales Candence'!B562</f>
        <v/>
      </c>
      <c r="D562" s="71" t="n"/>
      <c r="E562" s="71" t="n"/>
      <c r="F562" s="22" t="n"/>
      <c r="G562" s="22" t="n"/>
      <c r="H562" s="31" t="n"/>
      <c r="I562" s="23" t="n"/>
      <c r="J562" s="56" t="n"/>
      <c r="K562" s="22" t="n"/>
      <c r="L562" s="22" t="n"/>
      <c r="M562" s="22" t="n"/>
      <c r="N562" s="22" t="n"/>
      <c r="O562" s="22" t="n"/>
      <c r="P562" s="23" t="n"/>
      <c r="Q562" s="65" t="n"/>
      <c r="R562" s="65" t="n"/>
      <c r="S562" s="55" t="n"/>
      <c r="T562" s="55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</row>
    <row r="563" ht="51.75" customHeight="1" s="211">
      <c r="A563" s="55" t="n"/>
      <c r="B563" s="12" t="n"/>
      <c r="C563" s="55">
        <f>'Sales Candence'!B563</f>
        <v/>
      </c>
      <c r="D563" s="71" t="n"/>
      <c r="E563" s="71" t="n"/>
      <c r="F563" s="22" t="n"/>
      <c r="G563" s="22" t="n"/>
      <c r="H563" s="31" t="n"/>
      <c r="I563" s="23" t="n"/>
      <c r="J563" s="56" t="n"/>
      <c r="K563" s="22" t="n"/>
      <c r="L563" s="22" t="n"/>
      <c r="M563" s="22" t="n"/>
      <c r="N563" s="22" t="n"/>
      <c r="O563" s="22" t="n"/>
      <c r="P563" s="23" t="n"/>
      <c r="Q563" s="65" t="n"/>
      <c r="R563" s="65" t="n"/>
      <c r="S563" s="55" t="n"/>
      <c r="T563" s="55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</row>
    <row r="564" ht="51.75" customHeight="1" s="211">
      <c r="A564" s="55" t="n"/>
      <c r="B564" s="12" t="n"/>
      <c r="C564" s="55">
        <f>'Sales Candence'!B564</f>
        <v/>
      </c>
      <c r="D564" s="71" t="n"/>
      <c r="E564" s="71" t="n"/>
      <c r="F564" s="22" t="n"/>
      <c r="G564" s="22" t="n"/>
      <c r="H564" s="31" t="n"/>
      <c r="I564" s="23" t="n"/>
      <c r="J564" s="56" t="n"/>
      <c r="K564" s="22" t="n"/>
      <c r="L564" s="22" t="n"/>
      <c r="M564" s="22" t="n"/>
      <c r="N564" s="22" t="n"/>
      <c r="O564" s="22" t="n"/>
      <c r="P564" s="23" t="n"/>
      <c r="Q564" s="65" t="n"/>
      <c r="R564" s="65" t="n"/>
      <c r="S564" s="55" t="n"/>
      <c r="T564" s="55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</row>
    <row r="565" ht="51.75" customHeight="1" s="211">
      <c r="A565" s="55" t="n"/>
      <c r="B565" s="12" t="n"/>
      <c r="C565" s="55">
        <f>'Sales Candence'!B565</f>
        <v/>
      </c>
      <c r="D565" s="71" t="n"/>
      <c r="E565" s="71" t="n"/>
      <c r="F565" s="22" t="n"/>
      <c r="G565" s="22" t="n"/>
      <c r="H565" s="31" t="n"/>
      <c r="I565" s="23" t="n"/>
      <c r="J565" s="56" t="n"/>
      <c r="K565" s="22" t="n"/>
      <c r="L565" s="22" t="n"/>
      <c r="M565" s="22" t="n"/>
      <c r="N565" s="22" t="n"/>
      <c r="O565" s="22" t="n"/>
      <c r="P565" s="23" t="n"/>
      <c r="Q565" s="65" t="n"/>
      <c r="R565" s="65" t="n"/>
      <c r="S565" s="55" t="n"/>
      <c r="T565" s="55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</row>
    <row r="566" ht="51.75" customHeight="1" s="211">
      <c r="A566" s="55" t="n"/>
      <c r="B566" s="12" t="n"/>
      <c r="C566" s="55">
        <f>'Sales Candence'!B566</f>
        <v/>
      </c>
      <c r="D566" s="71" t="n"/>
      <c r="E566" s="71" t="n"/>
      <c r="F566" s="22" t="n"/>
      <c r="G566" s="22" t="n"/>
      <c r="H566" s="31" t="n"/>
      <c r="I566" s="23" t="n"/>
      <c r="J566" s="56" t="n"/>
      <c r="K566" s="22" t="n"/>
      <c r="L566" s="22" t="n"/>
      <c r="M566" s="22" t="n"/>
      <c r="N566" s="22" t="n"/>
      <c r="O566" s="22" t="n"/>
      <c r="P566" s="23" t="n"/>
      <c r="Q566" s="65" t="n"/>
      <c r="R566" s="65" t="n"/>
      <c r="S566" s="55" t="n"/>
      <c r="T566" s="55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</row>
    <row r="567" ht="51.75" customHeight="1" s="211">
      <c r="A567" s="55" t="n"/>
      <c r="B567" s="12" t="n"/>
      <c r="C567" s="55">
        <f>'Sales Candence'!B567</f>
        <v/>
      </c>
      <c r="D567" s="71" t="n"/>
      <c r="E567" s="71" t="n"/>
      <c r="F567" s="22" t="n"/>
      <c r="G567" s="22" t="n"/>
      <c r="H567" s="31" t="n"/>
      <c r="I567" s="23" t="n"/>
      <c r="J567" s="56" t="n"/>
      <c r="K567" s="22" t="n"/>
      <c r="L567" s="22" t="n"/>
      <c r="M567" s="22" t="n"/>
      <c r="N567" s="22" t="n"/>
      <c r="O567" s="22" t="n"/>
      <c r="P567" s="23" t="n"/>
      <c r="Q567" s="65" t="n"/>
      <c r="R567" s="65" t="n"/>
      <c r="S567" s="55" t="n"/>
      <c r="T567" s="55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</row>
    <row r="568" ht="51.75" customHeight="1" s="211">
      <c r="A568" s="55" t="n"/>
      <c r="B568" s="12" t="n"/>
      <c r="C568" s="55">
        <f>'Sales Candence'!B568</f>
        <v/>
      </c>
      <c r="D568" s="71" t="n"/>
      <c r="E568" s="71" t="n"/>
      <c r="F568" s="22" t="n"/>
      <c r="G568" s="22" t="n"/>
      <c r="H568" s="31" t="n"/>
      <c r="I568" s="23" t="n"/>
      <c r="J568" s="56" t="n"/>
      <c r="K568" s="22" t="n"/>
      <c r="L568" s="22" t="n"/>
      <c r="M568" s="22" t="n"/>
      <c r="N568" s="22" t="n"/>
      <c r="O568" s="22" t="n"/>
      <c r="P568" s="23" t="n"/>
      <c r="Q568" s="65" t="n"/>
      <c r="R568" s="65" t="n"/>
      <c r="S568" s="55" t="n"/>
      <c r="T568" s="55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</row>
    <row r="569" ht="51.75" customHeight="1" s="211">
      <c r="A569" s="55" t="n"/>
      <c r="B569" s="12" t="n"/>
      <c r="C569" s="55">
        <f>'Sales Candence'!B569</f>
        <v/>
      </c>
      <c r="D569" s="71" t="n"/>
      <c r="E569" s="71" t="n"/>
      <c r="F569" s="22" t="n"/>
      <c r="G569" s="22" t="n"/>
      <c r="H569" s="31" t="n"/>
      <c r="I569" s="23" t="n"/>
      <c r="J569" s="56" t="n"/>
      <c r="K569" s="22" t="n"/>
      <c r="L569" s="22" t="n"/>
      <c r="M569" s="22" t="n"/>
      <c r="N569" s="22" t="n"/>
      <c r="O569" s="22" t="n"/>
      <c r="P569" s="23" t="n"/>
      <c r="Q569" s="65" t="n"/>
      <c r="R569" s="65" t="n"/>
      <c r="S569" s="55" t="n"/>
      <c r="T569" s="55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</row>
    <row r="570" ht="51.75" customHeight="1" s="211">
      <c r="A570" s="55" t="n"/>
      <c r="B570" s="12" t="n"/>
      <c r="C570" s="55">
        <f>'Sales Candence'!B570</f>
        <v/>
      </c>
      <c r="D570" s="71" t="n"/>
      <c r="E570" s="71" t="n"/>
      <c r="F570" s="22" t="n"/>
      <c r="G570" s="22" t="n"/>
      <c r="H570" s="31" t="n"/>
      <c r="I570" s="23" t="n"/>
      <c r="J570" s="56" t="n"/>
      <c r="K570" s="22" t="n"/>
      <c r="L570" s="22" t="n"/>
      <c r="M570" s="22" t="n"/>
      <c r="N570" s="22" t="n"/>
      <c r="O570" s="22" t="n"/>
      <c r="P570" s="23" t="n"/>
      <c r="Q570" s="65" t="n"/>
      <c r="R570" s="65" t="n"/>
      <c r="S570" s="55" t="n"/>
      <c r="T570" s="55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</row>
    <row r="571" ht="51.75" customHeight="1" s="211">
      <c r="A571" s="55" t="n"/>
      <c r="B571" s="12" t="n"/>
      <c r="C571" s="55">
        <f>'Sales Candence'!B571</f>
        <v/>
      </c>
      <c r="D571" s="71" t="n"/>
      <c r="E571" s="71" t="n"/>
      <c r="F571" s="22" t="n"/>
      <c r="G571" s="22" t="n"/>
      <c r="H571" s="31" t="n"/>
      <c r="I571" s="23" t="n"/>
      <c r="J571" s="56" t="n"/>
      <c r="K571" s="22" t="n"/>
      <c r="L571" s="22" t="n"/>
      <c r="M571" s="22" t="n"/>
      <c r="N571" s="22" t="n"/>
      <c r="O571" s="22" t="n"/>
      <c r="P571" s="23" t="n"/>
      <c r="Q571" s="65" t="n"/>
      <c r="R571" s="65" t="n"/>
      <c r="S571" s="55" t="n"/>
      <c r="T571" s="55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</row>
    <row r="572" ht="51.75" customHeight="1" s="211">
      <c r="A572" s="55" t="n"/>
      <c r="B572" s="12" t="n"/>
      <c r="C572" s="55">
        <f>'Sales Candence'!B572</f>
        <v/>
      </c>
      <c r="D572" s="71" t="n"/>
      <c r="E572" s="71" t="n"/>
      <c r="F572" s="22" t="n"/>
      <c r="G572" s="22" t="n"/>
      <c r="H572" s="31" t="n"/>
      <c r="I572" s="23" t="n"/>
      <c r="J572" s="56" t="n"/>
      <c r="K572" s="22" t="n"/>
      <c r="L572" s="22" t="n"/>
      <c r="M572" s="22" t="n"/>
      <c r="N572" s="22" t="n"/>
      <c r="O572" s="22" t="n"/>
      <c r="P572" s="23" t="n"/>
      <c r="Q572" s="65" t="n"/>
      <c r="R572" s="65" t="n"/>
      <c r="S572" s="55" t="n"/>
      <c r="T572" s="55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</row>
    <row r="573" ht="51.75" customHeight="1" s="211">
      <c r="A573" s="55" t="n"/>
      <c r="B573" s="12" t="n"/>
      <c r="C573" s="55">
        <f>'Sales Candence'!B573</f>
        <v/>
      </c>
      <c r="D573" s="71" t="n"/>
      <c r="E573" s="71" t="n"/>
      <c r="F573" s="22" t="n"/>
      <c r="G573" s="22" t="n"/>
      <c r="H573" s="31" t="n"/>
      <c r="I573" s="23" t="n"/>
      <c r="J573" s="56" t="n"/>
      <c r="K573" s="22" t="n"/>
      <c r="L573" s="22" t="n"/>
      <c r="M573" s="22" t="n"/>
      <c r="N573" s="22" t="n"/>
      <c r="O573" s="22" t="n"/>
      <c r="P573" s="23" t="n"/>
      <c r="Q573" s="65" t="n"/>
      <c r="R573" s="65" t="n"/>
      <c r="S573" s="55" t="n"/>
      <c r="T573" s="55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</row>
    <row r="574" ht="51.75" customHeight="1" s="211">
      <c r="A574" s="55" t="n"/>
      <c r="B574" s="12" t="n"/>
      <c r="C574" s="55">
        <f>'Sales Candence'!B574</f>
        <v/>
      </c>
      <c r="D574" s="71" t="n"/>
      <c r="E574" s="71" t="n"/>
      <c r="F574" s="22" t="n"/>
      <c r="G574" s="22" t="n"/>
      <c r="H574" s="31" t="n"/>
      <c r="I574" s="23" t="n"/>
      <c r="J574" s="56" t="n"/>
      <c r="K574" s="22" t="n"/>
      <c r="L574" s="22" t="n"/>
      <c r="M574" s="22" t="n"/>
      <c r="N574" s="22" t="n"/>
      <c r="O574" s="22" t="n"/>
      <c r="P574" s="23" t="n"/>
      <c r="Q574" s="65" t="n"/>
      <c r="R574" s="65" t="n"/>
      <c r="S574" s="55" t="n"/>
      <c r="T574" s="55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</row>
    <row r="575" ht="51.75" customHeight="1" s="211">
      <c r="A575" s="55" t="n"/>
      <c r="B575" s="12" t="n"/>
      <c r="C575" s="55">
        <f>'Sales Candence'!B575</f>
        <v/>
      </c>
      <c r="D575" s="71" t="n"/>
      <c r="E575" s="71" t="n"/>
      <c r="F575" s="22" t="n"/>
      <c r="G575" s="22" t="n"/>
      <c r="H575" s="31" t="n"/>
      <c r="I575" s="23" t="n"/>
      <c r="J575" s="56" t="n"/>
      <c r="K575" s="22" t="n"/>
      <c r="L575" s="22" t="n"/>
      <c r="M575" s="22" t="n"/>
      <c r="N575" s="22" t="n"/>
      <c r="O575" s="22" t="n"/>
      <c r="P575" s="23" t="n"/>
      <c r="Q575" s="65" t="n"/>
      <c r="R575" s="65" t="n"/>
      <c r="S575" s="55" t="n"/>
      <c r="T575" s="55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</row>
    <row r="576" ht="51.75" customHeight="1" s="211">
      <c r="A576" s="55" t="n"/>
      <c r="B576" s="12" t="n"/>
      <c r="C576" s="55">
        <f>'Sales Candence'!B576</f>
        <v/>
      </c>
      <c r="D576" s="71" t="n"/>
      <c r="E576" s="71" t="n"/>
      <c r="F576" s="22" t="n"/>
      <c r="G576" s="22" t="n"/>
      <c r="H576" s="31" t="n"/>
      <c r="I576" s="23" t="n"/>
      <c r="J576" s="56" t="n"/>
      <c r="K576" s="22" t="n"/>
      <c r="L576" s="22" t="n"/>
      <c r="M576" s="22" t="n"/>
      <c r="N576" s="22" t="n"/>
      <c r="O576" s="22" t="n"/>
      <c r="P576" s="23" t="n"/>
      <c r="Q576" s="65" t="n"/>
      <c r="R576" s="65" t="n"/>
      <c r="S576" s="55" t="n"/>
      <c r="T576" s="55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</row>
    <row r="577" ht="51.75" customHeight="1" s="211">
      <c r="A577" s="55" t="n"/>
      <c r="B577" s="12" t="n"/>
      <c r="C577" s="55">
        <f>'Sales Candence'!B577</f>
        <v/>
      </c>
      <c r="D577" s="71" t="n"/>
      <c r="E577" s="71" t="n"/>
      <c r="F577" s="22" t="n"/>
      <c r="G577" s="22" t="n"/>
      <c r="H577" s="31" t="n"/>
      <c r="I577" s="23" t="n"/>
      <c r="J577" s="56" t="n"/>
      <c r="K577" s="22" t="n"/>
      <c r="L577" s="22" t="n"/>
      <c r="M577" s="22" t="n"/>
      <c r="N577" s="22" t="n"/>
      <c r="O577" s="22" t="n"/>
      <c r="P577" s="23" t="n"/>
      <c r="Q577" s="65" t="n"/>
      <c r="R577" s="65" t="n"/>
      <c r="S577" s="55" t="n"/>
      <c r="T577" s="55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</row>
    <row r="578" ht="51.75" customHeight="1" s="211">
      <c r="A578" s="55" t="n"/>
      <c r="B578" s="12" t="n"/>
      <c r="C578" s="55">
        <f>'Sales Candence'!B578</f>
        <v/>
      </c>
      <c r="D578" s="71" t="n"/>
      <c r="E578" s="71" t="n"/>
      <c r="F578" s="22" t="n"/>
      <c r="G578" s="22" t="n"/>
      <c r="H578" s="31" t="n"/>
      <c r="I578" s="23" t="n"/>
      <c r="J578" s="56" t="n"/>
      <c r="K578" s="22" t="n"/>
      <c r="L578" s="22" t="n"/>
      <c r="M578" s="22" t="n"/>
      <c r="N578" s="22" t="n"/>
      <c r="O578" s="22" t="n"/>
      <c r="P578" s="23" t="n"/>
      <c r="Q578" s="65" t="n"/>
      <c r="R578" s="65" t="n"/>
      <c r="S578" s="55" t="n"/>
      <c r="T578" s="55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</row>
    <row r="579" ht="51.75" customHeight="1" s="211">
      <c r="A579" s="55" t="n"/>
      <c r="B579" s="12" t="n"/>
      <c r="C579" s="55">
        <f>'Sales Candence'!B579</f>
        <v/>
      </c>
      <c r="D579" s="71" t="n"/>
      <c r="E579" s="71" t="n"/>
      <c r="F579" s="22" t="n"/>
      <c r="G579" s="22" t="n"/>
      <c r="H579" s="31" t="n"/>
      <c r="I579" s="23" t="n"/>
      <c r="J579" s="56" t="n"/>
      <c r="K579" s="22" t="n"/>
      <c r="L579" s="22" t="n"/>
      <c r="M579" s="22" t="n"/>
      <c r="N579" s="22" t="n"/>
      <c r="O579" s="22" t="n"/>
      <c r="P579" s="23" t="n"/>
      <c r="Q579" s="65" t="n"/>
      <c r="R579" s="65" t="n"/>
      <c r="S579" s="55" t="n"/>
      <c r="T579" s="55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</row>
    <row r="580" ht="51.75" customHeight="1" s="211">
      <c r="A580" s="55" t="n"/>
      <c r="B580" s="12" t="n"/>
      <c r="C580" s="55">
        <f>'Sales Candence'!B580</f>
        <v/>
      </c>
      <c r="D580" s="71" t="n"/>
      <c r="E580" s="71" t="n"/>
      <c r="F580" s="22" t="n"/>
      <c r="G580" s="22" t="n"/>
      <c r="H580" s="31" t="n"/>
      <c r="I580" s="23" t="n"/>
      <c r="J580" s="56" t="n"/>
      <c r="K580" s="22" t="n"/>
      <c r="L580" s="22" t="n"/>
      <c r="M580" s="22" t="n"/>
      <c r="N580" s="22" t="n"/>
      <c r="O580" s="22" t="n"/>
      <c r="P580" s="23" t="n"/>
      <c r="Q580" s="65" t="n"/>
      <c r="R580" s="65" t="n"/>
      <c r="S580" s="55" t="n"/>
      <c r="T580" s="55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</row>
    <row r="581" ht="51.75" customHeight="1" s="211">
      <c r="A581" s="55" t="n"/>
      <c r="B581" s="12" t="n"/>
      <c r="C581" s="55">
        <f>'Sales Candence'!B581</f>
        <v/>
      </c>
      <c r="D581" s="71" t="n"/>
      <c r="E581" s="71" t="n"/>
      <c r="F581" s="22" t="n"/>
      <c r="G581" s="22" t="n"/>
      <c r="H581" s="31" t="n"/>
      <c r="I581" s="23" t="n"/>
      <c r="J581" s="56" t="n"/>
      <c r="K581" s="22" t="n"/>
      <c r="L581" s="22" t="n"/>
      <c r="M581" s="22" t="n"/>
      <c r="N581" s="22" t="n"/>
      <c r="O581" s="22" t="n"/>
      <c r="P581" s="23" t="n"/>
      <c r="Q581" s="65" t="n"/>
      <c r="R581" s="65" t="n"/>
      <c r="S581" s="55" t="n"/>
      <c r="T581" s="55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</row>
    <row r="582" ht="51.75" customHeight="1" s="211">
      <c r="A582" s="55" t="n"/>
      <c r="B582" s="12" t="n"/>
      <c r="C582" s="55">
        <f>'Sales Candence'!B582</f>
        <v/>
      </c>
      <c r="D582" s="71" t="n"/>
      <c r="E582" s="71" t="n"/>
      <c r="F582" s="22" t="n"/>
      <c r="G582" s="22" t="n"/>
      <c r="H582" s="31" t="n"/>
      <c r="I582" s="23" t="n"/>
      <c r="J582" s="56" t="n"/>
      <c r="K582" s="22" t="n"/>
      <c r="L582" s="22" t="n"/>
      <c r="M582" s="22" t="n"/>
      <c r="N582" s="22" t="n"/>
      <c r="O582" s="22" t="n"/>
      <c r="P582" s="23" t="n"/>
      <c r="Q582" s="65" t="n"/>
      <c r="R582" s="65" t="n"/>
      <c r="S582" s="55" t="n"/>
      <c r="T582" s="55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</row>
    <row r="583" ht="15.75" customHeight="1" s="211">
      <c r="A583" s="55" t="n"/>
      <c r="B583" s="12" t="n"/>
      <c r="C583" s="55">
        <f>'Sales Candence'!B583</f>
        <v/>
      </c>
      <c r="D583" s="71" t="n"/>
      <c r="E583" s="71" t="n"/>
      <c r="F583" s="22" t="n"/>
      <c r="G583" s="22" t="n"/>
      <c r="H583" s="31" t="n"/>
      <c r="I583" s="23" t="n"/>
      <c r="J583" s="56" t="n"/>
      <c r="K583" s="22" t="n"/>
      <c r="L583" s="22" t="n"/>
      <c r="M583" s="22" t="n"/>
      <c r="N583" s="22" t="n"/>
      <c r="O583" s="22" t="n"/>
      <c r="P583" s="23" t="n"/>
      <c r="Q583" s="65" t="n"/>
      <c r="R583" s="65" t="n"/>
      <c r="S583" s="55" t="n"/>
      <c r="T583" s="55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</row>
    <row r="584" ht="15.75" customHeight="1" s="211">
      <c r="A584" s="55" t="n"/>
      <c r="B584" s="12" t="n"/>
      <c r="C584" s="55">
        <f>'Sales Candence'!B584</f>
        <v/>
      </c>
      <c r="D584" s="71" t="n"/>
      <c r="E584" s="71" t="n"/>
      <c r="F584" s="22" t="n"/>
      <c r="G584" s="22" t="n"/>
      <c r="H584" s="31" t="n"/>
      <c r="I584" s="23" t="n"/>
      <c r="J584" s="56" t="n"/>
      <c r="K584" s="22" t="n"/>
      <c r="L584" s="22" t="n"/>
      <c r="M584" s="22" t="n"/>
      <c r="N584" s="22" t="n"/>
      <c r="O584" s="22" t="n"/>
      <c r="P584" s="23" t="n"/>
      <c r="Q584" s="65" t="n"/>
      <c r="R584" s="65" t="n"/>
      <c r="S584" s="55" t="n"/>
      <c r="T584" s="55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</row>
    <row r="585" ht="15.75" customHeight="1" s="211">
      <c r="A585" s="55" t="n"/>
      <c r="B585" s="12" t="n"/>
      <c r="C585" s="55">
        <f>'Sales Candence'!B585</f>
        <v/>
      </c>
      <c r="D585" s="71" t="n"/>
      <c r="E585" s="71" t="n"/>
      <c r="F585" s="22" t="n"/>
      <c r="G585" s="22" t="n"/>
      <c r="H585" s="31" t="n"/>
      <c r="I585" s="23" t="n"/>
      <c r="J585" s="56" t="n"/>
      <c r="K585" s="22" t="n"/>
      <c r="L585" s="22" t="n"/>
      <c r="M585" s="22" t="n"/>
      <c r="N585" s="22" t="n"/>
      <c r="O585" s="22" t="n"/>
      <c r="P585" s="23" t="n"/>
      <c r="Q585" s="65" t="n"/>
      <c r="R585" s="65" t="n"/>
      <c r="S585" s="55" t="n"/>
      <c r="T585" s="55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</row>
    <row r="586" ht="15.75" customHeight="1" s="211">
      <c r="A586" s="55" t="n"/>
      <c r="B586" s="12" t="n"/>
      <c r="C586" s="55">
        <f>'Sales Candence'!B586</f>
        <v/>
      </c>
      <c r="D586" s="71" t="n"/>
      <c r="E586" s="71" t="n"/>
      <c r="F586" s="22" t="n"/>
      <c r="G586" s="22" t="n"/>
      <c r="H586" s="31" t="n"/>
      <c r="I586" s="23" t="n"/>
      <c r="J586" s="56" t="n"/>
      <c r="K586" s="22" t="n"/>
      <c r="L586" s="22" t="n"/>
      <c r="M586" s="22" t="n"/>
      <c r="N586" s="22" t="n"/>
      <c r="O586" s="22" t="n"/>
      <c r="P586" s="23" t="n"/>
      <c r="Q586" s="65" t="n"/>
      <c r="R586" s="65" t="n"/>
      <c r="S586" s="55" t="n"/>
      <c r="T586" s="55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</row>
    <row r="587" ht="15.75" customHeight="1" s="211">
      <c r="A587" s="55" t="n"/>
      <c r="B587" s="12" t="n"/>
      <c r="C587" s="55">
        <f>'Sales Candence'!B587</f>
        <v/>
      </c>
      <c r="D587" s="71" t="n"/>
      <c r="E587" s="71" t="n"/>
      <c r="F587" s="22" t="n"/>
      <c r="G587" s="22" t="n"/>
      <c r="H587" s="31" t="n"/>
      <c r="I587" s="23" t="n"/>
      <c r="J587" s="56" t="n"/>
      <c r="K587" s="22" t="n"/>
      <c r="L587" s="22" t="n"/>
      <c r="M587" s="22" t="n"/>
      <c r="N587" s="22" t="n"/>
      <c r="O587" s="22" t="n"/>
      <c r="P587" s="23" t="n"/>
      <c r="Q587" s="65" t="n"/>
      <c r="R587" s="65" t="n"/>
      <c r="S587" s="55" t="n"/>
      <c r="T587" s="55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</row>
    <row r="588" ht="15.75" customHeight="1" s="211">
      <c r="A588" s="55" t="n"/>
      <c r="B588" s="12" t="n"/>
      <c r="C588" s="55">
        <f>'Sales Candence'!B588</f>
        <v/>
      </c>
      <c r="D588" s="71" t="n"/>
      <c r="E588" s="71" t="n"/>
      <c r="F588" s="22" t="n"/>
      <c r="G588" s="22" t="n"/>
      <c r="H588" s="31" t="n"/>
      <c r="I588" s="23" t="n"/>
      <c r="J588" s="56" t="n"/>
      <c r="K588" s="22" t="n"/>
      <c r="L588" s="22" t="n"/>
      <c r="M588" s="22" t="n"/>
      <c r="N588" s="22" t="n"/>
      <c r="O588" s="22" t="n"/>
      <c r="P588" s="23" t="n"/>
      <c r="Q588" s="65" t="n"/>
      <c r="R588" s="65" t="n"/>
      <c r="S588" s="55" t="n"/>
      <c r="T588" s="55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</row>
    <row r="589" ht="15.75" customHeight="1" s="211">
      <c r="A589" s="55" t="n"/>
      <c r="B589" s="12" t="n"/>
      <c r="C589" s="55">
        <f>'Sales Candence'!B589</f>
        <v/>
      </c>
      <c r="D589" s="71" t="n"/>
      <c r="E589" s="71" t="n"/>
      <c r="F589" s="22" t="n"/>
      <c r="G589" s="22" t="n"/>
      <c r="H589" s="31" t="n"/>
      <c r="I589" s="23" t="n"/>
      <c r="J589" s="56" t="n"/>
      <c r="K589" s="22" t="n"/>
      <c r="L589" s="22" t="n"/>
      <c r="M589" s="22" t="n"/>
      <c r="N589" s="22" t="n"/>
      <c r="O589" s="22" t="n"/>
      <c r="P589" s="23" t="n"/>
      <c r="Q589" s="65" t="n"/>
      <c r="R589" s="65" t="n"/>
      <c r="S589" s="55" t="n"/>
      <c r="T589" s="55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</row>
    <row r="590" ht="15.75" customHeight="1" s="211">
      <c r="A590" s="55" t="n"/>
      <c r="B590" s="12" t="n"/>
      <c r="C590" s="55">
        <f>'Sales Candence'!B590</f>
        <v/>
      </c>
      <c r="D590" s="71" t="n"/>
      <c r="E590" s="71" t="n"/>
      <c r="F590" s="22" t="n"/>
      <c r="G590" s="22" t="n"/>
      <c r="H590" s="31" t="n"/>
      <c r="I590" s="23" t="n"/>
      <c r="J590" s="56" t="n"/>
      <c r="K590" s="22" t="n"/>
      <c r="L590" s="22" t="n"/>
      <c r="M590" s="22" t="n"/>
      <c r="N590" s="22" t="n"/>
      <c r="O590" s="22" t="n"/>
      <c r="P590" s="23" t="n"/>
      <c r="Q590" s="65" t="n"/>
      <c r="R590" s="65" t="n"/>
      <c r="S590" s="55" t="n"/>
      <c r="T590" s="55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</row>
    <row r="591" ht="15.75" customHeight="1" s="211">
      <c r="A591" s="55" t="n"/>
      <c r="B591" s="12" t="n"/>
      <c r="C591" s="55">
        <f>'Sales Candence'!B591</f>
        <v/>
      </c>
      <c r="D591" s="71" t="n"/>
      <c r="E591" s="71" t="n"/>
      <c r="F591" s="22" t="n"/>
      <c r="G591" s="22" t="n"/>
      <c r="H591" s="31" t="n"/>
      <c r="I591" s="23" t="n"/>
      <c r="J591" s="56" t="n"/>
      <c r="K591" s="22" t="n"/>
      <c r="L591" s="22" t="n"/>
      <c r="M591" s="22" t="n"/>
      <c r="N591" s="22" t="n"/>
      <c r="O591" s="22" t="n"/>
      <c r="P591" s="23" t="n"/>
      <c r="Q591" s="65" t="n"/>
      <c r="R591" s="65" t="n"/>
      <c r="S591" s="55" t="n"/>
      <c r="T591" s="55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</row>
    <row r="592" ht="15.75" customHeight="1" s="211">
      <c r="A592" s="55" t="n"/>
      <c r="B592" s="12" t="n"/>
      <c r="C592" s="55">
        <f>'Sales Candence'!B592</f>
        <v/>
      </c>
      <c r="D592" s="71" t="n"/>
      <c r="E592" s="71" t="n"/>
      <c r="F592" s="22" t="n"/>
      <c r="G592" s="22" t="n"/>
      <c r="H592" s="31" t="n"/>
      <c r="I592" s="23" t="n"/>
      <c r="J592" s="56" t="n"/>
      <c r="K592" s="22" t="n"/>
      <c r="L592" s="22" t="n"/>
      <c r="M592" s="22" t="n"/>
      <c r="N592" s="22" t="n"/>
      <c r="O592" s="22" t="n"/>
      <c r="P592" s="23" t="n"/>
      <c r="Q592" s="65" t="n"/>
      <c r="R592" s="65" t="n"/>
      <c r="S592" s="55" t="n"/>
      <c r="T592" s="55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</row>
    <row r="593" ht="15.75" customHeight="1" s="211">
      <c r="A593" s="55" t="n"/>
      <c r="B593" s="12" t="n"/>
      <c r="C593" s="55">
        <f>'Sales Candence'!B593</f>
        <v/>
      </c>
      <c r="D593" s="71" t="n"/>
      <c r="E593" s="71" t="n"/>
      <c r="F593" s="22" t="n"/>
      <c r="G593" s="22" t="n"/>
      <c r="H593" s="31" t="n"/>
      <c r="I593" s="23" t="n"/>
      <c r="J593" s="56" t="n"/>
      <c r="K593" s="22" t="n"/>
      <c r="L593" s="22" t="n"/>
      <c r="M593" s="22" t="n"/>
      <c r="N593" s="22" t="n"/>
      <c r="O593" s="22" t="n"/>
      <c r="P593" s="23" t="n"/>
      <c r="Q593" s="65" t="n"/>
      <c r="R593" s="65" t="n"/>
      <c r="S593" s="55" t="n"/>
      <c r="T593" s="55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</row>
    <row r="594" ht="15.75" customHeight="1" s="211">
      <c r="A594" s="55" t="n"/>
      <c r="B594" s="12" t="n"/>
      <c r="C594" s="55">
        <f>'Sales Candence'!B594</f>
        <v/>
      </c>
      <c r="D594" s="71" t="n"/>
      <c r="E594" s="71" t="n"/>
      <c r="F594" s="22" t="n"/>
      <c r="G594" s="22" t="n"/>
      <c r="H594" s="31" t="n"/>
      <c r="I594" s="23" t="n"/>
      <c r="J594" s="56" t="n"/>
      <c r="K594" s="22" t="n"/>
      <c r="L594" s="22" t="n"/>
      <c r="M594" s="22" t="n"/>
      <c r="N594" s="22" t="n"/>
      <c r="O594" s="22" t="n"/>
      <c r="P594" s="23" t="n"/>
      <c r="Q594" s="65" t="n"/>
      <c r="R594" s="65" t="n"/>
      <c r="S594" s="55" t="n"/>
      <c r="T594" s="55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</row>
    <row r="595" ht="15.75" customHeight="1" s="211">
      <c r="A595" s="55" t="n"/>
      <c r="B595" s="12" t="n"/>
      <c r="C595" s="55">
        <f>'Sales Candence'!B595</f>
        <v/>
      </c>
      <c r="D595" s="71" t="n"/>
      <c r="E595" s="71" t="n"/>
      <c r="F595" s="22" t="n"/>
      <c r="G595" s="22" t="n"/>
      <c r="H595" s="31" t="n"/>
      <c r="I595" s="23" t="n"/>
      <c r="J595" s="56" t="n"/>
      <c r="K595" s="22" t="n"/>
      <c r="L595" s="22" t="n"/>
      <c r="M595" s="22" t="n"/>
      <c r="N595" s="22" t="n"/>
      <c r="O595" s="22" t="n"/>
      <c r="P595" s="23" t="n"/>
      <c r="Q595" s="65" t="n"/>
      <c r="R595" s="65" t="n"/>
      <c r="S595" s="55" t="n"/>
      <c r="T595" s="55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</row>
    <row r="596" ht="15.75" customHeight="1" s="211">
      <c r="A596" s="55" t="n"/>
      <c r="B596" s="12" t="n"/>
      <c r="C596" s="55">
        <f>'Sales Candence'!B596</f>
        <v/>
      </c>
      <c r="D596" s="71" t="n"/>
      <c r="E596" s="71" t="n"/>
      <c r="F596" s="22" t="n"/>
      <c r="G596" s="22" t="n"/>
      <c r="H596" s="31" t="n"/>
      <c r="I596" s="23" t="n"/>
      <c r="J596" s="56" t="n"/>
      <c r="K596" s="22" t="n"/>
      <c r="L596" s="22" t="n"/>
      <c r="M596" s="22" t="n"/>
      <c r="N596" s="22" t="n"/>
      <c r="O596" s="22" t="n"/>
      <c r="P596" s="23" t="n"/>
      <c r="Q596" s="65" t="n"/>
      <c r="R596" s="65" t="n"/>
      <c r="S596" s="55" t="n"/>
      <c r="T596" s="55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</row>
    <row r="597" ht="15.75" customHeight="1" s="211">
      <c r="A597" s="55" t="n"/>
      <c r="B597" s="12" t="n"/>
      <c r="C597" s="55">
        <f>'Sales Candence'!B597</f>
        <v/>
      </c>
      <c r="D597" s="71" t="n"/>
      <c r="E597" s="71" t="n"/>
      <c r="F597" s="22" t="n"/>
      <c r="G597" s="22" t="n"/>
      <c r="H597" s="31" t="n"/>
      <c r="I597" s="23" t="n"/>
      <c r="J597" s="56" t="n"/>
      <c r="K597" s="22" t="n"/>
      <c r="L597" s="22" t="n"/>
      <c r="M597" s="22" t="n"/>
      <c r="N597" s="22" t="n"/>
      <c r="O597" s="22" t="n"/>
      <c r="P597" s="23" t="n"/>
      <c r="Q597" s="65" t="n"/>
      <c r="R597" s="65" t="n"/>
      <c r="S597" s="55" t="n"/>
      <c r="T597" s="55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</row>
    <row r="598" ht="15.75" customHeight="1" s="211">
      <c r="A598" s="55" t="n"/>
      <c r="B598" s="12" t="n"/>
      <c r="C598" s="55">
        <f>'Sales Candence'!B598</f>
        <v/>
      </c>
      <c r="D598" s="71" t="n"/>
      <c r="E598" s="71" t="n"/>
      <c r="F598" s="22" t="n"/>
      <c r="G598" s="22" t="n"/>
      <c r="H598" s="31" t="n"/>
      <c r="I598" s="23" t="n"/>
      <c r="J598" s="56" t="n"/>
      <c r="K598" s="22" t="n"/>
      <c r="L598" s="22" t="n"/>
      <c r="M598" s="22" t="n"/>
      <c r="N598" s="22" t="n"/>
      <c r="O598" s="22" t="n"/>
      <c r="P598" s="23" t="n"/>
      <c r="Q598" s="65" t="n"/>
      <c r="R598" s="65" t="n"/>
      <c r="S598" s="55" t="n"/>
      <c r="T598" s="55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</row>
    <row r="599" ht="15.75" customHeight="1" s="211">
      <c r="A599" s="55" t="n"/>
      <c r="B599" s="12" t="n"/>
      <c r="C599" s="55">
        <f>'Sales Candence'!B599</f>
        <v/>
      </c>
      <c r="D599" s="71" t="n"/>
      <c r="E599" s="71" t="n"/>
      <c r="F599" s="22" t="n"/>
      <c r="G599" s="22" t="n"/>
      <c r="H599" s="31" t="n"/>
      <c r="I599" s="23" t="n"/>
      <c r="J599" s="56" t="n"/>
      <c r="K599" s="22" t="n"/>
      <c r="L599" s="22" t="n"/>
      <c r="M599" s="22" t="n"/>
      <c r="N599" s="22" t="n"/>
      <c r="O599" s="22" t="n"/>
      <c r="P599" s="23" t="n"/>
      <c r="Q599" s="65" t="n"/>
      <c r="R599" s="65" t="n"/>
      <c r="S599" s="55" t="n"/>
      <c r="T599" s="55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</row>
    <row r="600" ht="15.75" customHeight="1" s="211">
      <c r="A600" s="55" t="n"/>
      <c r="B600" s="12" t="n"/>
      <c r="C600" s="55">
        <f>'Sales Candence'!B600</f>
        <v/>
      </c>
      <c r="D600" s="71" t="n"/>
      <c r="E600" s="71" t="n"/>
      <c r="F600" s="22" t="n"/>
      <c r="G600" s="22" t="n"/>
      <c r="H600" s="31" t="n"/>
      <c r="I600" s="23" t="n"/>
      <c r="J600" s="56" t="n"/>
      <c r="K600" s="22" t="n"/>
      <c r="L600" s="22" t="n"/>
      <c r="M600" s="22" t="n"/>
      <c r="N600" s="22" t="n"/>
      <c r="O600" s="22" t="n"/>
      <c r="P600" s="23" t="n"/>
      <c r="Q600" s="65" t="n"/>
      <c r="R600" s="65" t="n"/>
      <c r="S600" s="55" t="n"/>
      <c r="T600" s="55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</row>
    <row r="601" ht="15.75" customHeight="1" s="211">
      <c r="A601" s="55" t="n"/>
      <c r="B601" s="12" t="n"/>
      <c r="C601" s="55">
        <f>'Sales Candence'!B601</f>
        <v/>
      </c>
      <c r="D601" s="71" t="n"/>
      <c r="E601" s="71" t="n"/>
      <c r="F601" s="22" t="n"/>
      <c r="G601" s="22" t="n"/>
      <c r="H601" s="31" t="n"/>
      <c r="I601" s="23" t="n"/>
      <c r="J601" s="56" t="n"/>
      <c r="K601" s="22" t="n"/>
      <c r="L601" s="22" t="n"/>
      <c r="M601" s="22" t="n"/>
      <c r="N601" s="22" t="n"/>
      <c r="O601" s="22" t="n"/>
      <c r="P601" s="23" t="n"/>
      <c r="Q601" s="65" t="n"/>
      <c r="R601" s="65" t="n"/>
      <c r="S601" s="55" t="n"/>
      <c r="T601" s="55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</row>
    <row r="602" ht="15.75" customHeight="1" s="211">
      <c r="A602" s="55" t="n"/>
      <c r="B602" s="12" t="n"/>
      <c r="C602" s="55">
        <f>'Sales Candence'!B602</f>
        <v/>
      </c>
      <c r="D602" s="71" t="n"/>
      <c r="E602" s="71" t="n"/>
      <c r="F602" s="22" t="n"/>
      <c r="G602" s="22" t="n"/>
      <c r="H602" s="31" t="n"/>
      <c r="I602" s="23" t="n"/>
      <c r="J602" s="56" t="n"/>
      <c r="K602" s="22" t="n"/>
      <c r="L602" s="22" t="n"/>
      <c r="M602" s="22" t="n"/>
      <c r="N602" s="22" t="n"/>
      <c r="O602" s="22" t="n"/>
      <c r="P602" s="23" t="n"/>
      <c r="Q602" s="65" t="n"/>
      <c r="R602" s="65" t="n"/>
      <c r="S602" s="55" t="n"/>
      <c r="T602" s="55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</row>
    <row r="603" ht="15.75" customHeight="1" s="211">
      <c r="A603" s="55" t="n"/>
      <c r="B603" s="12" t="n"/>
      <c r="C603" s="55">
        <f>'Sales Candence'!B603</f>
        <v/>
      </c>
      <c r="D603" s="71" t="n"/>
      <c r="E603" s="71" t="n"/>
      <c r="F603" s="22" t="n"/>
      <c r="G603" s="22" t="n"/>
      <c r="H603" s="31" t="n"/>
      <c r="I603" s="23" t="n"/>
      <c r="J603" s="56" t="n"/>
      <c r="K603" s="22" t="n"/>
      <c r="L603" s="22" t="n"/>
      <c r="M603" s="22" t="n"/>
      <c r="N603" s="22" t="n"/>
      <c r="O603" s="22" t="n"/>
      <c r="P603" s="23" t="n"/>
      <c r="Q603" s="65" t="n"/>
      <c r="R603" s="65" t="n"/>
      <c r="S603" s="55" t="n"/>
      <c r="T603" s="55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</row>
    <row r="604" ht="15.75" customHeight="1" s="211">
      <c r="A604" s="55" t="n"/>
      <c r="B604" s="12" t="n"/>
      <c r="C604" s="55">
        <f>'Sales Candence'!B604</f>
        <v/>
      </c>
      <c r="D604" s="71" t="n"/>
      <c r="E604" s="71" t="n"/>
      <c r="F604" s="22" t="n"/>
      <c r="G604" s="22" t="n"/>
      <c r="H604" s="31" t="n"/>
      <c r="I604" s="23" t="n"/>
      <c r="J604" s="56" t="n"/>
      <c r="K604" s="22" t="n"/>
      <c r="L604" s="22" t="n"/>
      <c r="M604" s="22" t="n"/>
      <c r="N604" s="22" t="n"/>
      <c r="O604" s="22" t="n"/>
      <c r="P604" s="23" t="n"/>
      <c r="Q604" s="65" t="n"/>
      <c r="R604" s="65" t="n"/>
      <c r="S604" s="55" t="n"/>
      <c r="T604" s="55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</row>
    <row r="605" ht="15.75" customHeight="1" s="211">
      <c r="A605" s="55" t="n"/>
      <c r="B605" s="12" t="n"/>
      <c r="C605" s="55">
        <f>'Sales Candence'!B605</f>
        <v/>
      </c>
      <c r="D605" s="71" t="n"/>
      <c r="E605" s="71" t="n"/>
      <c r="F605" s="22" t="n"/>
      <c r="G605" s="22" t="n"/>
      <c r="H605" s="31" t="n"/>
      <c r="I605" s="23" t="n"/>
      <c r="J605" s="56" t="n"/>
      <c r="K605" s="22" t="n"/>
      <c r="L605" s="22" t="n"/>
      <c r="M605" s="22" t="n"/>
      <c r="N605" s="22" t="n"/>
      <c r="O605" s="22" t="n"/>
      <c r="P605" s="23" t="n"/>
      <c r="Q605" s="65" t="n"/>
      <c r="R605" s="65" t="n"/>
      <c r="S605" s="55" t="n"/>
      <c r="T605" s="55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</row>
    <row r="606" ht="15.75" customHeight="1" s="211">
      <c r="A606" s="55" t="n"/>
      <c r="B606" s="12" t="n"/>
      <c r="C606" s="55">
        <f>'Sales Candence'!B606</f>
        <v/>
      </c>
      <c r="D606" s="71" t="n"/>
      <c r="E606" s="71" t="n"/>
      <c r="F606" s="22" t="n"/>
      <c r="G606" s="22" t="n"/>
      <c r="H606" s="31" t="n"/>
      <c r="I606" s="23" t="n"/>
      <c r="J606" s="56" t="n"/>
      <c r="K606" s="22" t="n"/>
      <c r="L606" s="22" t="n"/>
      <c r="M606" s="22" t="n"/>
      <c r="N606" s="22" t="n"/>
      <c r="O606" s="22" t="n"/>
      <c r="P606" s="23" t="n"/>
      <c r="Q606" s="65" t="n"/>
      <c r="R606" s="65" t="n"/>
      <c r="S606" s="55" t="n"/>
      <c r="T606" s="55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</row>
    <row r="607" ht="15.75" customHeight="1" s="211">
      <c r="A607" s="55" t="n"/>
      <c r="B607" s="12" t="n"/>
      <c r="C607" s="55">
        <f>'Sales Candence'!B607</f>
        <v/>
      </c>
      <c r="D607" s="71" t="n"/>
      <c r="E607" s="71" t="n"/>
      <c r="F607" s="22" t="n"/>
      <c r="G607" s="22" t="n"/>
      <c r="H607" s="31" t="n"/>
      <c r="I607" s="23" t="n"/>
      <c r="J607" s="56" t="n"/>
      <c r="K607" s="22" t="n"/>
      <c r="L607" s="22" t="n"/>
      <c r="M607" s="22" t="n"/>
      <c r="N607" s="22" t="n"/>
      <c r="O607" s="22" t="n"/>
      <c r="P607" s="23" t="n"/>
      <c r="Q607" s="65" t="n"/>
      <c r="R607" s="65" t="n"/>
      <c r="S607" s="55" t="n"/>
      <c r="T607" s="55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</row>
    <row r="608" ht="15.75" customHeight="1" s="211">
      <c r="A608" s="55" t="n"/>
      <c r="B608" s="12" t="n"/>
      <c r="C608" s="55">
        <f>'Sales Candence'!B608</f>
        <v/>
      </c>
      <c r="D608" s="71" t="n"/>
      <c r="E608" s="71" t="n"/>
      <c r="F608" s="22" t="n"/>
      <c r="G608" s="22" t="n"/>
      <c r="H608" s="31" t="n"/>
      <c r="I608" s="23" t="n"/>
      <c r="J608" s="56" t="n"/>
      <c r="K608" s="22" t="n"/>
      <c r="L608" s="22" t="n"/>
      <c r="M608" s="22" t="n"/>
      <c r="N608" s="22" t="n"/>
      <c r="O608" s="22" t="n"/>
      <c r="P608" s="23" t="n"/>
      <c r="Q608" s="65" t="n"/>
      <c r="R608" s="65" t="n"/>
      <c r="S608" s="55" t="n"/>
      <c r="T608" s="55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</row>
    <row r="609" ht="15.75" customHeight="1" s="211">
      <c r="A609" s="55" t="n"/>
      <c r="B609" s="12" t="n"/>
      <c r="C609" s="55">
        <f>'Sales Candence'!B609</f>
        <v/>
      </c>
      <c r="D609" s="71" t="n"/>
      <c r="E609" s="71" t="n"/>
      <c r="F609" s="22" t="n"/>
      <c r="G609" s="22" t="n"/>
      <c r="H609" s="31" t="n"/>
      <c r="I609" s="23" t="n"/>
      <c r="J609" s="56" t="n"/>
      <c r="K609" s="22" t="n"/>
      <c r="L609" s="22" t="n"/>
      <c r="M609" s="22" t="n"/>
      <c r="N609" s="22" t="n"/>
      <c r="O609" s="22" t="n"/>
      <c r="P609" s="23" t="n"/>
      <c r="Q609" s="65" t="n"/>
      <c r="R609" s="65" t="n"/>
      <c r="S609" s="55" t="n"/>
      <c r="T609" s="55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</row>
    <row r="610" ht="15.75" customHeight="1" s="211">
      <c r="A610" s="55" t="n"/>
      <c r="B610" s="12" t="n"/>
      <c r="C610" s="55">
        <f>'Sales Candence'!B610</f>
        <v/>
      </c>
      <c r="D610" s="71" t="n"/>
      <c r="E610" s="71" t="n"/>
      <c r="F610" s="22" t="n"/>
      <c r="G610" s="22" t="n"/>
      <c r="H610" s="31" t="n"/>
      <c r="I610" s="23" t="n"/>
      <c r="J610" s="56" t="n"/>
      <c r="K610" s="22" t="n"/>
      <c r="L610" s="22" t="n"/>
      <c r="M610" s="22" t="n"/>
      <c r="N610" s="22" t="n"/>
      <c r="O610" s="22" t="n"/>
      <c r="P610" s="23" t="n"/>
      <c r="Q610" s="65" t="n"/>
      <c r="R610" s="65" t="n"/>
      <c r="S610" s="55" t="n"/>
      <c r="T610" s="55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</row>
    <row r="611" ht="15.75" customHeight="1" s="211">
      <c r="A611" s="55" t="n"/>
      <c r="B611" s="12" t="n"/>
      <c r="C611" s="55">
        <f>'Sales Candence'!B611</f>
        <v/>
      </c>
      <c r="D611" s="71" t="n"/>
      <c r="E611" s="71" t="n"/>
      <c r="F611" s="22" t="n"/>
      <c r="G611" s="22" t="n"/>
      <c r="H611" s="31" t="n"/>
      <c r="I611" s="23" t="n"/>
      <c r="J611" s="56" t="n"/>
      <c r="K611" s="22" t="n"/>
      <c r="L611" s="22" t="n"/>
      <c r="M611" s="22" t="n"/>
      <c r="N611" s="22" t="n"/>
      <c r="O611" s="22" t="n"/>
      <c r="P611" s="23" t="n"/>
      <c r="Q611" s="65" t="n"/>
      <c r="R611" s="65" t="n"/>
      <c r="S611" s="55" t="n"/>
      <c r="T611" s="55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</row>
    <row r="612" ht="15.75" customHeight="1" s="211">
      <c r="A612" s="55" t="n"/>
      <c r="B612" s="12" t="n"/>
      <c r="C612" s="55">
        <f>'Sales Candence'!B612</f>
        <v/>
      </c>
      <c r="D612" s="71" t="n"/>
      <c r="E612" s="71" t="n"/>
      <c r="F612" s="22" t="n"/>
      <c r="G612" s="22" t="n"/>
      <c r="H612" s="31" t="n"/>
      <c r="I612" s="23" t="n"/>
      <c r="J612" s="56" t="n"/>
      <c r="K612" s="22" t="n"/>
      <c r="L612" s="22" t="n"/>
      <c r="M612" s="22" t="n"/>
      <c r="N612" s="22" t="n"/>
      <c r="O612" s="22" t="n"/>
      <c r="P612" s="23" t="n"/>
      <c r="Q612" s="65" t="n"/>
      <c r="R612" s="65" t="n"/>
      <c r="S612" s="55" t="n"/>
      <c r="T612" s="55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</row>
    <row r="613" ht="15.75" customHeight="1" s="211">
      <c r="A613" s="55" t="n"/>
      <c r="B613" s="12" t="n"/>
      <c r="C613" s="55">
        <f>'Sales Candence'!B613</f>
        <v/>
      </c>
      <c r="D613" s="71" t="n"/>
      <c r="E613" s="71" t="n"/>
      <c r="F613" s="22" t="n"/>
      <c r="G613" s="22" t="n"/>
      <c r="H613" s="31" t="n"/>
      <c r="I613" s="23" t="n"/>
      <c r="J613" s="56" t="n"/>
      <c r="K613" s="22" t="n"/>
      <c r="L613" s="22" t="n"/>
      <c r="M613" s="22" t="n"/>
      <c r="N613" s="22" t="n"/>
      <c r="O613" s="22" t="n"/>
      <c r="P613" s="23" t="n"/>
      <c r="Q613" s="65" t="n"/>
      <c r="R613" s="65" t="n"/>
      <c r="S613" s="55" t="n"/>
      <c r="T613" s="55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</row>
    <row r="614" ht="15.75" customHeight="1" s="211">
      <c r="A614" s="55" t="n"/>
      <c r="B614" s="12" t="n"/>
      <c r="C614" s="55">
        <f>'Sales Candence'!B614</f>
        <v/>
      </c>
      <c r="D614" s="71" t="n"/>
      <c r="E614" s="71" t="n"/>
      <c r="F614" s="22" t="n"/>
      <c r="G614" s="22" t="n"/>
      <c r="H614" s="31" t="n"/>
      <c r="I614" s="23" t="n"/>
      <c r="J614" s="56" t="n"/>
      <c r="K614" s="22" t="n"/>
      <c r="L614" s="22" t="n"/>
      <c r="M614" s="22" t="n"/>
      <c r="N614" s="22" t="n"/>
      <c r="O614" s="22" t="n"/>
      <c r="P614" s="23" t="n"/>
      <c r="Q614" s="65" t="n"/>
      <c r="R614" s="65" t="n"/>
      <c r="S614" s="55" t="n"/>
      <c r="T614" s="55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</row>
    <row r="615" ht="15.75" customHeight="1" s="211">
      <c r="A615" s="55" t="n"/>
      <c r="B615" s="12" t="n"/>
      <c r="C615" s="55">
        <f>'Sales Candence'!B615</f>
        <v/>
      </c>
      <c r="D615" s="71" t="n"/>
      <c r="E615" s="71" t="n"/>
      <c r="F615" s="22" t="n"/>
      <c r="G615" s="22" t="n"/>
      <c r="H615" s="31" t="n"/>
      <c r="I615" s="23" t="n"/>
      <c r="J615" s="56" t="n"/>
      <c r="K615" s="22" t="n"/>
      <c r="L615" s="22" t="n"/>
      <c r="M615" s="22" t="n"/>
      <c r="N615" s="22" t="n"/>
      <c r="O615" s="22" t="n"/>
      <c r="P615" s="23" t="n"/>
      <c r="Q615" s="65" t="n"/>
      <c r="R615" s="65" t="n"/>
      <c r="S615" s="55" t="n"/>
      <c r="T615" s="55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</row>
    <row r="616" ht="15.75" customHeight="1" s="211">
      <c r="A616" s="55" t="n"/>
      <c r="B616" s="12" t="n"/>
      <c r="C616" s="55">
        <f>'Sales Candence'!B616</f>
        <v/>
      </c>
      <c r="D616" s="71" t="n"/>
      <c r="E616" s="71" t="n"/>
      <c r="F616" s="22" t="n"/>
      <c r="G616" s="22" t="n"/>
      <c r="H616" s="31" t="n"/>
      <c r="I616" s="23" t="n"/>
      <c r="J616" s="56" t="n"/>
      <c r="K616" s="22" t="n"/>
      <c r="L616" s="22" t="n"/>
      <c r="M616" s="22" t="n"/>
      <c r="N616" s="22" t="n"/>
      <c r="O616" s="22" t="n"/>
      <c r="P616" s="23" t="n"/>
      <c r="Q616" s="65" t="n"/>
      <c r="R616" s="65" t="n"/>
      <c r="S616" s="55" t="n"/>
      <c r="T616" s="55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</row>
    <row r="617" ht="15.75" customHeight="1" s="211">
      <c r="A617" s="55" t="n"/>
      <c r="B617" s="12" t="n"/>
      <c r="C617" s="55">
        <f>'Sales Candence'!B617</f>
        <v/>
      </c>
      <c r="D617" s="71" t="n"/>
      <c r="E617" s="71" t="n"/>
      <c r="F617" s="22" t="n"/>
      <c r="G617" s="22" t="n"/>
      <c r="H617" s="31" t="n"/>
      <c r="I617" s="23" t="n"/>
      <c r="J617" s="56" t="n"/>
      <c r="K617" s="22" t="n"/>
      <c r="L617" s="22" t="n"/>
      <c r="M617" s="22" t="n"/>
      <c r="N617" s="22" t="n"/>
      <c r="O617" s="22" t="n"/>
      <c r="P617" s="23" t="n"/>
      <c r="Q617" s="65" t="n"/>
      <c r="R617" s="65" t="n"/>
      <c r="S617" s="55" t="n"/>
      <c r="T617" s="55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</row>
    <row r="618" ht="15.75" customHeight="1" s="211">
      <c r="A618" s="55" t="n"/>
      <c r="B618" s="12" t="n"/>
      <c r="C618" s="55">
        <f>'Sales Candence'!B618</f>
        <v/>
      </c>
      <c r="D618" s="71" t="n"/>
      <c r="E618" s="71" t="n"/>
      <c r="F618" s="22" t="n"/>
      <c r="G618" s="22" t="n"/>
      <c r="H618" s="31" t="n"/>
      <c r="I618" s="23" t="n"/>
      <c r="J618" s="56" t="n"/>
      <c r="K618" s="22" t="n"/>
      <c r="L618" s="22" t="n"/>
      <c r="M618" s="22" t="n"/>
      <c r="N618" s="22" t="n"/>
      <c r="O618" s="22" t="n"/>
      <c r="P618" s="23" t="n"/>
      <c r="Q618" s="65" t="n"/>
      <c r="R618" s="65" t="n"/>
      <c r="S618" s="55" t="n"/>
      <c r="T618" s="55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</row>
    <row r="619" ht="15.75" customHeight="1" s="211">
      <c r="A619" s="55" t="n"/>
      <c r="B619" s="12" t="n"/>
      <c r="C619" s="55">
        <f>'Sales Candence'!B619</f>
        <v/>
      </c>
      <c r="D619" s="71" t="n"/>
      <c r="E619" s="71" t="n"/>
      <c r="F619" s="22" t="n"/>
      <c r="G619" s="22" t="n"/>
      <c r="H619" s="31" t="n"/>
      <c r="I619" s="23" t="n"/>
      <c r="J619" s="56" t="n"/>
      <c r="K619" s="22" t="n"/>
      <c r="L619" s="22" t="n"/>
      <c r="M619" s="22" t="n"/>
      <c r="N619" s="22" t="n"/>
      <c r="O619" s="22" t="n"/>
      <c r="P619" s="23" t="n"/>
      <c r="Q619" s="65" t="n"/>
      <c r="R619" s="65" t="n"/>
      <c r="S619" s="55" t="n"/>
      <c r="T619" s="55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</row>
    <row r="620" ht="15.75" customHeight="1" s="211">
      <c r="A620" s="55" t="n"/>
      <c r="B620" s="12" t="n"/>
      <c r="C620" s="55">
        <f>'Sales Candence'!B620</f>
        <v/>
      </c>
      <c r="D620" s="71" t="n"/>
      <c r="E620" s="71" t="n"/>
      <c r="F620" s="22" t="n"/>
      <c r="G620" s="22" t="n"/>
      <c r="H620" s="31" t="n"/>
      <c r="I620" s="23" t="n"/>
      <c r="J620" s="56" t="n"/>
      <c r="K620" s="22" t="n"/>
      <c r="L620" s="22" t="n"/>
      <c r="M620" s="22" t="n"/>
      <c r="N620" s="22" t="n"/>
      <c r="O620" s="22" t="n"/>
      <c r="P620" s="23" t="n"/>
      <c r="Q620" s="65" t="n"/>
      <c r="R620" s="65" t="n"/>
      <c r="S620" s="55" t="n"/>
      <c r="T620" s="55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</row>
    <row r="621" ht="15.75" customHeight="1" s="211">
      <c r="A621" s="55" t="n"/>
      <c r="B621" s="12" t="n"/>
      <c r="C621" s="55">
        <f>'Sales Candence'!B621</f>
        <v/>
      </c>
      <c r="D621" s="71" t="n"/>
      <c r="E621" s="71" t="n"/>
      <c r="F621" s="22" t="n"/>
      <c r="G621" s="22" t="n"/>
      <c r="H621" s="31" t="n"/>
      <c r="I621" s="23" t="n"/>
      <c r="J621" s="56" t="n"/>
      <c r="K621" s="22" t="n"/>
      <c r="L621" s="22" t="n"/>
      <c r="M621" s="22" t="n"/>
      <c r="N621" s="22" t="n"/>
      <c r="O621" s="22" t="n"/>
      <c r="P621" s="23" t="n"/>
      <c r="Q621" s="65" t="n"/>
      <c r="R621" s="65" t="n"/>
      <c r="S621" s="55" t="n"/>
      <c r="T621" s="55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</row>
    <row r="622" ht="15.75" customHeight="1" s="211">
      <c r="A622" s="55" t="n"/>
      <c r="B622" s="12" t="n"/>
      <c r="C622" s="55">
        <f>'Sales Candence'!B622</f>
        <v/>
      </c>
      <c r="D622" s="71" t="n"/>
      <c r="E622" s="71" t="n"/>
      <c r="F622" s="22" t="n"/>
      <c r="G622" s="22" t="n"/>
      <c r="H622" s="31" t="n"/>
      <c r="I622" s="23" t="n"/>
      <c r="J622" s="56" t="n"/>
      <c r="K622" s="22" t="n"/>
      <c r="L622" s="22" t="n"/>
      <c r="M622" s="22" t="n"/>
      <c r="N622" s="22" t="n"/>
      <c r="O622" s="22" t="n"/>
      <c r="P622" s="23" t="n"/>
      <c r="Q622" s="65" t="n"/>
      <c r="R622" s="65" t="n"/>
      <c r="S622" s="55" t="n"/>
      <c r="T622" s="55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</row>
    <row r="623" ht="15.75" customHeight="1" s="211">
      <c r="A623" s="55" t="n"/>
      <c r="B623" s="12" t="n"/>
      <c r="C623" s="55">
        <f>'Sales Candence'!B623</f>
        <v/>
      </c>
      <c r="D623" s="71" t="n"/>
      <c r="E623" s="71" t="n"/>
      <c r="F623" s="22" t="n"/>
      <c r="G623" s="22" t="n"/>
      <c r="H623" s="31" t="n"/>
      <c r="I623" s="23" t="n"/>
      <c r="J623" s="56" t="n"/>
      <c r="K623" s="22" t="n"/>
      <c r="L623" s="22" t="n"/>
      <c r="M623" s="22" t="n"/>
      <c r="N623" s="22" t="n"/>
      <c r="O623" s="22" t="n"/>
      <c r="P623" s="23" t="n"/>
      <c r="Q623" s="65" t="n"/>
      <c r="R623" s="65" t="n"/>
      <c r="S623" s="55" t="n"/>
      <c r="T623" s="55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</row>
    <row r="624" ht="15.75" customHeight="1" s="211">
      <c r="A624" s="55" t="n"/>
      <c r="B624" s="12" t="n"/>
      <c r="C624" s="55">
        <f>'Sales Candence'!B624</f>
        <v/>
      </c>
      <c r="D624" s="71" t="n"/>
      <c r="E624" s="71" t="n"/>
      <c r="F624" s="22" t="n"/>
      <c r="G624" s="22" t="n"/>
      <c r="H624" s="31" t="n"/>
      <c r="I624" s="23" t="n"/>
      <c r="J624" s="56" t="n"/>
      <c r="K624" s="22" t="n"/>
      <c r="L624" s="22" t="n"/>
      <c r="M624" s="22" t="n"/>
      <c r="N624" s="22" t="n"/>
      <c r="O624" s="22" t="n"/>
      <c r="P624" s="23" t="n"/>
      <c r="Q624" s="65" t="n"/>
      <c r="R624" s="65" t="n"/>
      <c r="S624" s="55" t="n"/>
      <c r="T624" s="55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</row>
    <row r="625" ht="15.75" customHeight="1" s="211">
      <c r="A625" s="55" t="n"/>
      <c r="B625" s="12" t="n"/>
      <c r="C625" s="55">
        <f>'Sales Candence'!B625</f>
        <v/>
      </c>
      <c r="D625" s="71" t="n"/>
      <c r="E625" s="71" t="n"/>
      <c r="F625" s="22" t="n"/>
      <c r="G625" s="22" t="n"/>
      <c r="H625" s="31" t="n"/>
      <c r="I625" s="23" t="n"/>
      <c r="J625" s="56" t="n"/>
      <c r="K625" s="22" t="n"/>
      <c r="L625" s="22" t="n"/>
      <c r="M625" s="22" t="n"/>
      <c r="N625" s="22" t="n"/>
      <c r="O625" s="22" t="n"/>
      <c r="P625" s="23" t="n"/>
      <c r="Q625" s="65" t="n"/>
      <c r="R625" s="65" t="n"/>
      <c r="S625" s="55" t="n"/>
      <c r="T625" s="55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</row>
    <row r="626" ht="15.75" customHeight="1" s="211">
      <c r="A626" s="55" t="n"/>
      <c r="B626" s="12" t="n"/>
      <c r="C626" s="55">
        <f>'Sales Candence'!B626</f>
        <v/>
      </c>
      <c r="D626" s="71" t="n"/>
      <c r="E626" s="71" t="n"/>
      <c r="F626" s="22" t="n"/>
      <c r="G626" s="22" t="n"/>
      <c r="H626" s="31" t="n"/>
      <c r="I626" s="23" t="n"/>
      <c r="J626" s="56" t="n"/>
      <c r="K626" s="22" t="n"/>
      <c r="L626" s="22" t="n"/>
      <c r="M626" s="22" t="n"/>
      <c r="N626" s="22" t="n"/>
      <c r="O626" s="22" t="n"/>
      <c r="P626" s="23" t="n"/>
      <c r="Q626" s="65" t="n"/>
      <c r="R626" s="65" t="n"/>
      <c r="S626" s="55" t="n"/>
      <c r="T626" s="55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</row>
    <row r="627" ht="15.75" customHeight="1" s="211">
      <c r="A627" s="55" t="n"/>
      <c r="B627" s="12" t="n"/>
      <c r="C627" s="55">
        <f>'Sales Candence'!B627</f>
        <v/>
      </c>
      <c r="D627" s="71" t="n"/>
      <c r="E627" s="71" t="n"/>
      <c r="F627" s="22" t="n"/>
      <c r="G627" s="22" t="n"/>
      <c r="H627" s="31" t="n"/>
      <c r="I627" s="23" t="n"/>
      <c r="J627" s="56" t="n"/>
      <c r="K627" s="22" t="n"/>
      <c r="L627" s="22" t="n"/>
      <c r="M627" s="22" t="n"/>
      <c r="N627" s="22" t="n"/>
      <c r="O627" s="22" t="n"/>
      <c r="P627" s="23" t="n"/>
      <c r="Q627" s="65" t="n"/>
      <c r="R627" s="65" t="n"/>
      <c r="S627" s="55" t="n"/>
      <c r="T627" s="55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</row>
    <row r="628" ht="15.75" customHeight="1" s="211">
      <c r="A628" s="55" t="n"/>
      <c r="B628" s="12" t="n"/>
      <c r="C628" s="55">
        <f>'Sales Candence'!B628</f>
        <v/>
      </c>
      <c r="D628" s="71" t="n"/>
      <c r="E628" s="71" t="n"/>
      <c r="F628" s="22" t="n"/>
      <c r="G628" s="22" t="n"/>
      <c r="H628" s="31" t="n"/>
      <c r="I628" s="23" t="n"/>
      <c r="J628" s="56" t="n"/>
      <c r="K628" s="22" t="n"/>
      <c r="L628" s="22" t="n"/>
      <c r="M628" s="22" t="n"/>
      <c r="N628" s="22" t="n"/>
      <c r="O628" s="22" t="n"/>
      <c r="P628" s="23" t="n"/>
      <c r="Q628" s="65" t="n"/>
      <c r="R628" s="65" t="n"/>
      <c r="S628" s="55" t="n"/>
      <c r="T628" s="55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</row>
    <row r="629" ht="15.75" customHeight="1" s="211">
      <c r="A629" s="55" t="n"/>
      <c r="B629" s="12" t="n"/>
      <c r="C629" s="55">
        <f>'Sales Candence'!B629</f>
        <v/>
      </c>
      <c r="D629" s="71" t="n"/>
      <c r="E629" s="71" t="n"/>
      <c r="F629" s="22" t="n"/>
      <c r="G629" s="22" t="n"/>
      <c r="H629" s="31" t="n"/>
      <c r="I629" s="23" t="n"/>
      <c r="J629" s="56" t="n"/>
      <c r="K629" s="22" t="n"/>
      <c r="L629" s="22" t="n"/>
      <c r="M629" s="22" t="n"/>
      <c r="N629" s="22" t="n"/>
      <c r="O629" s="22" t="n"/>
      <c r="P629" s="23" t="n"/>
      <c r="Q629" s="65" t="n"/>
      <c r="R629" s="65" t="n"/>
      <c r="S629" s="55" t="n"/>
      <c r="T629" s="55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</row>
    <row r="630" ht="15.75" customHeight="1" s="211">
      <c r="A630" s="55" t="n"/>
      <c r="B630" s="12" t="n"/>
      <c r="C630" s="55">
        <f>'Sales Candence'!B630</f>
        <v/>
      </c>
      <c r="D630" s="71" t="n"/>
      <c r="E630" s="71" t="n"/>
      <c r="F630" s="22" t="n"/>
      <c r="G630" s="22" t="n"/>
      <c r="H630" s="31" t="n"/>
      <c r="I630" s="23" t="n"/>
      <c r="J630" s="56" t="n"/>
      <c r="K630" s="22" t="n"/>
      <c r="L630" s="22" t="n"/>
      <c r="M630" s="22" t="n"/>
      <c r="N630" s="22" t="n"/>
      <c r="O630" s="22" t="n"/>
      <c r="P630" s="23" t="n"/>
      <c r="Q630" s="65" t="n"/>
      <c r="R630" s="65" t="n"/>
      <c r="S630" s="55" t="n"/>
      <c r="T630" s="55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</row>
    <row r="631" ht="15.75" customHeight="1" s="211">
      <c r="A631" s="55" t="n"/>
      <c r="B631" s="12" t="n"/>
      <c r="C631" s="55">
        <f>'Sales Candence'!B631</f>
        <v/>
      </c>
      <c r="D631" s="71" t="n"/>
      <c r="E631" s="71" t="n"/>
      <c r="F631" s="22" t="n"/>
      <c r="G631" s="22" t="n"/>
      <c r="H631" s="31" t="n"/>
      <c r="I631" s="23" t="n"/>
      <c r="J631" s="56" t="n"/>
      <c r="K631" s="22" t="n"/>
      <c r="L631" s="22" t="n"/>
      <c r="M631" s="22" t="n"/>
      <c r="N631" s="22" t="n"/>
      <c r="O631" s="22" t="n"/>
      <c r="P631" s="23" t="n"/>
      <c r="Q631" s="65" t="n"/>
      <c r="R631" s="65" t="n"/>
      <c r="S631" s="55" t="n"/>
      <c r="T631" s="55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</row>
    <row r="632" ht="15.75" customHeight="1" s="211">
      <c r="A632" s="55" t="n"/>
      <c r="B632" s="12" t="n"/>
      <c r="C632" s="55">
        <f>'Sales Candence'!B632</f>
        <v/>
      </c>
      <c r="D632" s="71" t="n"/>
      <c r="E632" s="71" t="n"/>
      <c r="F632" s="22" t="n"/>
      <c r="G632" s="22" t="n"/>
      <c r="H632" s="31" t="n"/>
      <c r="I632" s="23" t="n"/>
      <c r="J632" s="56" t="n"/>
      <c r="K632" s="22" t="n"/>
      <c r="L632" s="22" t="n"/>
      <c r="M632" s="22" t="n"/>
      <c r="N632" s="22" t="n"/>
      <c r="O632" s="22" t="n"/>
      <c r="P632" s="23" t="n"/>
      <c r="Q632" s="65" t="n"/>
      <c r="R632" s="65" t="n"/>
      <c r="S632" s="55" t="n"/>
      <c r="T632" s="55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</row>
    <row r="633" ht="15.75" customHeight="1" s="211">
      <c r="A633" s="55" t="n"/>
      <c r="B633" s="12" t="n"/>
      <c r="C633" s="55">
        <f>'Sales Candence'!B633</f>
        <v/>
      </c>
      <c r="D633" s="71" t="n"/>
      <c r="E633" s="71" t="n"/>
      <c r="F633" s="22" t="n"/>
      <c r="G633" s="22" t="n"/>
      <c r="H633" s="31" t="n"/>
      <c r="I633" s="23" t="n"/>
      <c r="J633" s="56" t="n"/>
      <c r="K633" s="22" t="n"/>
      <c r="L633" s="22" t="n"/>
      <c r="M633" s="22" t="n"/>
      <c r="N633" s="22" t="n"/>
      <c r="O633" s="22" t="n"/>
      <c r="P633" s="23" t="n"/>
      <c r="Q633" s="65" t="n"/>
      <c r="R633" s="65" t="n"/>
      <c r="S633" s="55" t="n"/>
      <c r="T633" s="55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</row>
    <row r="634" ht="15.75" customHeight="1" s="211">
      <c r="A634" s="55" t="n"/>
      <c r="B634" s="12" t="n"/>
      <c r="C634" s="55">
        <f>'Sales Candence'!B634</f>
        <v/>
      </c>
      <c r="D634" s="71" t="n"/>
      <c r="E634" s="71" t="n"/>
      <c r="F634" s="22" t="n"/>
      <c r="G634" s="22" t="n"/>
      <c r="H634" s="31" t="n"/>
      <c r="I634" s="23" t="n"/>
      <c r="J634" s="56" t="n"/>
      <c r="K634" s="22" t="n"/>
      <c r="L634" s="22" t="n"/>
      <c r="M634" s="22" t="n"/>
      <c r="N634" s="22" t="n"/>
      <c r="O634" s="22" t="n"/>
      <c r="P634" s="23" t="n"/>
      <c r="Q634" s="65" t="n"/>
      <c r="R634" s="65" t="n"/>
      <c r="S634" s="55" t="n"/>
      <c r="T634" s="55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</row>
    <row r="635" ht="15.75" customHeight="1" s="211">
      <c r="A635" s="55" t="n"/>
      <c r="B635" s="12" t="n"/>
      <c r="C635" s="55">
        <f>'Sales Candence'!B635</f>
        <v/>
      </c>
      <c r="D635" s="71" t="n"/>
      <c r="E635" s="71" t="n"/>
      <c r="F635" s="22" t="n"/>
      <c r="G635" s="22" t="n"/>
      <c r="H635" s="31" t="n"/>
      <c r="I635" s="23" t="n"/>
      <c r="J635" s="56" t="n"/>
      <c r="K635" s="22" t="n"/>
      <c r="L635" s="22" t="n"/>
      <c r="M635" s="22" t="n"/>
      <c r="N635" s="22" t="n"/>
      <c r="O635" s="22" t="n"/>
      <c r="P635" s="23" t="n"/>
      <c r="Q635" s="65" t="n"/>
      <c r="R635" s="65" t="n"/>
      <c r="S635" s="55" t="n"/>
      <c r="T635" s="55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</row>
    <row r="636" ht="15.75" customHeight="1" s="211">
      <c r="A636" s="55" t="n"/>
      <c r="B636" s="12" t="n"/>
      <c r="C636" s="55">
        <f>'Sales Candence'!B636</f>
        <v/>
      </c>
      <c r="D636" s="71" t="n"/>
      <c r="E636" s="71" t="n"/>
      <c r="F636" s="22" t="n"/>
      <c r="G636" s="22" t="n"/>
      <c r="H636" s="31" t="n"/>
      <c r="I636" s="23" t="n"/>
      <c r="J636" s="56" t="n"/>
      <c r="K636" s="22" t="n"/>
      <c r="L636" s="22" t="n"/>
      <c r="M636" s="22" t="n"/>
      <c r="N636" s="22" t="n"/>
      <c r="O636" s="22" t="n"/>
      <c r="P636" s="23" t="n"/>
      <c r="Q636" s="65" t="n"/>
      <c r="R636" s="65" t="n"/>
      <c r="S636" s="55" t="n"/>
      <c r="T636" s="55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</row>
    <row r="637" ht="15.75" customHeight="1" s="211">
      <c r="A637" s="55" t="n"/>
      <c r="B637" s="12" t="n"/>
      <c r="C637" s="55">
        <f>'Sales Candence'!B637</f>
        <v/>
      </c>
      <c r="D637" s="71" t="n"/>
      <c r="E637" s="71" t="n"/>
      <c r="F637" s="22" t="n"/>
      <c r="G637" s="22" t="n"/>
      <c r="H637" s="31" t="n"/>
      <c r="I637" s="23" t="n"/>
      <c r="J637" s="56" t="n"/>
      <c r="K637" s="22" t="n"/>
      <c r="L637" s="22" t="n"/>
      <c r="M637" s="22" t="n"/>
      <c r="N637" s="22" t="n"/>
      <c r="O637" s="22" t="n"/>
      <c r="P637" s="23" t="n"/>
      <c r="Q637" s="65" t="n"/>
      <c r="R637" s="65" t="n"/>
      <c r="S637" s="55" t="n"/>
      <c r="T637" s="55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</row>
    <row r="638" ht="15.75" customHeight="1" s="211">
      <c r="A638" s="55" t="n"/>
      <c r="B638" s="12" t="n"/>
      <c r="C638" s="55">
        <f>'Sales Candence'!B638</f>
        <v/>
      </c>
      <c r="D638" s="71" t="n"/>
      <c r="E638" s="71" t="n"/>
      <c r="F638" s="22" t="n"/>
      <c r="G638" s="22" t="n"/>
      <c r="H638" s="31" t="n"/>
      <c r="I638" s="23" t="n"/>
      <c r="J638" s="56" t="n"/>
      <c r="K638" s="22" t="n"/>
      <c r="L638" s="22" t="n"/>
      <c r="M638" s="22" t="n"/>
      <c r="N638" s="22" t="n"/>
      <c r="O638" s="22" t="n"/>
      <c r="P638" s="23" t="n"/>
      <c r="Q638" s="65" t="n"/>
      <c r="R638" s="65" t="n"/>
      <c r="S638" s="55" t="n"/>
      <c r="T638" s="55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</row>
    <row r="639" ht="15.75" customHeight="1" s="211">
      <c r="A639" s="55" t="n"/>
      <c r="B639" s="12" t="n"/>
      <c r="C639" s="55">
        <f>'Sales Candence'!B639</f>
        <v/>
      </c>
      <c r="D639" s="71" t="n"/>
      <c r="E639" s="71" t="n"/>
      <c r="F639" s="22" t="n"/>
      <c r="G639" s="22" t="n"/>
      <c r="H639" s="31" t="n"/>
      <c r="I639" s="23" t="n"/>
      <c r="J639" s="56" t="n"/>
      <c r="K639" s="22" t="n"/>
      <c r="L639" s="22" t="n"/>
      <c r="M639" s="22" t="n"/>
      <c r="N639" s="22" t="n"/>
      <c r="O639" s="22" t="n"/>
      <c r="P639" s="23" t="n"/>
      <c r="Q639" s="65" t="n"/>
      <c r="R639" s="65" t="n"/>
      <c r="S639" s="55" t="n"/>
      <c r="T639" s="55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</row>
    <row r="640" ht="15.75" customHeight="1" s="211">
      <c r="A640" s="55" t="n"/>
      <c r="B640" s="12" t="n"/>
      <c r="C640" s="55">
        <f>'Sales Candence'!B640</f>
        <v/>
      </c>
      <c r="D640" s="71" t="n"/>
      <c r="E640" s="71" t="n"/>
      <c r="F640" s="22" t="n"/>
      <c r="G640" s="22" t="n"/>
      <c r="H640" s="31" t="n"/>
      <c r="I640" s="23" t="n"/>
      <c r="J640" s="56" t="n"/>
      <c r="K640" s="22" t="n"/>
      <c r="L640" s="22" t="n"/>
      <c r="M640" s="22" t="n"/>
      <c r="N640" s="22" t="n"/>
      <c r="O640" s="22" t="n"/>
      <c r="P640" s="23" t="n"/>
      <c r="Q640" s="65" t="n"/>
      <c r="R640" s="65" t="n"/>
      <c r="S640" s="55" t="n"/>
      <c r="T640" s="55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</row>
    <row r="641" ht="15.75" customHeight="1" s="211">
      <c r="A641" s="55" t="n"/>
      <c r="B641" s="12" t="n"/>
      <c r="C641" s="55">
        <f>'Sales Candence'!B641</f>
        <v/>
      </c>
      <c r="D641" s="71" t="n"/>
      <c r="E641" s="71" t="n"/>
      <c r="F641" s="22" t="n"/>
      <c r="G641" s="22" t="n"/>
      <c r="H641" s="31" t="n"/>
      <c r="I641" s="23" t="n"/>
      <c r="J641" s="56" t="n"/>
      <c r="K641" s="22" t="n"/>
      <c r="L641" s="22" t="n"/>
      <c r="M641" s="22" t="n"/>
      <c r="N641" s="22" t="n"/>
      <c r="O641" s="22" t="n"/>
      <c r="P641" s="23" t="n"/>
      <c r="Q641" s="65" t="n"/>
      <c r="R641" s="65" t="n"/>
      <c r="S641" s="55" t="n"/>
      <c r="T641" s="55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</row>
    <row r="642" ht="15.75" customHeight="1" s="211">
      <c r="A642" s="55" t="n"/>
      <c r="B642" s="12" t="n"/>
      <c r="C642" s="55">
        <f>'Sales Candence'!B642</f>
        <v/>
      </c>
      <c r="D642" s="71" t="n"/>
      <c r="E642" s="71" t="n"/>
      <c r="F642" s="22" t="n"/>
      <c r="G642" s="22" t="n"/>
      <c r="H642" s="31" t="n"/>
      <c r="I642" s="23" t="n"/>
      <c r="J642" s="56" t="n"/>
      <c r="K642" s="22" t="n"/>
      <c r="L642" s="22" t="n"/>
      <c r="M642" s="22" t="n"/>
      <c r="N642" s="22" t="n"/>
      <c r="O642" s="22" t="n"/>
      <c r="P642" s="23" t="n"/>
      <c r="Q642" s="65" t="n"/>
      <c r="R642" s="65" t="n"/>
      <c r="S642" s="55" t="n"/>
      <c r="T642" s="55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</row>
    <row r="643" ht="15.75" customHeight="1" s="211">
      <c r="A643" s="55" t="n"/>
      <c r="B643" s="12" t="n"/>
      <c r="C643" s="55">
        <f>'Sales Candence'!B643</f>
        <v/>
      </c>
      <c r="D643" s="71" t="n"/>
      <c r="E643" s="71" t="n"/>
      <c r="F643" s="22" t="n"/>
      <c r="G643" s="22" t="n"/>
      <c r="H643" s="31" t="n"/>
      <c r="I643" s="23" t="n"/>
      <c r="J643" s="56" t="n"/>
      <c r="K643" s="22" t="n"/>
      <c r="L643" s="22" t="n"/>
      <c r="M643" s="22" t="n"/>
      <c r="N643" s="22" t="n"/>
      <c r="O643" s="22" t="n"/>
      <c r="P643" s="23" t="n"/>
      <c r="Q643" s="65" t="n"/>
      <c r="R643" s="65" t="n"/>
      <c r="S643" s="55" t="n"/>
      <c r="T643" s="55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</row>
    <row r="644" ht="15.75" customHeight="1" s="211">
      <c r="A644" s="55" t="n"/>
      <c r="B644" s="12" t="n"/>
      <c r="C644" s="55">
        <f>'Sales Candence'!B644</f>
        <v/>
      </c>
      <c r="D644" s="71" t="n"/>
      <c r="E644" s="71" t="n"/>
      <c r="F644" s="22" t="n"/>
      <c r="G644" s="22" t="n"/>
      <c r="H644" s="31" t="n"/>
      <c r="I644" s="23" t="n"/>
      <c r="J644" s="56" t="n"/>
      <c r="K644" s="22" t="n"/>
      <c r="L644" s="22" t="n"/>
      <c r="M644" s="22" t="n"/>
      <c r="N644" s="22" t="n"/>
      <c r="O644" s="22" t="n"/>
      <c r="P644" s="23" t="n"/>
      <c r="Q644" s="65" t="n"/>
      <c r="R644" s="65" t="n"/>
      <c r="S644" s="55" t="n"/>
      <c r="T644" s="55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</row>
    <row r="645" ht="15.75" customHeight="1" s="211">
      <c r="A645" s="55" t="n"/>
      <c r="B645" s="12" t="n"/>
      <c r="C645" s="55">
        <f>'Sales Candence'!B645</f>
        <v/>
      </c>
      <c r="D645" s="71" t="n"/>
      <c r="E645" s="71" t="n"/>
      <c r="F645" s="22" t="n"/>
      <c r="G645" s="22" t="n"/>
      <c r="H645" s="31" t="n"/>
      <c r="I645" s="23" t="n"/>
      <c r="J645" s="56" t="n"/>
      <c r="K645" s="22" t="n"/>
      <c r="L645" s="22" t="n"/>
      <c r="M645" s="22" t="n"/>
      <c r="N645" s="22" t="n"/>
      <c r="O645" s="22" t="n"/>
      <c r="P645" s="23" t="n"/>
      <c r="Q645" s="65" t="n"/>
      <c r="R645" s="65" t="n"/>
      <c r="S645" s="55" t="n"/>
      <c r="T645" s="55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</row>
    <row r="646" ht="15.75" customHeight="1" s="211">
      <c r="A646" s="55" t="n"/>
      <c r="B646" s="12" t="n"/>
      <c r="C646" s="55">
        <f>'Sales Candence'!B646</f>
        <v/>
      </c>
      <c r="D646" s="71" t="n"/>
      <c r="E646" s="71" t="n"/>
      <c r="F646" s="22" t="n"/>
      <c r="G646" s="22" t="n"/>
      <c r="H646" s="31" t="n"/>
      <c r="I646" s="23" t="n"/>
      <c r="J646" s="56" t="n"/>
      <c r="K646" s="22" t="n"/>
      <c r="L646" s="22" t="n"/>
      <c r="M646" s="22" t="n"/>
      <c r="N646" s="22" t="n"/>
      <c r="O646" s="22" t="n"/>
      <c r="P646" s="23" t="n"/>
      <c r="Q646" s="65" t="n"/>
      <c r="R646" s="65" t="n"/>
      <c r="S646" s="55" t="n"/>
      <c r="T646" s="55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</row>
    <row r="647" ht="15.75" customHeight="1" s="211">
      <c r="A647" s="55" t="n"/>
      <c r="B647" s="12" t="n"/>
      <c r="C647" s="55">
        <f>'Sales Candence'!B647</f>
        <v/>
      </c>
      <c r="D647" s="71" t="n"/>
      <c r="E647" s="71" t="n"/>
      <c r="F647" s="22" t="n"/>
      <c r="G647" s="22" t="n"/>
      <c r="H647" s="31" t="n"/>
      <c r="I647" s="23" t="n"/>
      <c r="J647" s="56" t="n"/>
      <c r="K647" s="22" t="n"/>
      <c r="L647" s="22" t="n"/>
      <c r="M647" s="22" t="n"/>
      <c r="N647" s="22" t="n"/>
      <c r="O647" s="22" t="n"/>
      <c r="P647" s="23" t="n"/>
      <c r="Q647" s="65" t="n"/>
      <c r="R647" s="65" t="n"/>
      <c r="S647" s="55" t="n"/>
      <c r="T647" s="55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</row>
    <row r="648" ht="15.75" customHeight="1" s="211">
      <c r="A648" s="55" t="n"/>
      <c r="B648" s="12" t="n"/>
      <c r="C648" s="55">
        <f>'Sales Candence'!B648</f>
        <v/>
      </c>
      <c r="D648" s="71" t="n"/>
      <c r="E648" s="71" t="n"/>
      <c r="F648" s="22" t="n"/>
      <c r="G648" s="22" t="n"/>
      <c r="H648" s="31" t="n"/>
      <c r="I648" s="23" t="n"/>
      <c r="J648" s="56" t="n"/>
      <c r="K648" s="22" t="n"/>
      <c r="L648" s="22" t="n"/>
      <c r="M648" s="22" t="n"/>
      <c r="N648" s="22" t="n"/>
      <c r="O648" s="22" t="n"/>
      <c r="P648" s="23" t="n"/>
      <c r="Q648" s="65" t="n"/>
      <c r="R648" s="65" t="n"/>
      <c r="S648" s="55" t="n"/>
      <c r="T648" s="55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</row>
    <row r="649" ht="15.75" customHeight="1" s="211">
      <c r="A649" s="55" t="n"/>
      <c r="B649" s="12" t="n"/>
      <c r="C649" s="55">
        <f>'Sales Candence'!B649</f>
        <v/>
      </c>
      <c r="D649" s="71" t="n"/>
      <c r="E649" s="71" t="n"/>
      <c r="F649" s="22" t="n"/>
      <c r="G649" s="22" t="n"/>
      <c r="H649" s="31" t="n"/>
      <c r="I649" s="23" t="n"/>
      <c r="J649" s="56" t="n"/>
      <c r="K649" s="22" t="n"/>
      <c r="L649" s="22" t="n"/>
      <c r="M649" s="22" t="n"/>
      <c r="N649" s="22" t="n"/>
      <c r="O649" s="22" t="n"/>
      <c r="P649" s="23" t="n"/>
      <c r="Q649" s="65" t="n"/>
      <c r="R649" s="65" t="n"/>
      <c r="S649" s="55" t="n"/>
      <c r="T649" s="55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</row>
    <row r="650" ht="15.75" customHeight="1" s="211">
      <c r="A650" s="55" t="n"/>
      <c r="B650" s="12" t="n"/>
      <c r="C650" s="55">
        <f>'Sales Candence'!B650</f>
        <v/>
      </c>
      <c r="D650" s="71" t="n"/>
      <c r="E650" s="71" t="n"/>
      <c r="F650" s="22" t="n"/>
      <c r="G650" s="22" t="n"/>
      <c r="H650" s="31" t="n"/>
      <c r="I650" s="23" t="n"/>
      <c r="J650" s="56" t="n"/>
      <c r="K650" s="22" t="n"/>
      <c r="L650" s="22" t="n"/>
      <c r="M650" s="22" t="n"/>
      <c r="N650" s="22" t="n"/>
      <c r="O650" s="22" t="n"/>
      <c r="P650" s="23" t="n"/>
      <c r="Q650" s="65" t="n"/>
      <c r="R650" s="65" t="n"/>
      <c r="S650" s="55" t="n"/>
      <c r="T650" s="55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</row>
    <row r="651" ht="15.75" customHeight="1" s="211">
      <c r="A651" s="55" t="n"/>
      <c r="B651" s="12" t="n"/>
      <c r="C651" s="55">
        <f>'Sales Candence'!B651</f>
        <v/>
      </c>
      <c r="D651" s="71" t="n"/>
      <c r="E651" s="71" t="n"/>
      <c r="F651" s="22" t="n"/>
      <c r="G651" s="22" t="n"/>
      <c r="H651" s="31" t="n"/>
      <c r="I651" s="23" t="n"/>
      <c r="J651" s="56" t="n"/>
      <c r="K651" s="22" t="n"/>
      <c r="L651" s="22" t="n"/>
      <c r="M651" s="22" t="n"/>
      <c r="N651" s="22" t="n"/>
      <c r="O651" s="22" t="n"/>
      <c r="P651" s="23" t="n"/>
      <c r="Q651" s="65" t="n"/>
      <c r="R651" s="65" t="n"/>
      <c r="S651" s="55" t="n"/>
      <c r="T651" s="55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</row>
    <row r="652" ht="15.75" customHeight="1" s="211">
      <c r="A652" s="55" t="n"/>
      <c r="B652" s="12" t="n"/>
      <c r="C652" s="55">
        <f>'Sales Candence'!B652</f>
        <v/>
      </c>
      <c r="D652" s="71" t="n"/>
      <c r="E652" s="71" t="n"/>
      <c r="F652" s="22" t="n"/>
      <c r="G652" s="22" t="n"/>
      <c r="H652" s="31" t="n"/>
      <c r="I652" s="23" t="n"/>
      <c r="J652" s="56" t="n"/>
      <c r="K652" s="22" t="n"/>
      <c r="L652" s="22" t="n"/>
      <c r="M652" s="22" t="n"/>
      <c r="N652" s="22" t="n"/>
      <c r="O652" s="22" t="n"/>
      <c r="P652" s="23" t="n"/>
      <c r="Q652" s="65" t="n"/>
      <c r="R652" s="65" t="n"/>
      <c r="S652" s="55" t="n"/>
      <c r="T652" s="55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</row>
    <row r="653" ht="15.75" customHeight="1" s="211">
      <c r="A653" s="55" t="n"/>
      <c r="B653" s="12" t="n"/>
      <c r="C653" s="55">
        <f>'Sales Candence'!B653</f>
        <v/>
      </c>
      <c r="D653" s="71" t="n"/>
      <c r="E653" s="71" t="n"/>
      <c r="F653" s="22" t="n"/>
      <c r="G653" s="22" t="n"/>
      <c r="H653" s="31" t="n"/>
      <c r="I653" s="23" t="n"/>
      <c r="J653" s="56" t="n"/>
      <c r="K653" s="22" t="n"/>
      <c r="L653" s="22" t="n"/>
      <c r="M653" s="22" t="n"/>
      <c r="N653" s="22" t="n"/>
      <c r="O653" s="22" t="n"/>
      <c r="P653" s="23" t="n"/>
      <c r="Q653" s="65" t="n"/>
      <c r="R653" s="65" t="n"/>
      <c r="S653" s="55" t="n"/>
      <c r="T653" s="55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</row>
    <row r="654" ht="15.75" customHeight="1" s="211">
      <c r="A654" s="55" t="n"/>
      <c r="B654" s="12" t="n"/>
      <c r="C654" s="55">
        <f>'Sales Candence'!B654</f>
        <v/>
      </c>
      <c r="D654" s="71" t="n"/>
      <c r="E654" s="71" t="n"/>
      <c r="F654" s="22" t="n"/>
      <c r="G654" s="22" t="n"/>
      <c r="H654" s="31" t="n"/>
      <c r="I654" s="23" t="n"/>
      <c r="J654" s="56" t="n"/>
      <c r="K654" s="22" t="n"/>
      <c r="L654" s="22" t="n"/>
      <c r="M654" s="22" t="n"/>
      <c r="N654" s="22" t="n"/>
      <c r="O654" s="22" t="n"/>
      <c r="P654" s="23" t="n"/>
      <c r="Q654" s="65" t="n"/>
      <c r="R654" s="65" t="n"/>
      <c r="S654" s="55" t="n"/>
      <c r="T654" s="55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</row>
    <row r="655" ht="15.75" customHeight="1" s="211">
      <c r="A655" s="55" t="n"/>
      <c r="B655" s="12" t="n"/>
      <c r="C655" s="55">
        <f>'Sales Candence'!B655</f>
        <v/>
      </c>
      <c r="D655" s="71" t="n"/>
      <c r="E655" s="71" t="n"/>
      <c r="F655" s="22" t="n"/>
      <c r="G655" s="22" t="n"/>
      <c r="H655" s="31" t="n"/>
      <c r="I655" s="23" t="n"/>
      <c r="J655" s="56" t="n"/>
      <c r="K655" s="22" t="n"/>
      <c r="L655" s="22" t="n"/>
      <c r="M655" s="22" t="n"/>
      <c r="N655" s="22" t="n"/>
      <c r="O655" s="22" t="n"/>
      <c r="P655" s="23" t="n"/>
      <c r="Q655" s="65" t="n"/>
      <c r="R655" s="65" t="n"/>
      <c r="S655" s="55" t="n"/>
      <c r="T655" s="55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</row>
    <row r="656" ht="15.75" customHeight="1" s="211">
      <c r="A656" s="55" t="n"/>
      <c r="B656" s="12" t="n"/>
      <c r="C656" s="55">
        <f>'Sales Candence'!B656</f>
        <v/>
      </c>
      <c r="D656" s="71" t="n"/>
      <c r="E656" s="71" t="n"/>
      <c r="F656" s="22" t="n"/>
      <c r="G656" s="22" t="n"/>
      <c r="H656" s="31" t="n"/>
      <c r="I656" s="23" t="n"/>
      <c r="J656" s="56" t="n"/>
      <c r="K656" s="22" t="n"/>
      <c r="L656" s="22" t="n"/>
      <c r="M656" s="22" t="n"/>
      <c r="N656" s="22" t="n"/>
      <c r="O656" s="22" t="n"/>
      <c r="P656" s="23" t="n"/>
      <c r="Q656" s="65" t="n"/>
      <c r="R656" s="65" t="n"/>
      <c r="S656" s="55" t="n"/>
      <c r="T656" s="55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</row>
    <row r="657" ht="15.75" customHeight="1" s="211">
      <c r="A657" s="55" t="n"/>
      <c r="B657" s="12" t="n"/>
      <c r="C657" s="55">
        <f>'Sales Candence'!B657</f>
        <v/>
      </c>
      <c r="D657" s="71" t="n"/>
      <c r="E657" s="71" t="n"/>
      <c r="F657" s="22" t="n"/>
      <c r="G657" s="22" t="n"/>
      <c r="H657" s="31" t="n"/>
      <c r="I657" s="23" t="n"/>
      <c r="J657" s="56" t="n"/>
      <c r="K657" s="22" t="n"/>
      <c r="L657" s="22" t="n"/>
      <c r="M657" s="22" t="n"/>
      <c r="N657" s="22" t="n"/>
      <c r="O657" s="22" t="n"/>
      <c r="P657" s="23" t="n"/>
      <c r="Q657" s="65" t="n"/>
      <c r="R657" s="65" t="n"/>
      <c r="S657" s="55" t="n"/>
      <c r="T657" s="55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</row>
    <row r="658" ht="15.75" customHeight="1" s="211">
      <c r="A658" s="55" t="n"/>
      <c r="B658" s="12" t="n"/>
      <c r="C658" s="55">
        <f>'Sales Candence'!B658</f>
        <v/>
      </c>
      <c r="D658" s="71" t="n"/>
      <c r="E658" s="71" t="n"/>
      <c r="F658" s="22" t="n"/>
      <c r="G658" s="22" t="n"/>
      <c r="H658" s="31" t="n"/>
      <c r="I658" s="23" t="n"/>
      <c r="J658" s="56" t="n"/>
      <c r="K658" s="22" t="n"/>
      <c r="L658" s="22" t="n"/>
      <c r="M658" s="22" t="n"/>
      <c r="N658" s="22" t="n"/>
      <c r="O658" s="22" t="n"/>
      <c r="P658" s="23" t="n"/>
      <c r="Q658" s="65" t="n"/>
      <c r="R658" s="65" t="n"/>
      <c r="S658" s="55" t="n"/>
      <c r="T658" s="55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</row>
    <row r="659" ht="15.75" customHeight="1" s="211">
      <c r="A659" s="55" t="n"/>
      <c r="B659" s="12" t="n"/>
      <c r="C659" s="55">
        <f>'Sales Candence'!B659</f>
        <v/>
      </c>
      <c r="D659" s="71" t="n"/>
      <c r="E659" s="71" t="n"/>
      <c r="F659" s="22" t="n"/>
      <c r="G659" s="22" t="n"/>
      <c r="H659" s="31" t="n"/>
      <c r="I659" s="23" t="n"/>
      <c r="J659" s="56" t="n"/>
      <c r="K659" s="22" t="n"/>
      <c r="L659" s="22" t="n"/>
      <c r="M659" s="22" t="n"/>
      <c r="N659" s="22" t="n"/>
      <c r="O659" s="22" t="n"/>
      <c r="P659" s="23" t="n"/>
      <c r="Q659" s="65" t="n"/>
      <c r="R659" s="65" t="n"/>
      <c r="S659" s="55" t="n"/>
      <c r="T659" s="55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</row>
    <row r="660" ht="15.75" customHeight="1" s="211">
      <c r="A660" s="55" t="n"/>
      <c r="B660" s="12" t="n"/>
      <c r="C660" s="55">
        <f>'Sales Candence'!B660</f>
        <v/>
      </c>
      <c r="D660" s="71" t="n"/>
      <c r="E660" s="71" t="n"/>
      <c r="F660" s="22" t="n"/>
      <c r="G660" s="22" t="n"/>
      <c r="H660" s="31" t="n"/>
      <c r="I660" s="23" t="n"/>
      <c r="J660" s="56" t="n"/>
      <c r="K660" s="22" t="n"/>
      <c r="L660" s="22" t="n"/>
      <c r="M660" s="22" t="n"/>
      <c r="N660" s="22" t="n"/>
      <c r="O660" s="22" t="n"/>
      <c r="P660" s="23" t="n"/>
      <c r="Q660" s="65" t="n"/>
      <c r="R660" s="65" t="n"/>
      <c r="S660" s="55" t="n"/>
      <c r="T660" s="55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</row>
    <row r="661" ht="15.75" customHeight="1" s="211">
      <c r="A661" s="55" t="n"/>
      <c r="B661" s="12" t="n"/>
      <c r="C661" s="55">
        <f>'Sales Candence'!B661</f>
        <v/>
      </c>
      <c r="D661" s="71" t="n"/>
      <c r="E661" s="71" t="n"/>
      <c r="F661" s="22" t="n"/>
      <c r="G661" s="22" t="n"/>
      <c r="H661" s="31" t="n"/>
      <c r="I661" s="23" t="n"/>
      <c r="J661" s="56" t="n"/>
      <c r="K661" s="22" t="n"/>
      <c r="L661" s="22" t="n"/>
      <c r="M661" s="22" t="n"/>
      <c r="N661" s="22" t="n"/>
      <c r="O661" s="22" t="n"/>
      <c r="P661" s="23" t="n"/>
      <c r="Q661" s="65" t="n"/>
      <c r="R661" s="65" t="n"/>
      <c r="S661" s="55" t="n"/>
      <c r="T661" s="55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</row>
    <row r="662" ht="15.75" customHeight="1" s="211">
      <c r="A662" s="55" t="n"/>
      <c r="B662" s="12" t="n"/>
      <c r="C662" s="55">
        <f>'Sales Candence'!B662</f>
        <v/>
      </c>
      <c r="D662" s="71" t="n"/>
      <c r="E662" s="71" t="n"/>
      <c r="F662" s="22" t="n"/>
      <c r="G662" s="22" t="n"/>
      <c r="H662" s="31" t="n"/>
      <c r="I662" s="23" t="n"/>
      <c r="J662" s="56" t="n"/>
      <c r="K662" s="22" t="n"/>
      <c r="L662" s="22" t="n"/>
      <c r="M662" s="22" t="n"/>
      <c r="N662" s="22" t="n"/>
      <c r="O662" s="22" t="n"/>
      <c r="P662" s="23" t="n"/>
      <c r="Q662" s="65" t="n"/>
      <c r="R662" s="65" t="n"/>
      <c r="S662" s="55" t="n"/>
      <c r="T662" s="55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</row>
    <row r="663" ht="15.75" customHeight="1" s="211">
      <c r="A663" s="55" t="n"/>
      <c r="B663" s="12" t="n"/>
      <c r="C663" s="55">
        <f>'Sales Candence'!B663</f>
        <v/>
      </c>
      <c r="D663" s="71" t="n"/>
      <c r="E663" s="71" t="n"/>
      <c r="F663" s="22" t="n"/>
      <c r="G663" s="22" t="n"/>
      <c r="H663" s="31" t="n"/>
      <c r="I663" s="23" t="n"/>
      <c r="J663" s="56" t="n"/>
      <c r="K663" s="22" t="n"/>
      <c r="L663" s="22" t="n"/>
      <c r="M663" s="22" t="n"/>
      <c r="N663" s="22" t="n"/>
      <c r="O663" s="22" t="n"/>
      <c r="P663" s="23" t="n"/>
      <c r="Q663" s="65" t="n"/>
      <c r="R663" s="65" t="n"/>
      <c r="S663" s="55" t="n"/>
      <c r="T663" s="55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</row>
    <row r="664" ht="15.75" customHeight="1" s="211">
      <c r="A664" s="55" t="n"/>
      <c r="B664" s="12" t="n"/>
      <c r="C664" s="55">
        <f>'Sales Candence'!B664</f>
        <v/>
      </c>
      <c r="D664" s="71" t="n"/>
      <c r="E664" s="71" t="n"/>
      <c r="F664" s="22" t="n"/>
      <c r="G664" s="22" t="n"/>
      <c r="H664" s="31" t="n"/>
      <c r="I664" s="23" t="n"/>
      <c r="J664" s="56" t="n"/>
      <c r="K664" s="22" t="n"/>
      <c r="L664" s="22" t="n"/>
      <c r="M664" s="22" t="n"/>
      <c r="N664" s="22" t="n"/>
      <c r="O664" s="22" t="n"/>
      <c r="P664" s="23" t="n"/>
      <c r="Q664" s="65" t="n"/>
      <c r="R664" s="65" t="n"/>
      <c r="S664" s="55" t="n"/>
      <c r="T664" s="55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</row>
    <row r="665" ht="15.75" customHeight="1" s="211">
      <c r="A665" s="55" t="n"/>
      <c r="B665" s="12" t="n"/>
      <c r="C665" s="55">
        <f>'Sales Candence'!B665</f>
        <v/>
      </c>
      <c r="D665" s="71" t="n"/>
      <c r="E665" s="71" t="n"/>
      <c r="F665" s="22" t="n"/>
      <c r="G665" s="22" t="n"/>
      <c r="H665" s="31" t="n"/>
      <c r="I665" s="23" t="n"/>
      <c r="J665" s="56" t="n"/>
      <c r="K665" s="22" t="n"/>
      <c r="L665" s="22" t="n"/>
      <c r="M665" s="22" t="n"/>
      <c r="N665" s="22" t="n"/>
      <c r="O665" s="22" t="n"/>
      <c r="P665" s="23" t="n"/>
      <c r="Q665" s="65" t="n"/>
      <c r="R665" s="65" t="n"/>
      <c r="S665" s="55" t="n"/>
      <c r="T665" s="55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</row>
    <row r="666" ht="15.75" customHeight="1" s="211">
      <c r="A666" s="55" t="n"/>
      <c r="B666" s="12" t="n"/>
      <c r="C666" s="55">
        <f>'Sales Candence'!B666</f>
        <v/>
      </c>
      <c r="D666" s="71" t="n"/>
      <c r="E666" s="71" t="n"/>
      <c r="F666" s="22" t="n"/>
      <c r="G666" s="22" t="n"/>
      <c r="H666" s="31" t="n"/>
      <c r="I666" s="23" t="n"/>
      <c r="J666" s="56" t="n"/>
      <c r="K666" s="22" t="n"/>
      <c r="L666" s="22" t="n"/>
      <c r="M666" s="22" t="n"/>
      <c r="N666" s="22" t="n"/>
      <c r="O666" s="22" t="n"/>
      <c r="P666" s="23" t="n"/>
      <c r="Q666" s="65" t="n"/>
      <c r="R666" s="65" t="n"/>
      <c r="S666" s="55" t="n"/>
      <c r="T666" s="55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</row>
    <row r="667" ht="15.75" customHeight="1" s="211">
      <c r="A667" s="55" t="n"/>
      <c r="B667" s="12" t="n"/>
      <c r="C667" s="55">
        <f>'Sales Candence'!B667</f>
        <v/>
      </c>
      <c r="D667" s="71" t="n"/>
      <c r="E667" s="71" t="n"/>
      <c r="F667" s="22" t="n"/>
      <c r="G667" s="22" t="n"/>
      <c r="H667" s="31" t="n"/>
      <c r="I667" s="23" t="n"/>
      <c r="J667" s="56" t="n"/>
      <c r="K667" s="22" t="n"/>
      <c r="L667" s="22" t="n"/>
      <c r="M667" s="22" t="n"/>
      <c r="N667" s="22" t="n"/>
      <c r="O667" s="22" t="n"/>
      <c r="P667" s="23" t="n"/>
      <c r="Q667" s="65" t="n"/>
      <c r="R667" s="65" t="n"/>
      <c r="S667" s="55" t="n"/>
      <c r="T667" s="55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</row>
    <row r="668" ht="15.75" customHeight="1" s="211">
      <c r="A668" s="55" t="n"/>
      <c r="B668" s="12" t="n"/>
      <c r="C668" s="55">
        <f>'Sales Candence'!B668</f>
        <v/>
      </c>
      <c r="D668" s="71" t="n"/>
      <c r="E668" s="71" t="n"/>
      <c r="F668" s="22" t="n"/>
      <c r="G668" s="22" t="n"/>
      <c r="H668" s="31" t="n"/>
      <c r="I668" s="23" t="n"/>
      <c r="J668" s="56" t="n"/>
      <c r="K668" s="22" t="n"/>
      <c r="L668" s="22" t="n"/>
      <c r="M668" s="22" t="n"/>
      <c r="N668" s="22" t="n"/>
      <c r="O668" s="22" t="n"/>
      <c r="P668" s="23" t="n"/>
      <c r="Q668" s="65" t="n"/>
      <c r="R668" s="65" t="n"/>
      <c r="S668" s="55" t="n"/>
      <c r="T668" s="55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</row>
    <row r="669" ht="15.75" customHeight="1" s="211">
      <c r="A669" s="55" t="n"/>
      <c r="B669" s="12" t="n"/>
      <c r="C669" s="55">
        <f>'Sales Candence'!B669</f>
        <v/>
      </c>
      <c r="D669" s="71" t="n"/>
      <c r="E669" s="71" t="n"/>
      <c r="F669" s="22" t="n"/>
      <c r="G669" s="22" t="n"/>
      <c r="H669" s="31" t="n"/>
      <c r="I669" s="23" t="n"/>
      <c r="J669" s="56" t="n"/>
      <c r="K669" s="22" t="n"/>
      <c r="L669" s="22" t="n"/>
      <c r="M669" s="22" t="n"/>
      <c r="N669" s="22" t="n"/>
      <c r="O669" s="22" t="n"/>
      <c r="P669" s="23" t="n"/>
      <c r="Q669" s="65" t="n"/>
      <c r="R669" s="65" t="n"/>
      <c r="S669" s="55" t="n"/>
      <c r="T669" s="55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</row>
    <row r="670" ht="15.75" customHeight="1" s="211">
      <c r="A670" s="55" t="n"/>
      <c r="B670" s="12" t="n"/>
      <c r="C670" s="55">
        <f>'Sales Candence'!B670</f>
        <v/>
      </c>
      <c r="D670" s="71" t="n"/>
      <c r="E670" s="71" t="n"/>
      <c r="F670" s="22" t="n"/>
      <c r="G670" s="22" t="n"/>
      <c r="H670" s="31" t="n"/>
      <c r="I670" s="23" t="n"/>
      <c r="J670" s="56" t="n"/>
      <c r="K670" s="22" t="n"/>
      <c r="L670" s="22" t="n"/>
      <c r="M670" s="22" t="n"/>
      <c r="N670" s="22" t="n"/>
      <c r="O670" s="22" t="n"/>
      <c r="P670" s="23" t="n"/>
      <c r="Q670" s="65" t="n"/>
      <c r="R670" s="65" t="n"/>
      <c r="S670" s="55" t="n"/>
      <c r="T670" s="55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</row>
    <row r="671" ht="15.75" customHeight="1" s="211">
      <c r="A671" s="55" t="n"/>
      <c r="B671" s="12" t="n"/>
      <c r="C671" s="55">
        <f>'Sales Candence'!B671</f>
        <v/>
      </c>
      <c r="D671" s="71" t="n"/>
      <c r="E671" s="71" t="n"/>
      <c r="F671" s="22" t="n"/>
      <c r="G671" s="22" t="n"/>
      <c r="H671" s="31" t="n"/>
      <c r="I671" s="23" t="n"/>
      <c r="J671" s="56" t="n"/>
      <c r="K671" s="22" t="n"/>
      <c r="L671" s="22" t="n"/>
      <c r="M671" s="22" t="n"/>
      <c r="N671" s="22" t="n"/>
      <c r="O671" s="22" t="n"/>
      <c r="P671" s="23" t="n"/>
      <c r="Q671" s="65" t="n"/>
      <c r="R671" s="65" t="n"/>
      <c r="S671" s="55" t="n"/>
      <c r="T671" s="55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</row>
    <row r="672" ht="15.75" customHeight="1" s="211">
      <c r="A672" s="55" t="n"/>
      <c r="B672" s="12" t="n"/>
      <c r="C672" s="55">
        <f>'Sales Candence'!B672</f>
        <v/>
      </c>
      <c r="D672" s="71" t="n"/>
      <c r="E672" s="71" t="n"/>
      <c r="F672" s="22" t="n"/>
      <c r="G672" s="22" t="n"/>
      <c r="H672" s="31" t="n"/>
      <c r="I672" s="23" t="n"/>
      <c r="J672" s="56" t="n"/>
      <c r="K672" s="22" t="n"/>
      <c r="L672" s="22" t="n"/>
      <c r="M672" s="22" t="n"/>
      <c r="N672" s="22" t="n"/>
      <c r="O672" s="22" t="n"/>
      <c r="P672" s="23" t="n"/>
      <c r="Q672" s="65" t="n"/>
      <c r="R672" s="65" t="n"/>
      <c r="S672" s="55" t="n"/>
      <c r="T672" s="55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</row>
    <row r="673" ht="15.75" customHeight="1" s="211">
      <c r="A673" s="55" t="n"/>
      <c r="B673" s="12" t="n"/>
      <c r="C673" s="55">
        <f>'Sales Candence'!B673</f>
        <v/>
      </c>
      <c r="D673" s="71" t="n"/>
      <c r="E673" s="71" t="n"/>
      <c r="F673" s="22" t="n"/>
      <c r="G673" s="22" t="n"/>
      <c r="H673" s="31" t="n"/>
      <c r="I673" s="23" t="n"/>
      <c r="J673" s="56" t="n"/>
      <c r="K673" s="22" t="n"/>
      <c r="L673" s="22" t="n"/>
      <c r="M673" s="22" t="n"/>
      <c r="N673" s="22" t="n"/>
      <c r="O673" s="22" t="n"/>
      <c r="P673" s="23" t="n"/>
      <c r="Q673" s="65" t="n"/>
      <c r="R673" s="65" t="n"/>
      <c r="S673" s="55" t="n"/>
      <c r="T673" s="55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</row>
    <row r="674" ht="15.75" customHeight="1" s="211">
      <c r="A674" s="55" t="n"/>
      <c r="B674" s="12" t="n"/>
      <c r="C674" s="55">
        <f>'Sales Candence'!B674</f>
        <v/>
      </c>
      <c r="D674" s="71" t="n"/>
      <c r="E674" s="71" t="n"/>
      <c r="F674" s="22" t="n"/>
      <c r="G674" s="22" t="n"/>
      <c r="H674" s="31" t="n"/>
      <c r="I674" s="23" t="n"/>
      <c r="J674" s="56" t="n"/>
      <c r="K674" s="22" t="n"/>
      <c r="L674" s="22" t="n"/>
      <c r="M674" s="22" t="n"/>
      <c r="N674" s="22" t="n"/>
      <c r="O674" s="22" t="n"/>
      <c r="P674" s="23" t="n"/>
      <c r="Q674" s="65" t="n"/>
      <c r="R674" s="65" t="n"/>
      <c r="S674" s="55" t="n"/>
      <c r="T674" s="55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</row>
    <row r="675" ht="15.75" customHeight="1" s="211">
      <c r="A675" s="55" t="n"/>
      <c r="B675" s="12" t="n"/>
      <c r="C675" s="55">
        <f>'Sales Candence'!B675</f>
        <v/>
      </c>
      <c r="D675" s="71" t="n"/>
      <c r="E675" s="71" t="n"/>
      <c r="F675" s="22" t="n"/>
      <c r="G675" s="22" t="n"/>
      <c r="H675" s="31" t="n"/>
      <c r="I675" s="23" t="n"/>
      <c r="J675" s="56" t="n"/>
      <c r="K675" s="22" t="n"/>
      <c r="L675" s="22" t="n"/>
      <c r="M675" s="22" t="n"/>
      <c r="N675" s="22" t="n"/>
      <c r="O675" s="22" t="n"/>
      <c r="P675" s="23" t="n"/>
      <c r="Q675" s="65" t="n"/>
      <c r="R675" s="65" t="n"/>
      <c r="S675" s="55" t="n"/>
      <c r="T675" s="55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</row>
    <row r="676" ht="15.75" customHeight="1" s="211">
      <c r="A676" s="55" t="n"/>
      <c r="B676" s="12" t="n"/>
      <c r="C676" s="55">
        <f>'Sales Candence'!B676</f>
        <v/>
      </c>
      <c r="D676" s="71" t="n"/>
      <c r="E676" s="71" t="n"/>
      <c r="F676" s="22" t="n"/>
      <c r="G676" s="22" t="n"/>
      <c r="H676" s="31" t="n"/>
      <c r="I676" s="23" t="n"/>
      <c r="J676" s="56" t="n"/>
      <c r="K676" s="22" t="n"/>
      <c r="L676" s="22" t="n"/>
      <c r="M676" s="22" t="n"/>
      <c r="N676" s="22" t="n"/>
      <c r="O676" s="22" t="n"/>
      <c r="P676" s="23" t="n"/>
      <c r="Q676" s="65" t="n"/>
      <c r="R676" s="65" t="n"/>
      <c r="S676" s="55" t="n"/>
      <c r="T676" s="55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</row>
    <row r="677" ht="15.75" customHeight="1" s="211">
      <c r="A677" s="55" t="n"/>
      <c r="B677" s="12" t="n"/>
      <c r="C677" s="55">
        <f>'Sales Candence'!B677</f>
        <v/>
      </c>
      <c r="D677" s="71" t="n"/>
      <c r="E677" s="71" t="n"/>
      <c r="F677" s="22" t="n"/>
      <c r="G677" s="22" t="n"/>
      <c r="H677" s="31" t="n"/>
      <c r="I677" s="23" t="n"/>
      <c r="J677" s="56" t="n"/>
      <c r="K677" s="22" t="n"/>
      <c r="L677" s="22" t="n"/>
      <c r="M677" s="22" t="n"/>
      <c r="N677" s="22" t="n"/>
      <c r="O677" s="22" t="n"/>
      <c r="P677" s="23" t="n"/>
      <c r="Q677" s="65" t="n"/>
      <c r="R677" s="65" t="n"/>
      <c r="S677" s="55" t="n"/>
      <c r="T677" s="55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</row>
    <row r="678" ht="15.75" customHeight="1" s="211">
      <c r="A678" s="55" t="n"/>
      <c r="B678" s="12" t="n"/>
      <c r="C678" s="55">
        <f>'Sales Candence'!B678</f>
        <v/>
      </c>
      <c r="D678" s="71" t="n"/>
      <c r="E678" s="71" t="n"/>
      <c r="F678" s="22" t="n"/>
      <c r="G678" s="22" t="n"/>
      <c r="H678" s="31" t="n"/>
      <c r="I678" s="23" t="n"/>
      <c r="J678" s="56" t="n"/>
      <c r="K678" s="22" t="n"/>
      <c r="L678" s="22" t="n"/>
      <c r="M678" s="22" t="n"/>
      <c r="N678" s="22" t="n"/>
      <c r="O678" s="22" t="n"/>
      <c r="P678" s="23" t="n"/>
      <c r="Q678" s="65" t="n"/>
      <c r="R678" s="65" t="n"/>
      <c r="S678" s="55" t="n"/>
      <c r="T678" s="55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</row>
    <row r="679" ht="15.75" customHeight="1" s="211">
      <c r="A679" s="55" t="n"/>
      <c r="B679" s="12" t="n"/>
      <c r="C679" s="55">
        <f>'Sales Candence'!B679</f>
        <v/>
      </c>
      <c r="D679" s="71" t="n"/>
      <c r="E679" s="71" t="n"/>
      <c r="F679" s="22" t="n"/>
      <c r="G679" s="22" t="n"/>
      <c r="H679" s="31" t="n"/>
      <c r="I679" s="23" t="n"/>
      <c r="J679" s="56" t="n"/>
      <c r="K679" s="22" t="n"/>
      <c r="L679" s="22" t="n"/>
      <c r="M679" s="22" t="n"/>
      <c r="N679" s="22" t="n"/>
      <c r="O679" s="22" t="n"/>
      <c r="P679" s="23" t="n"/>
      <c r="Q679" s="65" t="n"/>
      <c r="R679" s="65" t="n"/>
      <c r="S679" s="55" t="n"/>
      <c r="T679" s="55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</row>
    <row r="680" ht="15.75" customHeight="1" s="211">
      <c r="A680" s="55" t="n"/>
      <c r="B680" s="12" t="n"/>
      <c r="C680" s="55">
        <f>'Sales Candence'!B680</f>
        <v/>
      </c>
      <c r="D680" s="71" t="n"/>
      <c r="E680" s="71" t="n"/>
      <c r="F680" s="22" t="n"/>
      <c r="G680" s="22" t="n"/>
      <c r="H680" s="31" t="n"/>
      <c r="I680" s="23" t="n"/>
      <c r="J680" s="56" t="n"/>
      <c r="K680" s="22" t="n"/>
      <c r="L680" s="22" t="n"/>
      <c r="M680" s="22" t="n"/>
      <c r="N680" s="22" t="n"/>
      <c r="O680" s="22" t="n"/>
      <c r="P680" s="23" t="n"/>
      <c r="Q680" s="65" t="n"/>
      <c r="R680" s="65" t="n"/>
      <c r="S680" s="55" t="n"/>
      <c r="T680" s="55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</row>
    <row r="681" ht="15.75" customHeight="1" s="211">
      <c r="A681" s="55" t="n"/>
      <c r="B681" s="12" t="n"/>
      <c r="C681" s="55">
        <f>'Sales Candence'!B681</f>
        <v/>
      </c>
      <c r="D681" s="71" t="n"/>
      <c r="E681" s="71" t="n"/>
      <c r="F681" s="22" t="n"/>
      <c r="G681" s="22" t="n"/>
      <c r="H681" s="31" t="n"/>
      <c r="I681" s="23" t="n"/>
      <c r="J681" s="56" t="n"/>
      <c r="K681" s="22" t="n"/>
      <c r="L681" s="22" t="n"/>
      <c r="M681" s="22" t="n"/>
      <c r="N681" s="22" t="n"/>
      <c r="O681" s="22" t="n"/>
      <c r="P681" s="23" t="n"/>
      <c r="Q681" s="65" t="n"/>
      <c r="R681" s="65" t="n"/>
      <c r="S681" s="55" t="n"/>
      <c r="T681" s="55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</row>
    <row r="682" ht="15.75" customHeight="1" s="211">
      <c r="A682" s="55" t="n"/>
      <c r="B682" s="12" t="n"/>
      <c r="C682" s="55">
        <f>'Sales Candence'!B682</f>
        <v/>
      </c>
      <c r="D682" s="71" t="n"/>
      <c r="E682" s="71" t="n"/>
      <c r="F682" s="22" t="n"/>
      <c r="G682" s="22" t="n"/>
      <c r="H682" s="31" t="n"/>
      <c r="I682" s="23" t="n"/>
      <c r="J682" s="56" t="n"/>
      <c r="K682" s="22" t="n"/>
      <c r="L682" s="22" t="n"/>
      <c r="M682" s="22" t="n"/>
      <c r="N682" s="22" t="n"/>
      <c r="O682" s="22" t="n"/>
      <c r="P682" s="23" t="n"/>
      <c r="Q682" s="65" t="n"/>
      <c r="R682" s="65" t="n"/>
      <c r="S682" s="55" t="n"/>
      <c r="T682" s="55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</row>
    <row r="683" ht="15.75" customHeight="1" s="211">
      <c r="A683" s="55" t="n"/>
      <c r="B683" s="12" t="n"/>
      <c r="C683" s="55">
        <f>'Sales Candence'!B683</f>
        <v/>
      </c>
      <c r="D683" s="71" t="n"/>
      <c r="E683" s="71" t="n"/>
      <c r="F683" s="22" t="n"/>
      <c r="G683" s="22" t="n"/>
      <c r="H683" s="31" t="n"/>
      <c r="I683" s="23" t="n"/>
      <c r="J683" s="56" t="n"/>
      <c r="K683" s="22" t="n"/>
      <c r="L683" s="22" t="n"/>
      <c r="M683" s="22" t="n"/>
      <c r="N683" s="22" t="n"/>
      <c r="O683" s="22" t="n"/>
      <c r="P683" s="23" t="n"/>
      <c r="Q683" s="65" t="n"/>
      <c r="R683" s="65" t="n"/>
      <c r="S683" s="55" t="n"/>
      <c r="T683" s="55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</row>
    <row r="684" ht="15.75" customHeight="1" s="211">
      <c r="A684" s="55" t="n"/>
      <c r="B684" s="12" t="n"/>
      <c r="C684" s="55">
        <f>'Sales Candence'!B684</f>
        <v/>
      </c>
      <c r="D684" s="71" t="n"/>
      <c r="E684" s="71" t="n"/>
      <c r="F684" s="22" t="n"/>
      <c r="G684" s="22" t="n"/>
      <c r="H684" s="31" t="n"/>
      <c r="I684" s="23" t="n"/>
      <c r="J684" s="56" t="n"/>
      <c r="K684" s="22" t="n"/>
      <c r="L684" s="22" t="n"/>
      <c r="M684" s="22" t="n"/>
      <c r="N684" s="22" t="n"/>
      <c r="O684" s="22" t="n"/>
      <c r="P684" s="23" t="n"/>
      <c r="Q684" s="65" t="n"/>
      <c r="R684" s="65" t="n"/>
      <c r="S684" s="55" t="n"/>
      <c r="T684" s="55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</row>
    <row r="685" ht="15.75" customHeight="1" s="211">
      <c r="A685" s="55" t="n"/>
      <c r="B685" s="12" t="n"/>
      <c r="C685" s="55">
        <f>'Sales Candence'!B685</f>
        <v/>
      </c>
      <c r="D685" s="71" t="n"/>
      <c r="E685" s="71" t="n"/>
      <c r="F685" s="22" t="n"/>
      <c r="G685" s="22" t="n"/>
      <c r="H685" s="31" t="n"/>
      <c r="I685" s="23" t="n"/>
      <c r="J685" s="56" t="n"/>
      <c r="K685" s="22" t="n"/>
      <c r="L685" s="22" t="n"/>
      <c r="M685" s="22" t="n"/>
      <c r="N685" s="22" t="n"/>
      <c r="O685" s="22" t="n"/>
      <c r="P685" s="23" t="n"/>
      <c r="Q685" s="65" t="n"/>
      <c r="R685" s="65" t="n"/>
      <c r="S685" s="55" t="n"/>
      <c r="T685" s="55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</row>
    <row r="686" ht="15.75" customHeight="1" s="211">
      <c r="A686" s="55" t="n"/>
      <c r="B686" s="12" t="n"/>
      <c r="C686" s="55">
        <f>'Sales Candence'!B686</f>
        <v/>
      </c>
      <c r="D686" s="71" t="n"/>
      <c r="E686" s="71" t="n"/>
      <c r="F686" s="22" t="n"/>
      <c r="G686" s="22" t="n"/>
      <c r="H686" s="31" t="n"/>
      <c r="I686" s="23" t="n"/>
      <c r="J686" s="56" t="n"/>
      <c r="K686" s="22" t="n"/>
      <c r="L686" s="22" t="n"/>
      <c r="M686" s="22" t="n"/>
      <c r="N686" s="22" t="n"/>
      <c r="O686" s="22" t="n"/>
      <c r="P686" s="23" t="n"/>
      <c r="Q686" s="65" t="n"/>
      <c r="R686" s="65" t="n"/>
      <c r="S686" s="55" t="n"/>
      <c r="T686" s="55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</row>
    <row r="687" ht="15.75" customHeight="1" s="211">
      <c r="A687" s="55" t="n"/>
      <c r="B687" s="12" t="n"/>
      <c r="C687" s="55">
        <f>'Sales Candence'!B687</f>
        <v/>
      </c>
      <c r="D687" s="71" t="n"/>
      <c r="E687" s="71" t="n"/>
      <c r="F687" s="22" t="n"/>
      <c r="G687" s="22" t="n"/>
      <c r="H687" s="31" t="n"/>
      <c r="I687" s="23" t="n"/>
      <c r="J687" s="56" t="n"/>
      <c r="K687" s="22" t="n"/>
      <c r="L687" s="22" t="n"/>
      <c r="M687" s="22" t="n"/>
      <c r="N687" s="22" t="n"/>
      <c r="O687" s="22" t="n"/>
      <c r="P687" s="23" t="n"/>
      <c r="Q687" s="65" t="n"/>
      <c r="R687" s="65" t="n"/>
      <c r="S687" s="55" t="n"/>
      <c r="T687" s="55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</row>
    <row r="688" ht="15.75" customHeight="1" s="211">
      <c r="A688" s="55" t="n"/>
      <c r="B688" s="12" t="n"/>
      <c r="C688" s="55">
        <f>'Sales Candence'!B688</f>
        <v/>
      </c>
      <c r="D688" s="71" t="n"/>
      <c r="E688" s="71" t="n"/>
      <c r="F688" s="22" t="n"/>
      <c r="G688" s="22" t="n"/>
      <c r="H688" s="31" t="n"/>
      <c r="I688" s="23" t="n"/>
      <c r="J688" s="56" t="n"/>
      <c r="K688" s="22" t="n"/>
      <c r="L688" s="22" t="n"/>
      <c r="M688" s="22" t="n"/>
      <c r="N688" s="22" t="n"/>
      <c r="O688" s="22" t="n"/>
      <c r="P688" s="23" t="n"/>
      <c r="Q688" s="65" t="n"/>
      <c r="R688" s="65" t="n"/>
      <c r="S688" s="55" t="n"/>
      <c r="T688" s="55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</row>
    <row r="689" ht="15.75" customHeight="1" s="211">
      <c r="A689" s="55" t="n"/>
      <c r="B689" s="12" t="n"/>
      <c r="C689" s="55">
        <f>'Sales Candence'!B689</f>
        <v/>
      </c>
      <c r="D689" s="71" t="n"/>
      <c r="E689" s="71" t="n"/>
      <c r="F689" s="22" t="n"/>
      <c r="G689" s="22" t="n"/>
      <c r="H689" s="31" t="n"/>
      <c r="I689" s="23" t="n"/>
      <c r="J689" s="56" t="n"/>
      <c r="K689" s="22" t="n"/>
      <c r="L689" s="22" t="n"/>
      <c r="M689" s="22" t="n"/>
      <c r="N689" s="22" t="n"/>
      <c r="O689" s="22" t="n"/>
      <c r="P689" s="23" t="n"/>
      <c r="Q689" s="65" t="n"/>
      <c r="R689" s="65" t="n"/>
      <c r="S689" s="55" t="n"/>
      <c r="T689" s="55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</row>
    <row r="690" ht="15.75" customHeight="1" s="211">
      <c r="A690" s="55" t="n"/>
      <c r="B690" s="12" t="n"/>
      <c r="C690" s="55">
        <f>'Sales Candence'!B690</f>
        <v/>
      </c>
      <c r="D690" s="71" t="n"/>
      <c r="E690" s="71" t="n"/>
      <c r="F690" s="22" t="n"/>
      <c r="G690" s="22" t="n"/>
      <c r="H690" s="31" t="n"/>
      <c r="I690" s="23" t="n"/>
      <c r="J690" s="56" t="n"/>
      <c r="K690" s="22" t="n"/>
      <c r="L690" s="22" t="n"/>
      <c r="M690" s="22" t="n"/>
      <c r="N690" s="22" t="n"/>
      <c r="O690" s="22" t="n"/>
      <c r="P690" s="23" t="n"/>
      <c r="Q690" s="65" t="n"/>
      <c r="R690" s="65" t="n"/>
      <c r="S690" s="55" t="n"/>
      <c r="T690" s="55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</row>
    <row r="691" ht="15.75" customHeight="1" s="211">
      <c r="A691" s="55" t="n"/>
      <c r="B691" s="12" t="n"/>
      <c r="C691" s="55">
        <f>'Sales Candence'!B691</f>
        <v/>
      </c>
      <c r="D691" s="71" t="n"/>
      <c r="E691" s="71" t="n"/>
      <c r="F691" s="22" t="n"/>
      <c r="G691" s="22" t="n"/>
      <c r="H691" s="31" t="n"/>
      <c r="I691" s="23" t="n"/>
      <c r="J691" s="56" t="n"/>
      <c r="K691" s="22" t="n"/>
      <c r="L691" s="22" t="n"/>
      <c r="M691" s="22" t="n"/>
      <c r="N691" s="22" t="n"/>
      <c r="O691" s="22" t="n"/>
      <c r="P691" s="23" t="n"/>
      <c r="Q691" s="65" t="n"/>
      <c r="R691" s="65" t="n"/>
      <c r="S691" s="55" t="n"/>
      <c r="T691" s="55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</row>
    <row r="692" ht="15.75" customHeight="1" s="211">
      <c r="A692" s="55" t="n"/>
      <c r="B692" s="12" t="n"/>
      <c r="C692" s="55">
        <f>'Sales Candence'!B692</f>
        <v/>
      </c>
      <c r="D692" s="71" t="n"/>
      <c r="E692" s="71" t="n"/>
      <c r="F692" s="22" t="n"/>
      <c r="G692" s="22" t="n"/>
      <c r="H692" s="31" t="n"/>
      <c r="I692" s="23" t="n"/>
      <c r="J692" s="56" t="n"/>
      <c r="K692" s="22" t="n"/>
      <c r="L692" s="22" t="n"/>
      <c r="M692" s="22" t="n"/>
      <c r="N692" s="22" t="n"/>
      <c r="O692" s="22" t="n"/>
      <c r="P692" s="23" t="n"/>
      <c r="Q692" s="65" t="n"/>
      <c r="R692" s="65" t="n"/>
      <c r="S692" s="55" t="n"/>
      <c r="T692" s="55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</row>
    <row r="693" ht="15.75" customHeight="1" s="211">
      <c r="A693" s="55" t="n"/>
      <c r="B693" s="12" t="n"/>
      <c r="C693" s="55">
        <f>'Sales Candence'!B693</f>
        <v/>
      </c>
      <c r="D693" s="71" t="n"/>
      <c r="E693" s="71" t="n"/>
      <c r="F693" s="22" t="n"/>
      <c r="G693" s="22" t="n"/>
      <c r="H693" s="31" t="n"/>
      <c r="I693" s="23" t="n"/>
      <c r="J693" s="56" t="n"/>
      <c r="K693" s="22" t="n"/>
      <c r="L693" s="22" t="n"/>
      <c r="M693" s="22" t="n"/>
      <c r="N693" s="22" t="n"/>
      <c r="O693" s="22" t="n"/>
      <c r="P693" s="23" t="n"/>
      <c r="Q693" s="65" t="n"/>
      <c r="R693" s="65" t="n"/>
      <c r="S693" s="55" t="n"/>
      <c r="T693" s="55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</row>
    <row r="694" ht="15.75" customHeight="1" s="211">
      <c r="A694" s="55" t="n"/>
      <c r="B694" s="12" t="n"/>
      <c r="C694" s="55">
        <f>'Sales Candence'!B694</f>
        <v/>
      </c>
      <c r="D694" s="71" t="n"/>
      <c r="E694" s="71" t="n"/>
      <c r="F694" s="22" t="n"/>
      <c r="G694" s="22" t="n"/>
      <c r="H694" s="31" t="n"/>
      <c r="I694" s="23" t="n"/>
      <c r="J694" s="56" t="n"/>
      <c r="K694" s="22" t="n"/>
      <c r="L694" s="22" t="n"/>
      <c r="M694" s="22" t="n"/>
      <c r="N694" s="22" t="n"/>
      <c r="O694" s="22" t="n"/>
      <c r="P694" s="23" t="n"/>
      <c r="Q694" s="65" t="n"/>
      <c r="R694" s="65" t="n"/>
      <c r="S694" s="55" t="n"/>
      <c r="T694" s="55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</row>
    <row r="695" ht="15.75" customHeight="1" s="211">
      <c r="A695" s="55" t="n"/>
      <c r="B695" s="12" t="n"/>
      <c r="C695" s="55">
        <f>'Sales Candence'!B695</f>
        <v/>
      </c>
      <c r="D695" s="71" t="n"/>
      <c r="E695" s="71" t="n"/>
      <c r="F695" s="22" t="n"/>
      <c r="G695" s="22" t="n"/>
      <c r="H695" s="31" t="n"/>
      <c r="I695" s="23" t="n"/>
      <c r="J695" s="56" t="n"/>
      <c r="K695" s="22" t="n"/>
      <c r="L695" s="22" t="n"/>
      <c r="M695" s="22" t="n"/>
      <c r="N695" s="22" t="n"/>
      <c r="O695" s="22" t="n"/>
      <c r="P695" s="23" t="n"/>
      <c r="Q695" s="65" t="n"/>
      <c r="R695" s="65" t="n"/>
      <c r="S695" s="55" t="n"/>
      <c r="T695" s="55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</row>
    <row r="696" ht="15.75" customHeight="1" s="211">
      <c r="A696" s="55" t="n"/>
      <c r="B696" s="12" t="n"/>
      <c r="C696" s="55">
        <f>'Sales Candence'!B696</f>
        <v/>
      </c>
      <c r="D696" s="71" t="n"/>
      <c r="E696" s="71" t="n"/>
      <c r="F696" s="22" t="n"/>
      <c r="G696" s="22" t="n"/>
      <c r="H696" s="31" t="n"/>
      <c r="I696" s="23" t="n"/>
      <c r="J696" s="56" t="n"/>
      <c r="K696" s="22" t="n"/>
      <c r="L696" s="22" t="n"/>
      <c r="M696" s="22" t="n"/>
      <c r="N696" s="22" t="n"/>
      <c r="O696" s="22" t="n"/>
      <c r="P696" s="23" t="n"/>
      <c r="Q696" s="65" t="n"/>
      <c r="R696" s="65" t="n"/>
      <c r="S696" s="55" t="n"/>
      <c r="T696" s="55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</row>
    <row r="697" ht="15.75" customHeight="1" s="211">
      <c r="A697" s="55" t="n"/>
      <c r="B697" s="12" t="n"/>
      <c r="C697" s="55">
        <f>'Sales Candence'!B697</f>
        <v/>
      </c>
      <c r="D697" s="71" t="n"/>
      <c r="E697" s="71" t="n"/>
      <c r="F697" s="22" t="n"/>
      <c r="G697" s="22" t="n"/>
      <c r="H697" s="31" t="n"/>
      <c r="I697" s="23" t="n"/>
      <c r="J697" s="56" t="n"/>
      <c r="K697" s="22" t="n"/>
      <c r="L697" s="22" t="n"/>
      <c r="M697" s="22" t="n"/>
      <c r="N697" s="22" t="n"/>
      <c r="O697" s="22" t="n"/>
      <c r="P697" s="23" t="n"/>
      <c r="Q697" s="65" t="n"/>
      <c r="R697" s="65" t="n"/>
      <c r="S697" s="55" t="n"/>
      <c r="T697" s="55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</row>
    <row r="698" ht="15.75" customHeight="1" s="211">
      <c r="A698" s="55" t="n"/>
      <c r="B698" s="12" t="n"/>
      <c r="C698" s="55">
        <f>'Sales Candence'!B698</f>
        <v/>
      </c>
      <c r="D698" s="71" t="n"/>
      <c r="E698" s="71" t="n"/>
      <c r="F698" s="22" t="n"/>
      <c r="G698" s="22" t="n"/>
      <c r="H698" s="31" t="n"/>
      <c r="I698" s="23" t="n"/>
      <c r="J698" s="56" t="n"/>
      <c r="K698" s="22" t="n"/>
      <c r="L698" s="22" t="n"/>
      <c r="M698" s="22" t="n"/>
      <c r="N698" s="22" t="n"/>
      <c r="O698" s="22" t="n"/>
      <c r="P698" s="23" t="n"/>
      <c r="Q698" s="65" t="n"/>
      <c r="R698" s="65" t="n"/>
      <c r="S698" s="55" t="n"/>
      <c r="T698" s="55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</row>
    <row r="699" ht="15.75" customHeight="1" s="211">
      <c r="A699" s="55" t="n"/>
      <c r="B699" s="12" t="n"/>
      <c r="C699" s="55">
        <f>'Sales Candence'!B699</f>
        <v/>
      </c>
      <c r="D699" s="71" t="n"/>
      <c r="E699" s="71" t="n"/>
      <c r="F699" s="22" t="n"/>
      <c r="G699" s="22" t="n"/>
      <c r="H699" s="31" t="n"/>
      <c r="I699" s="23" t="n"/>
      <c r="J699" s="56" t="n"/>
      <c r="K699" s="22" t="n"/>
      <c r="L699" s="22" t="n"/>
      <c r="M699" s="22" t="n"/>
      <c r="N699" s="22" t="n"/>
      <c r="O699" s="22" t="n"/>
      <c r="P699" s="23" t="n"/>
      <c r="Q699" s="65" t="n"/>
      <c r="R699" s="65" t="n"/>
      <c r="S699" s="55" t="n"/>
      <c r="T699" s="55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</row>
    <row r="700" ht="15.75" customHeight="1" s="211">
      <c r="A700" s="55" t="n"/>
      <c r="B700" s="12" t="n"/>
      <c r="C700" s="55">
        <f>'Sales Candence'!B700</f>
        <v/>
      </c>
      <c r="D700" s="71" t="n"/>
      <c r="E700" s="71" t="n"/>
      <c r="F700" s="22" t="n"/>
      <c r="G700" s="22" t="n"/>
      <c r="H700" s="31" t="n"/>
      <c r="I700" s="23" t="n"/>
      <c r="J700" s="56" t="n"/>
      <c r="K700" s="22" t="n"/>
      <c r="L700" s="22" t="n"/>
      <c r="M700" s="22" t="n"/>
      <c r="N700" s="22" t="n"/>
      <c r="O700" s="22" t="n"/>
      <c r="P700" s="23" t="n"/>
      <c r="Q700" s="65" t="n"/>
      <c r="R700" s="65" t="n"/>
      <c r="S700" s="55" t="n"/>
      <c r="T700" s="55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</row>
    <row r="701" ht="15.75" customHeight="1" s="211">
      <c r="A701" s="55" t="n"/>
      <c r="B701" s="12" t="n"/>
      <c r="C701" s="55">
        <f>'Sales Candence'!B701</f>
        <v/>
      </c>
      <c r="D701" s="71" t="n"/>
      <c r="E701" s="71" t="n"/>
      <c r="F701" s="22" t="n"/>
      <c r="G701" s="22" t="n"/>
      <c r="H701" s="31" t="n"/>
      <c r="I701" s="23" t="n"/>
      <c r="J701" s="56" t="n"/>
      <c r="K701" s="22" t="n"/>
      <c r="L701" s="22" t="n"/>
      <c r="M701" s="22" t="n"/>
      <c r="N701" s="22" t="n"/>
      <c r="O701" s="22" t="n"/>
      <c r="P701" s="23" t="n"/>
      <c r="Q701" s="65" t="n"/>
      <c r="R701" s="65" t="n"/>
      <c r="S701" s="55" t="n"/>
      <c r="T701" s="55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</row>
    <row r="702" ht="15.75" customHeight="1" s="211">
      <c r="A702" s="55" t="n"/>
      <c r="B702" s="12" t="n"/>
      <c r="C702" s="55">
        <f>'Sales Candence'!B702</f>
        <v/>
      </c>
      <c r="D702" s="71" t="n"/>
      <c r="E702" s="71" t="n"/>
      <c r="F702" s="22" t="n"/>
      <c r="G702" s="22" t="n"/>
      <c r="H702" s="31" t="n"/>
      <c r="I702" s="23" t="n"/>
      <c r="J702" s="56" t="n"/>
      <c r="K702" s="22" t="n"/>
      <c r="L702" s="22" t="n"/>
      <c r="M702" s="22" t="n"/>
      <c r="N702" s="22" t="n"/>
      <c r="O702" s="22" t="n"/>
      <c r="P702" s="23" t="n"/>
      <c r="Q702" s="65" t="n"/>
      <c r="R702" s="65" t="n"/>
      <c r="S702" s="55" t="n"/>
      <c r="T702" s="55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</row>
    <row r="703" ht="15.75" customHeight="1" s="211">
      <c r="A703" s="55" t="n"/>
      <c r="B703" s="12" t="n"/>
      <c r="C703" s="55">
        <f>'Sales Candence'!B703</f>
        <v/>
      </c>
      <c r="D703" s="71" t="n"/>
      <c r="E703" s="71" t="n"/>
      <c r="F703" s="22" t="n"/>
      <c r="G703" s="22" t="n"/>
      <c r="H703" s="31" t="n"/>
      <c r="I703" s="23" t="n"/>
      <c r="J703" s="56" t="n"/>
      <c r="K703" s="22" t="n"/>
      <c r="L703" s="22" t="n"/>
      <c r="M703" s="22" t="n"/>
      <c r="N703" s="22" t="n"/>
      <c r="O703" s="22" t="n"/>
      <c r="P703" s="23" t="n"/>
      <c r="Q703" s="65" t="n"/>
      <c r="R703" s="65" t="n"/>
      <c r="S703" s="55" t="n"/>
      <c r="T703" s="55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</row>
    <row r="704" ht="15.75" customHeight="1" s="211">
      <c r="A704" s="55" t="n"/>
      <c r="B704" s="12" t="n"/>
      <c r="C704" s="55">
        <f>'Sales Candence'!B704</f>
        <v/>
      </c>
      <c r="D704" s="71" t="n"/>
      <c r="E704" s="71" t="n"/>
      <c r="F704" s="22" t="n"/>
      <c r="G704" s="22" t="n"/>
      <c r="H704" s="31" t="n"/>
      <c r="I704" s="23" t="n"/>
      <c r="J704" s="56" t="n"/>
      <c r="K704" s="22" t="n"/>
      <c r="L704" s="22" t="n"/>
      <c r="M704" s="22" t="n"/>
      <c r="N704" s="22" t="n"/>
      <c r="O704" s="22" t="n"/>
      <c r="P704" s="23" t="n"/>
      <c r="Q704" s="65" t="n"/>
      <c r="R704" s="65" t="n"/>
      <c r="S704" s="55" t="n"/>
      <c r="T704" s="55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</row>
    <row r="705" ht="15.75" customHeight="1" s="211">
      <c r="A705" s="55" t="n"/>
      <c r="B705" s="12" t="n"/>
      <c r="C705" s="55">
        <f>'Sales Candence'!B705</f>
        <v/>
      </c>
      <c r="D705" s="71" t="n"/>
      <c r="E705" s="71" t="n"/>
      <c r="F705" s="22" t="n"/>
      <c r="G705" s="22" t="n"/>
      <c r="H705" s="31" t="n"/>
      <c r="I705" s="23" t="n"/>
      <c r="J705" s="56" t="n"/>
      <c r="K705" s="22" t="n"/>
      <c r="L705" s="22" t="n"/>
      <c r="M705" s="22" t="n"/>
      <c r="N705" s="22" t="n"/>
      <c r="O705" s="22" t="n"/>
      <c r="P705" s="23" t="n"/>
      <c r="Q705" s="65" t="n"/>
      <c r="R705" s="65" t="n"/>
      <c r="S705" s="55" t="n"/>
      <c r="T705" s="55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</row>
    <row r="706" ht="15.75" customHeight="1" s="211">
      <c r="A706" s="55" t="n"/>
      <c r="B706" s="12" t="n"/>
      <c r="C706" s="55">
        <f>'Sales Candence'!B706</f>
        <v/>
      </c>
      <c r="D706" s="71" t="n"/>
      <c r="E706" s="71" t="n"/>
      <c r="F706" s="22" t="n"/>
      <c r="G706" s="22" t="n"/>
      <c r="H706" s="31" t="n"/>
      <c r="I706" s="23" t="n"/>
      <c r="J706" s="56" t="n"/>
      <c r="K706" s="22" t="n"/>
      <c r="L706" s="22" t="n"/>
      <c r="M706" s="22" t="n"/>
      <c r="N706" s="22" t="n"/>
      <c r="O706" s="22" t="n"/>
      <c r="P706" s="23" t="n"/>
      <c r="Q706" s="65" t="n"/>
      <c r="R706" s="65" t="n"/>
      <c r="S706" s="55" t="n"/>
      <c r="T706" s="55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</row>
    <row r="707" ht="15.75" customHeight="1" s="211">
      <c r="A707" s="55" t="n"/>
      <c r="B707" s="12" t="n"/>
      <c r="C707" s="55">
        <f>'Sales Candence'!B707</f>
        <v/>
      </c>
      <c r="D707" s="71" t="n"/>
      <c r="E707" s="71" t="n"/>
      <c r="F707" s="22" t="n"/>
      <c r="G707" s="22" t="n"/>
      <c r="H707" s="31" t="n"/>
      <c r="I707" s="23" t="n"/>
      <c r="J707" s="56" t="n"/>
      <c r="K707" s="22" t="n"/>
      <c r="L707" s="22" t="n"/>
      <c r="M707" s="22" t="n"/>
      <c r="N707" s="22" t="n"/>
      <c r="O707" s="22" t="n"/>
      <c r="P707" s="23" t="n"/>
      <c r="Q707" s="65" t="n"/>
      <c r="R707" s="65" t="n"/>
      <c r="S707" s="55" t="n"/>
      <c r="T707" s="55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</row>
    <row r="708" ht="15.75" customHeight="1" s="211">
      <c r="A708" s="55" t="n"/>
      <c r="B708" s="12" t="n"/>
      <c r="C708" s="55">
        <f>'Sales Candence'!B708</f>
        <v/>
      </c>
      <c r="D708" s="71" t="n"/>
      <c r="E708" s="71" t="n"/>
      <c r="F708" s="22" t="n"/>
      <c r="G708" s="22" t="n"/>
      <c r="H708" s="31" t="n"/>
      <c r="I708" s="23" t="n"/>
      <c r="J708" s="56" t="n"/>
      <c r="K708" s="22" t="n"/>
      <c r="L708" s="22" t="n"/>
      <c r="M708" s="22" t="n"/>
      <c r="N708" s="22" t="n"/>
      <c r="O708" s="22" t="n"/>
      <c r="P708" s="23" t="n"/>
      <c r="Q708" s="65" t="n"/>
      <c r="R708" s="65" t="n"/>
      <c r="S708" s="55" t="n"/>
      <c r="T708" s="55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</row>
    <row r="709" ht="15.75" customHeight="1" s="211">
      <c r="A709" s="55" t="n"/>
      <c r="B709" s="12" t="n"/>
      <c r="C709" s="55">
        <f>'Sales Candence'!B709</f>
        <v/>
      </c>
      <c r="D709" s="71" t="n"/>
      <c r="E709" s="71" t="n"/>
      <c r="F709" s="22" t="n"/>
      <c r="G709" s="22" t="n"/>
      <c r="H709" s="31" t="n"/>
      <c r="I709" s="23" t="n"/>
      <c r="J709" s="56" t="n"/>
      <c r="K709" s="22" t="n"/>
      <c r="L709" s="22" t="n"/>
      <c r="M709" s="22" t="n"/>
      <c r="N709" s="22" t="n"/>
      <c r="O709" s="22" t="n"/>
      <c r="P709" s="23" t="n"/>
      <c r="Q709" s="65" t="n"/>
      <c r="R709" s="65" t="n"/>
      <c r="S709" s="55" t="n"/>
      <c r="T709" s="55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</row>
    <row r="710" ht="15.75" customHeight="1" s="211">
      <c r="A710" s="55" t="n"/>
      <c r="B710" s="12" t="n"/>
      <c r="C710" s="55">
        <f>'Sales Candence'!B710</f>
        <v/>
      </c>
      <c r="D710" s="71" t="n"/>
      <c r="E710" s="71" t="n"/>
      <c r="F710" s="22" t="n"/>
      <c r="G710" s="22" t="n"/>
      <c r="H710" s="31" t="n"/>
      <c r="I710" s="23" t="n"/>
      <c r="J710" s="56" t="n"/>
      <c r="K710" s="22" t="n"/>
      <c r="L710" s="22" t="n"/>
      <c r="M710" s="22" t="n"/>
      <c r="N710" s="22" t="n"/>
      <c r="O710" s="22" t="n"/>
      <c r="P710" s="23" t="n"/>
      <c r="Q710" s="65" t="n"/>
      <c r="R710" s="65" t="n"/>
      <c r="S710" s="55" t="n"/>
      <c r="T710" s="55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</row>
    <row r="711" ht="15.75" customHeight="1" s="211">
      <c r="A711" s="55" t="n"/>
      <c r="B711" s="12" t="n"/>
      <c r="C711" s="55">
        <f>'Sales Candence'!B711</f>
        <v/>
      </c>
      <c r="D711" s="71" t="n"/>
      <c r="E711" s="71" t="n"/>
      <c r="F711" s="22" t="n"/>
      <c r="G711" s="22" t="n"/>
      <c r="H711" s="31" t="n"/>
      <c r="I711" s="23" t="n"/>
      <c r="J711" s="56" t="n"/>
      <c r="K711" s="22" t="n"/>
      <c r="L711" s="22" t="n"/>
      <c r="M711" s="22" t="n"/>
      <c r="N711" s="22" t="n"/>
      <c r="O711" s="22" t="n"/>
      <c r="P711" s="23" t="n"/>
      <c r="Q711" s="65" t="n"/>
      <c r="R711" s="65" t="n"/>
      <c r="S711" s="55" t="n"/>
      <c r="T711" s="55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</row>
    <row r="712" ht="15.75" customHeight="1" s="211">
      <c r="A712" s="55" t="n"/>
      <c r="B712" s="12" t="n"/>
      <c r="C712" s="55">
        <f>'Sales Candence'!B712</f>
        <v/>
      </c>
      <c r="D712" s="71" t="n"/>
      <c r="E712" s="71" t="n"/>
      <c r="F712" s="22" t="n"/>
      <c r="G712" s="22" t="n"/>
      <c r="H712" s="31" t="n"/>
      <c r="I712" s="23" t="n"/>
      <c r="J712" s="56" t="n"/>
      <c r="K712" s="22" t="n"/>
      <c r="L712" s="22" t="n"/>
      <c r="M712" s="22" t="n"/>
      <c r="N712" s="22" t="n"/>
      <c r="O712" s="22" t="n"/>
      <c r="P712" s="23" t="n"/>
      <c r="Q712" s="65" t="n"/>
      <c r="R712" s="65" t="n"/>
      <c r="S712" s="55" t="n"/>
      <c r="T712" s="55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</row>
    <row r="713" ht="15.75" customHeight="1" s="211">
      <c r="A713" s="55" t="n"/>
      <c r="B713" s="12" t="n"/>
      <c r="C713" s="55">
        <f>'Sales Candence'!B713</f>
        <v/>
      </c>
      <c r="D713" s="71" t="n"/>
      <c r="E713" s="71" t="n"/>
      <c r="F713" s="22" t="n"/>
      <c r="G713" s="22" t="n"/>
      <c r="H713" s="31" t="n"/>
      <c r="I713" s="23" t="n"/>
      <c r="J713" s="56" t="n"/>
      <c r="K713" s="22" t="n"/>
      <c r="L713" s="22" t="n"/>
      <c r="M713" s="22" t="n"/>
      <c r="N713" s="22" t="n"/>
      <c r="O713" s="22" t="n"/>
      <c r="P713" s="23" t="n"/>
      <c r="Q713" s="65" t="n"/>
      <c r="R713" s="65" t="n"/>
      <c r="S713" s="55" t="n"/>
      <c r="T713" s="55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</row>
    <row r="714" ht="15.75" customHeight="1" s="211">
      <c r="A714" s="55" t="n"/>
      <c r="B714" s="12" t="n"/>
      <c r="C714" s="55">
        <f>'Sales Candence'!B714</f>
        <v/>
      </c>
      <c r="D714" s="71" t="n"/>
      <c r="E714" s="71" t="n"/>
      <c r="F714" s="22" t="n"/>
      <c r="G714" s="22" t="n"/>
      <c r="H714" s="31" t="n"/>
      <c r="I714" s="23" t="n"/>
      <c r="J714" s="56" t="n"/>
      <c r="K714" s="22" t="n"/>
      <c r="L714" s="22" t="n"/>
      <c r="M714" s="22" t="n"/>
      <c r="N714" s="22" t="n"/>
      <c r="O714" s="22" t="n"/>
      <c r="P714" s="23" t="n"/>
      <c r="Q714" s="65" t="n"/>
      <c r="R714" s="65" t="n"/>
      <c r="S714" s="55" t="n"/>
      <c r="T714" s="55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</row>
    <row r="715" ht="15.75" customHeight="1" s="211">
      <c r="A715" s="55" t="n"/>
      <c r="B715" s="12" t="n"/>
      <c r="C715" s="55">
        <f>'Sales Candence'!B715</f>
        <v/>
      </c>
      <c r="D715" s="71" t="n"/>
      <c r="E715" s="71" t="n"/>
      <c r="F715" s="22" t="n"/>
      <c r="G715" s="22" t="n"/>
      <c r="H715" s="31" t="n"/>
      <c r="I715" s="23" t="n"/>
      <c r="J715" s="56" t="n"/>
      <c r="K715" s="22" t="n"/>
      <c r="L715" s="22" t="n"/>
      <c r="M715" s="22" t="n"/>
      <c r="N715" s="22" t="n"/>
      <c r="O715" s="22" t="n"/>
      <c r="P715" s="23" t="n"/>
      <c r="Q715" s="65" t="n"/>
      <c r="R715" s="65" t="n"/>
      <c r="S715" s="55" t="n"/>
      <c r="T715" s="55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</row>
    <row r="716" ht="15.75" customHeight="1" s="211">
      <c r="A716" s="55" t="n"/>
      <c r="B716" s="12" t="n"/>
      <c r="C716" s="55">
        <f>'Sales Candence'!B716</f>
        <v/>
      </c>
      <c r="D716" s="71" t="n"/>
      <c r="E716" s="71" t="n"/>
      <c r="F716" s="22" t="n"/>
      <c r="G716" s="22" t="n"/>
      <c r="H716" s="31" t="n"/>
      <c r="I716" s="23" t="n"/>
      <c r="J716" s="56" t="n"/>
      <c r="K716" s="22" t="n"/>
      <c r="L716" s="22" t="n"/>
      <c r="M716" s="22" t="n"/>
      <c r="N716" s="22" t="n"/>
      <c r="O716" s="22" t="n"/>
      <c r="P716" s="23" t="n"/>
      <c r="Q716" s="65" t="n"/>
      <c r="R716" s="65" t="n"/>
      <c r="S716" s="55" t="n"/>
      <c r="T716" s="55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</row>
    <row r="717" ht="15.75" customHeight="1" s="211">
      <c r="A717" s="55" t="n"/>
      <c r="B717" s="12" t="n"/>
      <c r="C717" s="55">
        <f>'Sales Candence'!B717</f>
        <v/>
      </c>
      <c r="D717" s="71" t="n"/>
      <c r="E717" s="71" t="n"/>
      <c r="F717" s="22" t="n"/>
      <c r="G717" s="22" t="n"/>
      <c r="H717" s="31" t="n"/>
      <c r="I717" s="23" t="n"/>
      <c r="J717" s="56" t="n"/>
      <c r="K717" s="22" t="n"/>
      <c r="L717" s="22" t="n"/>
      <c r="M717" s="22" t="n"/>
      <c r="N717" s="22" t="n"/>
      <c r="O717" s="22" t="n"/>
      <c r="P717" s="23" t="n"/>
      <c r="Q717" s="65" t="n"/>
      <c r="R717" s="65" t="n"/>
      <c r="S717" s="55" t="n"/>
      <c r="T717" s="55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</row>
    <row r="718" ht="15.75" customHeight="1" s="211">
      <c r="A718" s="55" t="n"/>
      <c r="B718" s="12" t="n"/>
      <c r="C718" s="55">
        <f>'Sales Candence'!B718</f>
        <v/>
      </c>
      <c r="D718" s="71" t="n"/>
      <c r="E718" s="71" t="n"/>
      <c r="F718" s="22" t="n"/>
      <c r="G718" s="22" t="n"/>
      <c r="H718" s="31" t="n"/>
      <c r="I718" s="23" t="n"/>
      <c r="J718" s="56" t="n"/>
      <c r="K718" s="22" t="n"/>
      <c r="L718" s="22" t="n"/>
      <c r="M718" s="22" t="n"/>
      <c r="N718" s="22" t="n"/>
      <c r="O718" s="22" t="n"/>
      <c r="P718" s="23" t="n"/>
      <c r="Q718" s="65" t="n"/>
      <c r="R718" s="65" t="n"/>
      <c r="S718" s="55" t="n"/>
      <c r="T718" s="55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</row>
    <row r="719" ht="15.75" customHeight="1" s="211">
      <c r="A719" s="55" t="n"/>
      <c r="B719" s="12" t="n"/>
      <c r="C719" s="55">
        <f>'Sales Candence'!B719</f>
        <v/>
      </c>
      <c r="D719" s="71" t="n"/>
      <c r="E719" s="71" t="n"/>
      <c r="F719" s="22" t="n"/>
      <c r="G719" s="22" t="n"/>
      <c r="H719" s="31" t="n"/>
      <c r="I719" s="23" t="n"/>
      <c r="J719" s="56" t="n"/>
      <c r="K719" s="22" t="n"/>
      <c r="L719" s="22" t="n"/>
      <c r="M719" s="22" t="n"/>
      <c r="N719" s="22" t="n"/>
      <c r="O719" s="22" t="n"/>
      <c r="P719" s="23" t="n"/>
      <c r="Q719" s="65" t="n"/>
      <c r="R719" s="65" t="n"/>
      <c r="S719" s="55" t="n"/>
      <c r="T719" s="55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</row>
    <row r="720" ht="15.75" customHeight="1" s="211">
      <c r="A720" s="55" t="n"/>
      <c r="B720" s="12" t="n"/>
      <c r="C720" s="55">
        <f>'Sales Candence'!B720</f>
        <v/>
      </c>
      <c r="D720" s="71" t="n"/>
      <c r="E720" s="71" t="n"/>
      <c r="F720" s="22" t="n"/>
      <c r="G720" s="22" t="n"/>
      <c r="H720" s="31" t="n"/>
      <c r="I720" s="23" t="n"/>
      <c r="J720" s="56" t="n"/>
      <c r="K720" s="22" t="n"/>
      <c r="L720" s="22" t="n"/>
      <c r="M720" s="22" t="n"/>
      <c r="N720" s="22" t="n"/>
      <c r="O720" s="22" t="n"/>
      <c r="P720" s="23" t="n"/>
      <c r="Q720" s="65" t="n"/>
      <c r="R720" s="65" t="n"/>
      <c r="S720" s="55" t="n"/>
      <c r="T720" s="55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</row>
    <row r="721" ht="15.75" customHeight="1" s="211">
      <c r="A721" s="55" t="n"/>
      <c r="B721" s="12" t="n"/>
      <c r="C721" s="55">
        <f>'Sales Candence'!B721</f>
        <v/>
      </c>
      <c r="D721" s="71" t="n"/>
      <c r="E721" s="71" t="n"/>
      <c r="F721" s="22" t="n"/>
      <c r="G721" s="22" t="n"/>
      <c r="H721" s="31" t="n"/>
      <c r="I721" s="23" t="n"/>
      <c r="J721" s="56" t="n"/>
      <c r="K721" s="22" t="n"/>
      <c r="L721" s="22" t="n"/>
      <c r="M721" s="22" t="n"/>
      <c r="N721" s="22" t="n"/>
      <c r="O721" s="22" t="n"/>
      <c r="P721" s="23" t="n"/>
      <c r="Q721" s="65" t="n"/>
      <c r="R721" s="65" t="n"/>
      <c r="S721" s="55" t="n"/>
      <c r="T721" s="55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</row>
    <row r="722" ht="15.75" customHeight="1" s="211">
      <c r="A722" s="55" t="n"/>
      <c r="B722" s="12" t="n"/>
      <c r="C722" s="55">
        <f>'Sales Candence'!B722</f>
        <v/>
      </c>
      <c r="D722" s="71" t="n"/>
      <c r="E722" s="71" t="n"/>
      <c r="F722" s="22" t="n"/>
      <c r="G722" s="22" t="n"/>
      <c r="H722" s="31" t="n"/>
      <c r="I722" s="23" t="n"/>
      <c r="J722" s="56" t="n"/>
      <c r="K722" s="22" t="n"/>
      <c r="L722" s="22" t="n"/>
      <c r="M722" s="22" t="n"/>
      <c r="N722" s="22" t="n"/>
      <c r="O722" s="22" t="n"/>
      <c r="P722" s="23" t="n"/>
      <c r="Q722" s="65" t="n"/>
      <c r="R722" s="65" t="n"/>
      <c r="S722" s="55" t="n"/>
      <c r="T722" s="55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</row>
    <row r="723" ht="15.75" customHeight="1" s="211">
      <c r="A723" s="55" t="n"/>
      <c r="B723" s="12" t="n"/>
      <c r="C723" s="55">
        <f>'Sales Candence'!B723</f>
        <v/>
      </c>
      <c r="D723" s="71" t="n"/>
      <c r="E723" s="71" t="n"/>
      <c r="F723" s="22" t="n"/>
      <c r="G723" s="22" t="n"/>
      <c r="H723" s="31" t="n"/>
      <c r="I723" s="23" t="n"/>
      <c r="J723" s="56" t="n"/>
      <c r="K723" s="22" t="n"/>
      <c r="L723" s="22" t="n"/>
      <c r="M723" s="22" t="n"/>
      <c r="N723" s="22" t="n"/>
      <c r="O723" s="22" t="n"/>
      <c r="P723" s="23" t="n"/>
      <c r="Q723" s="65" t="n"/>
      <c r="R723" s="65" t="n"/>
      <c r="S723" s="55" t="n"/>
      <c r="T723" s="55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</row>
    <row r="724" ht="15.75" customHeight="1" s="211">
      <c r="A724" s="55" t="n"/>
      <c r="B724" s="12" t="n"/>
      <c r="C724" s="55">
        <f>'Sales Candence'!B724</f>
        <v/>
      </c>
      <c r="D724" s="71" t="n"/>
      <c r="E724" s="71" t="n"/>
      <c r="F724" s="22" t="n"/>
      <c r="G724" s="22" t="n"/>
      <c r="H724" s="31" t="n"/>
      <c r="I724" s="23" t="n"/>
      <c r="J724" s="56" t="n"/>
      <c r="K724" s="22" t="n"/>
      <c r="L724" s="22" t="n"/>
      <c r="M724" s="22" t="n"/>
      <c r="N724" s="22" t="n"/>
      <c r="O724" s="22" t="n"/>
      <c r="P724" s="23" t="n"/>
      <c r="Q724" s="65" t="n"/>
      <c r="R724" s="65" t="n"/>
      <c r="S724" s="55" t="n"/>
      <c r="T724" s="55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</row>
    <row r="725" ht="15.75" customHeight="1" s="211">
      <c r="A725" s="55" t="n"/>
      <c r="B725" s="12" t="n"/>
      <c r="C725" s="55">
        <f>'Sales Candence'!B725</f>
        <v/>
      </c>
      <c r="D725" s="71" t="n"/>
      <c r="E725" s="71" t="n"/>
      <c r="F725" s="22" t="n"/>
      <c r="G725" s="22" t="n"/>
      <c r="H725" s="31" t="n"/>
      <c r="I725" s="23" t="n"/>
      <c r="J725" s="56" t="n"/>
      <c r="K725" s="22" t="n"/>
      <c r="L725" s="22" t="n"/>
      <c r="M725" s="22" t="n"/>
      <c r="N725" s="22" t="n"/>
      <c r="O725" s="22" t="n"/>
      <c r="P725" s="23" t="n"/>
      <c r="Q725" s="65" t="n"/>
      <c r="R725" s="65" t="n"/>
      <c r="S725" s="55" t="n"/>
      <c r="T725" s="55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</row>
    <row r="726" ht="15.75" customHeight="1" s="211">
      <c r="A726" s="55" t="n"/>
      <c r="B726" s="12" t="n"/>
      <c r="C726" s="55">
        <f>'Sales Candence'!B726</f>
        <v/>
      </c>
      <c r="D726" s="71" t="n"/>
      <c r="E726" s="71" t="n"/>
      <c r="F726" s="22" t="n"/>
      <c r="G726" s="22" t="n"/>
      <c r="H726" s="31" t="n"/>
      <c r="I726" s="23" t="n"/>
      <c r="J726" s="56" t="n"/>
      <c r="K726" s="22" t="n"/>
      <c r="L726" s="22" t="n"/>
      <c r="M726" s="22" t="n"/>
      <c r="N726" s="22" t="n"/>
      <c r="O726" s="22" t="n"/>
      <c r="P726" s="23" t="n"/>
      <c r="Q726" s="65" t="n"/>
      <c r="R726" s="65" t="n"/>
      <c r="S726" s="55" t="n"/>
      <c r="T726" s="55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</row>
    <row r="727" ht="15.75" customHeight="1" s="211">
      <c r="A727" s="55" t="n"/>
      <c r="B727" s="12" t="n"/>
      <c r="C727" s="55">
        <f>'Sales Candence'!B727</f>
        <v/>
      </c>
      <c r="D727" s="71" t="n"/>
      <c r="E727" s="71" t="n"/>
      <c r="F727" s="22" t="n"/>
      <c r="G727" s="22" t="n"/>
      <c r="H727" s="31" t="n"/>
      <c r="I727" s="23" t="n"/>
      <c r="J727" s="56" t="n"/>
      <c r="K727" s="22" t="n"/>
      <c r="L727" s="22" t="n"/>
      <c r="M727" s="22" t="n"/>
      <c r="N727" s="22" t="n"/>
      <c r="O727" s="22" t="n"/>
      <c r="P727" s="23" t="n"/>
      <c r="Q727" s="65" t="n"/>
      <c r="R727" s="65" t="n"/>
      <c r="S727" s="55" t="n"/>
      <c r="T727" s="55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</row>
    <row r="728" ht="15.75" customHeight="1" s="211">
      <c r="A728" s="55" t="n"/>
      <c r="B728" s="12" t="n"/>
      <c r="C728" s="55">
        <f>'Sales Candence'!B728</f>
        <v/>
      </c>
      <c r="D728" s="71" t="n"/>
      <c r="E728" s="71" t="n"/>
      <c r="F728" s="22" t="n"/>
      <c r="G728" s="22" t="n"/>
      <c r="H728" s="31" t="n"/>
      <c r="I728" s="23" t="n"/>
      <c r="J728" s="56" t="n"/>
      <c r="K728" s="22" t="n"/>
      <c r="L728" s="22" t="n"/>
      <c r="M728" s="22" t="n"/>
      <c r="N728" s="22" t="n"/>
      <c r="O728" s="22" t="n"/>
      <c r="P728" s="23" t="n"/>
      <c r="Q728" s="65" t="n"/>
      <c r="R728" s="65" t="n"/>
      <c r="S728" s="55" t="n"/>
      <c r="T728" s="55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</row>
    <row r="729" ht="15.75" customHeight="1" s="211">
      <c r="A729" s="55" t="n"/>
      <c r="B729" s="12" t="n"/>
      <c r="C729" s="55">
        <f>'Sales Candence'!B729</f>
        <v/>
      </c>
      <c r="D729" s="71" t="n"/>
      <c r="E729" s="71" t="n"/>
      <c r="F729" s="22" t="n"/>
      <c r="G729" s="22" t="n"/>
      <c r="H729" s="31" t="n"/>
      <c r="I729" s="23" t="n"/>
      <c r="J729" s="56" t="n"/>
      <c r="K729" s="22" t="n"/>
      <c r="L729" s="22" t="n"/>
      <c r="M729" s="22" t="n"/>
      <c r="N729" s="22" t="n"/>
      <c r="O729" s="22" t="n"/>
      <c r="P729" s="23" t="n"/>
      <c r="Q729" s="65" t="n"/>
      <c r="R729" s="65" t="n"/>
      <c r="S729" s="55" t="n"/>
      <c r="T729" s="55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</row>
    <row r="730" ht="15.75" customHeight="1" s="211">
      <c r="A730" s="55" t="n"/>
      <c r="B730" s="12" t="n"/>
      <c r="C730" s="55">
        <f>'Sales Candence'!B730</f>
        <v/>
      </c>
      <c r="D730" s="71" t="n"/>
      <c r="E730" s="71" t="n"/>
      <c r="F730" s="22" t="n"/>
      <c r="G730" s="22" t="n"/>
      <c r="H730" s="31" t="n"/>
      <c r="I730" s="23" t="n"/>
      <c r="J730" s="56" t="n"/>
      <c r="K730" s="22" t="n"/>
      <c r="L730" s="22" t="n"/>
      <c r="M730" s="22" t="n"/>
      <c r="N730" s="22" t="n"/>
      <c r="O730" s="22" t="n"/>
      <c r="P730" s="23" t="n"/>
      <c r="Q730" s="65" t="n"/>
      <c r="R730" s="65" t="n"/>
      <c r="S730" s="55" t="n"/>
      <c r="T730" s="55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</row>
    <row r="731" ht="15.75" customHeight="1" s="211">
      <c r="A731" s="55" t="n"/>
      <c r="B731" s="12" t="n"/>
      <c r="C731" s="55">
        <f>'Sales Candence'!B731</f>
        <v/>
      </c>
      <c r="D731" s="71" t="n"/>
      <c r="E731" s="71" t="n"/>
      <c r="F731" s="22" t="n"/>
      <c r="G731" s="22" t="n"/>
      <c r="H731" s="31" t="n"/>
      <c r="I731" s="23" t="n"/>
      <c r="J731" s="56" t="n"/>
      <c r="K731" s="22" t="n"/>
      <c r="L731" s="22" t="n"/>
      <c r="M731" s="22" t="n"/>
      <c r="N731" s="22" t="n"/>
      <c r="O731" s="22" t="n"/>
      <c r="P731" s="23" t="n"/>
      <c r="Q731" s="65" t="n"/>
      <c r="R731" s="65" t="n"/>
      <c r="S731" s="55" t="n"/>
      <c r="T731" s="55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</row>
    <row r="732" ht="15.75" customHeight="1" s="211">
      <c r="A732" s="55" t="n"/>
      <c r="B732" s="12" t="n"/>
      <c r="C732" s="55">
        <f>'Sales Candence'!B732</f>
        <v/>
      </c>
      <c r="D732" s="71" t="n"/>
      <c r="E732" s="71" t="n"/>
      <c r="F732" s="22" t="n"/>
      <c r="G732" s="22" t="n"/>
      <c r="H732" s="31" t="n"/>
      <c r="I732" s="23" t="n"/>
      <c r="J732" s="56" t="n"/>
      <c r="K732" s="22" t="n"/>
      <c r="L732" s="22" t="n"/>
      <c r="M732" s="22" t="n"/>
      <c r="N732" s="22" t="n"/>
      <c r="O732" s="22" t="n"/>
      <c r="P732" s="23" t="n"/>
      <c r="Q732" s="65" t="n"/>
      <c r="R732" s="65" t="n"/>
      <c r="S732" s="55" t="n"/>
      <c r="T732" s="55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</row>
    <row r="733" ht="15.75" customHeight="1" s="211">
      <c r="A733" s="55" t="n"/>
      <c r="B733" s="12" t="n"/>
      <c r="C733" s="55">
        <f>'Sales Candence'!B733</f>
        <v/>
      </c>
      <c r="D733" s="71" t="n"/>
      <c r="E733" s="71" t="n"/>
      <c r="F733" s="22" t="n"/>
      <c r="G733" s="22" t="n"/>
      <c r="H733" s="31" t="n"/>
      <c r="I733" s="23" t="n"/>
      <c r="J733" s="56" t="n"/>
      <c r="K733" s="22" t="n"/>
      <c r="L733" s="22" t="n"/>
      <c r="M733" s="22" t="n"/>
      <c r="N733" s="22" t="n"/>
      <c r="O733" s="22" t="n"/>
      <c r="P733" s="23" t="n"/>
      <c r="Q733" s="65" t="n"/>
      <c r="R733" s="65" t="n"/>
      <c r="S733" s="55" t="n"/>
      <c r="T733" s="55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</row>
    <row r="734" ht="15.75" customHeight="1" s="211">
      <c r="A734" s="55" t="n"/>
      <c r="B734" s="12" t="n"/>
      <c r="C734" s="55">
        <f>'Sales Candence'!B734</f>
        <v/>
      </c>
      <c r="D734" s="71" t="n"/>
      <c r="E734" s="71" t="n"/>
      <c r="F734" s="22" t="n"/>
      <c r="G734" s="22" t="n"/>
      <c r="H734" s="31" t="n"/>
      <c r="I734" s="23" t="n"/>
      <c r="J734" s="56" t="n"/>
      <c r="K734" s="22" t="n"/>
      <c r="L734" s="22" t="n"/>
      <c r="M734" s="22" t="n"/>
      <c r="N734" s="22" t="n"/>
      <c r="O734" s="22" t="n"/>
      <c r="P734" s="23" t="n"/>
      <c r="Q734" s="65" t="n"/>
      <c r="R734" s="65" t="n"/>
      <c r="S734" s="55" t="n"/>
      <c r="T734" s="55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</row>
    <row r="735" ht="15.75" customHeight="1" s="211">
      <c r="A735" s="55" t="n"/>
      <c r="B735" s="12" t="n"/>
      <c r="C735" s="55">
        <f>'Sales Candence'!B735</f>
        <v/>
      </c>
      <c r="D735" s="71" t="n"/>
      <c r="E735" s="71" t="n"/>
      <c r="F735" s="22" t="n"/>
      <c r="G735" s="22" t="n"/>
      <c r="H735" s="31" t="n"/>
      <c r="I735" s="23" t="n"/>
      <c r="J735" s="56" t="n"/>
      <c r="K735" s="22" t="n"/>
      <c r="L735" s="22" t="n"/>
      <c r="M735" s="22" t="n"/>
      <c r="N735" s="22" t="n"/>
      <c r="O735" s="22" t="n"/>
      <c r="P735" s="23" t="n"/>
      <c r="Q735" s="65" t="n"/>
      <c r="R735" s="65" t="n"/>
      <c r="S735" s="55" t="n"/>
      <c r="T735" s="55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</row>
    <row r="736" ht="15.75" customHeight="1" s="211">
      <c r="A736" s="55" t="n"/>
      <c r="B736" s="12" t="n"/>
      <c r="C736" s="55">
        <f>'Sales Candence'!B736</f>
        <v/>
      </c>
      <c r="D736" s="71" t="n"/>
      <c r="E736" s="71" t="n"/>
      <c r="F736" s="22" t="n"/>
      <c r="G736" s="22" t="n"/>
      <c r="H736" s="31" t="n"/>
      <c r="I736" s="23" t="n"/>
      <c r="J736" s="56" t="n"/>
      <c r="K736" s="22" t="n"/>
      <c r="L736" s="22" t="n"/>
      <c r="M736" s="22" t="n"/>
      <c r="N736" s="22" t="n"/>
      <c r="O736" s="22" t="n"/>
      <c r="P736" s="23" t="n"/>
      <c r="Q736" s="65" t="n"/>
      <c r="R736" s="65" t="n"/>
      <c r="S736" s="55" t="n"/>
      <c r="T736" s="55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</row>
    <row r="737" ht="15.75" customHeight="1" s="211">
      <c r="A737" s="55" t="n"/>
      <c r="B737" s="12" t="n"/>
      <c r="C737" s="55">
        <f>'Sales Candence'!B737</f>
        <v/>
      </c>
      <c r="D737" s="71" t="n"/>
      <c r="E737" s="71" t="n"/>
      <c r="F737" s="22" t="n"/>
      <c r="G737" s="22" t="n"/>
      <c r="H737" s="31" t="n"/>
      <c r="I737" s="23" t="n"/>
      <c r="J737" s="56" t="n"/>
      <c r="K737" s="22" t="n"/>
      <c r="L737" s="22" t="n"/>
      <c r="M737" s="22" t="n"/>
      <c r="N737" s="22" t="n"/>
      <c r="O737" s="22" t="n"/>
      <c r="P737" s="23" t="n"/>
      <c r="Q737" s="65" t="n"/>
      <c r="R737" s="65" t="n"/>
      <c r="S737" s="55" t="n"/>
      <c r="T737" s="55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</row>
    <row r="738" ht="15.75" customHeight="1" s="211">
      <c r="A738" s="55" t="n"/>
      <c r="B738" s="12" t="n"/>
      <c r="C738" s="55">
        <f>'Sales Candence'!B738</f>
        <v/>
      </c>
      <c r="D738" s="71" t="n"/>
      <c r="E738" s="71" t="n"/>
      <c r="F738" s="22" t="n"/>
      <c r="G738" s="22" t="n"/>
      <c r="H738" s="31" t="n"/>
      <c r="I738" s="23" t="n"/>
      <c r="J738" s="56" t="n"/>
      <c r="K738" s="22" t="n"/>
      <c r="L738" s="22" t="n"/>
      <c r="M738" s="22" t="n"/>
      <c r="N738" s="22" t="n"/>
      <c r="O738" s="22" t="n"/>
      <c r="P738" s="23" t="n"/>
      <c r="Q738" s="65" t="n"/>
      <c r="R738" s="65" t="n"/>
      <c r="S738" s="55" t="n"/>
      <c r="T738" s="55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</row>
    <row r="739" ht="15.75" customHeight="1" s="211">
      <c r="A739" s="55" t="n"/>
      <c r="B739" s="12" t="n"/>
      <c r="C739" s="55">
        <f>'Sales Candence'!B739</f>
        <v/>
      </c>
      <c r="D739" s="71" t="n"/>
      <c r="E739" s="71" t="n"/>
      <c r="F739" s="22" t="n"/>
      <c r="G739" s="22" t="n"/>
      <c r="H739" s="31" t="n"/>
      <c r="I739" s="23" t="n"/>
      <c r="J739" s="56" t="n"/>
      <c r="K739" s="22" t="n"/>
      <c r="L739" s="22" t="n"/>
      <c r="M739" s="22" t="n"/>
      <c r="N739" s="22" t="n"/>
      <c r="O739" s="22" t="n"/>
      <c r="P739" s="23" t="n"/>
      <c r="Q739" s="65" t="n"/>
      <c r="R739" s="65" t="n"/>
      <c r="S739" s="55" t="n"/>
      <c r="T739" s="55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</row>
    <row r="740" ht="15.75" customHeight="1" s="211">
      <c r="A740" s="55" t="n"/>
      <c r="B740" s="12" t="n"/>
      <c r="C740" s="55">
        <f>'Sales Candence'!B740</f>
        <v/>
      </c>
      <c r="D740" s="71" t="n"/>
      <c r="E740" s="71" t="n"/>
      <c r="F740" s="22" t="n"/>
      <c r="G740" s="22" t="n"/>
      <c r="H740" s="31" t="n"/>
      <c r="I740" s="23" t="n"/>
      <c r="J740" s="56" t="n"/>
      <c r="K740" s="22" t="n"/>
      <c r="L740" s="22" t="n"/>
      <c r="M740" s="22" t="n"/>
      <c r="N740" s="22" t="n"/>
      <c r="O740" s="22" t="n"/>
      <c r="P740" s="23" t="n"/>
      <c r="Q740" s="65" t="n"/>
      <c r="R740" s="65" t="n"/>
      <c r="S740" s="55" t="n"/>
      <c r="T740" s="55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</row>
    <row r="741" ht="15.75" customHeight="1" s="211">
      <c r="A741" s="55" t="n"/>
      <c r="B741" s="12" t="n"/>
      <c r="C741" s="55">
        <f>'Sales Candence'!B741</f>
        <v/>
      </c>
      <c r="D741" s="71" t="n"/>
      <c r="E741" s="71" t="n"/>
      <c r="F741" s="22" t="n"/>
      <c r="G741" s="22" t="n"/>
      <c r="H741" s="31" t="n"/>
      <c r="I741" s="23" t="n"/>
      <c r="J741" s="56" t="n"/>
      <c r="K741" s="22" t="n"/>
      <c r="L741" s="22" t="n"/>
      <c r="M741" s="22" t="n"/>
      <c r="N741" s="22" t="n"/>
      <c r="O741" s="22" t="n"/>
      <c r="P741" s="23" t="n"/>
      <c r="Q741" s="65" t="n"/>
      <c r="R741" s="65" t="n"/>
      <c r="S741" s="55" t="n"/>
      <c r="T741" s="55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</row>
    <row r="742" ht="15.75" customHeight="1" s="211">
      <c r="A742" s="55" t="n"/>
      <c r="B742" s="12" t="n"/>
      <c r="C742" s="55">
        <f>'Sales Candence'!B742</f>
        <v/>
      </c>
      <c r="D742" s="71" t="n"/>
      <c r="E742" s="71" t="n"/>
      <c r="F742" s="22" t="n"/>
      <c r="G742" s="22" t="n"/>
      <c r="H742" s="31" t="n"/>
      <c r="I742" s="23" t="n"/>
      <c r="J742" s="56" t="n"/>
      <c r="K742" s="22" t="n"/>
      <c r="L742" s="22" t="n"/>
      <c r="M742" s="22" t="n"/>
      <c r="N742" s="22" t="n"/>
      <c r="O742" s="22" t="n"/>
      <c r="P742" s="23" t="n"/>
      <c r="Q742" s="65" t="n"/>
      <c r="R742" s="65" t="n"/>
      <c r="S742" s="55" t="n"/>
      <c r="T742" s="55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</row>
    <row r="743" ht="15.75" customHeight="1" s="211">
      <c r="A743" s="55" t="n"/>
      <c r="B743" s="12" t="n"/>
      <c r="C743" s="55">
        <f>'Sales Candence'!B743</f>
        <v/>
      </c>
      <c r="D743" s="71" t="n"/>
      <c r="E743" s="71" t="n"/>
      <c r="F743" s="22" t="n"/>
      <c r="G743" s="22" t="n"/>
      <c r="H743" s="31" t="n"/>
      <c r="I743" s="23" t="n"/>
      <c r="J743" s="56" t="n"/>
      <c r="K743" s="22" t="n"/>
      <c r="L743" s="22" t="n"/>
      <c r="M743" s="22" t="n"/>
      <c r="N743" s="22" t="n"/>
      <c r="O743" s="22" t="n"/>
      <c r="P743" s="23" t="n"/>
      <c r="Q743" s="65" t="n"/>
      <c r="R743" s="65" t="n"/>
      <c r="S743" s="55" t="n"/>
      <c r="T743" s="55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</row>
    <row r="744" ht="15.75" customHeight="1" s="211">
      <c r="A744" s="55" t="n"/>
      <c r="B744" s="12" t="n"/>
      <c r="C744" s="55">
        <f>'Sales Candence'!B744</f>
        <v/>
      </c>
      <c r="D744" s="71" t="n"/>
      <c r="E744" s="71" t="n"/>
      <c r="F744" s="22" t="n"/>
      <c r="G744" s="22" t="n"/>
      <c r="H744" s="31" t="n"/>
      <c r="I744" s="23" t="n"/>
      <c r="J744" s="56" t="n"/>
      <c r="K744" s="22" t="n"/>
      <c r="L744" s="22" t="n"/>
      <c r="M744" s="22" t="n"/>
      <c r="N744" s="22" t="n"/>
      <c r="O744" s="22" t="n"/>
      <c r="P744" s="23" t="n"/>
      <c r="Q744" s="65" t="n"/>
      <c r="R744" s="65" t="n"/>
      <c r="S744" s="55" t="n"/>
      <c r="T744" s="55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</row>
    <row r="745" ht="15.75" customHeight="1" s="211">
      <c r="A745" s="55" t="n"/>
      <c r="B745" s="12" t="n"/>
      <c r="C745" s="55">
        <f>'Sales Candence'!B745</f>
        <v/>
      </c>
      <c r="D745" s="71" t="n"/>
      <c r="E745" s="71" t="n"/>
      <c r="F745" s="22" t="n"/>
      <c r="G745" s="22" t="n"/>
      <c r="H745" s="31" t="n"/>
      <c r="I745" s="23" t="n"/>
      <c r="J745" s="56" t="n"/>
      <c r="K745" s="22" t="n"/>
      <c r="L745" s="22" t="n"/>
      <c r="M745" s="22" t="n"/>
      <c r="N745" s="22" t="n"/>
      <c r="O745" s="22" t="n"/>
      <c r="P745" s="23" t="n"/>
      <c r="Q745" s="65" t="n"/>
      <c r="R745" s="65" t="n"/>
      <c r="S745" s="55" t="n"/>
      <c r="T745" s="55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</row>
    <row r="746" ht="15.75" customHeight="1" s="211">
      <c r="A746" s="55" t="n"/>
      <c r="B746" s="12" t="n"/>
      <c r="C746" s="55">
        <f>'Sales Candence'!B746</f>
        <v/>
      </c>
      <c r="D746" s="71" t="n"/>
      <c r="E746" s="71" t="n"/>
      <c r="F746" s="22" t="n"/>
      <c r="G746" s="22" t="n"/>
      <c r="H746" s="31" t="n"/>
      <c r="I746" s="23" t="n"/>
      <c r="J746" s="56" t="n"/>
      <c r="K746" s="22" t="n"/>
      <c r="L746" s="22" t="n"/>
      <c r="M746" s="22" t="n"/>
      <c r="N746" s="22" t="n"/>
      <c r="O746" s="22" t="n"/>
      <c r="P746" s="23" t="n"/>
      <c r="Q746" s="65" t="n"/>
      <c r="R746" s="65" t="n"/>
      <c r="S746" s="55" t="n"/>
      <c r="T746" s="55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</row>
    <row r="747" ht="15.75" customHeight="1" s="211">
      <c r="A747" s="55" t="n"/>
      <c r="B747" s="12" t="n"/>
      <c r="C747" s="55">
        <f>'Sales Candence'!B747</f>
        <v/>
      </c>
      <c r="D747" s="71" t="n"/>
      <c r="E747" s="71" t="n"/>
      <c r="F747" s="22" t="n"/>
      <c r="G747" s="22" t="n"/>
      <c r="H747" s="31" t="n"/>
      <c r="I747" s="23" t="n"/>
      <c r="J747" s="56" t="n"/>
      <c r="K747" s="22" t="n"/>
      <c r="L747" s="22" t="n"/>
      <c r="M747" s="22" t="n"/>
      <c r="N747" s="22" t="n"/>
      <c r="O747" s="22" t="n"/>
      <c r="P747" s="23" t="n"/>
      <c r="Q747" s="65" t="n"/>
      <c r="R747" s="65" t="n"/>
      <c r="S747" s="55" t="n"/>
      <c r="T747" s="55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</row>
    <row r="748" ht="15.75" customHeight="1" s="211">
      <c r="A748" s="55" t="n"/>
      <c r="B748" s="12" t="n"/>
      <c r="C748" s="55">
        <f>'Sales Candence'!B748</f>
        <v/>
      </c>
      <c r="D748" s="71" t="n"/>
      <c r="E748" s="71" t="n"/>
      <c r="F748" s="22" t="n"/>
      <c r="G748" s="22" t="n"/>
      <c r="H748" s="31" t="n"/>
      <c r="I748" s="23" t="n"/>
      <c r="J748" s="56" t="n"/>
      <c r="K748" s="22" t="n"/>
      <c r="L748" s="22" t="n"/>
      <c r="M748" s="22" t="n"/>
      <c r="N748" s="22" t="n"/>
      <c r="O748" s="22" t="n"/>
      <c r="P748" s="23" t="n"/>
      <c r="Q748" s="65" t="n"/>
      <c r="R748" s="65" t="n"/>
      <c r="S748" s="55" t="n"/>
      <c r="T748" s="55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</row>
    <row r="749" ht="15.75" customHeight="1" s="211">
      <c r="A749" s="55" t="n"/>
      <c r="B749" s="12" t="n"/>
      <c r="C749" s="55">
        <f>'Sales Candence'!B749</f>
        <v/>
      </c>
      <c r="D749" s="71" t="n"/>
      <c r="E749" s="71" t="n"/>
      <c r="F749" s="22" t="n"/>
      <c r="G749" s="22" t="n"/>
      <c r="H749" s="31" t="n"/>
      <c r="I749" s="23" t="n"/>
      <c r="J749" s="56" t="n"/>
      <c r="K749" s="22" t="n"/>
      <c r="L749" s="22" t="n"/>
      <c r="M749" s="22" t="n"/>
      <c r="N749" s="22" t="n"/>
      <c r="O749" s="22" t="n"/>
      <c r="P749" s="23" t="n"/>
      <c r="Q749" s="65" t="n"/>
      <c r="R749" s="65" t="n"/>
      <c r="S749" s="55" t="n"/>
      <c r="T749" s="55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</row>
    <row r="750" ht="15.75" customHeight="1" s="211">
      <c r="A750" s="55" t="n"/>
      <c r="B750" s="12" t="n"/>
      <c r="C750" s="55">
        <f>'Sales Candence'!B750</f>
        <v/>
      </c>
      <c r="D750" s="71" t="n"/>
      <c r="E750" s="71" t="n"/>
      <c r="F750" s="22" t="n"/>
      <c r="G750" s="22" t="n"/>
      <c r="H750" s="31" t="n"/>
      <c r="I750" s="23" t="n"/>
      <c r="J750" s="56" t="n"/>
      <c r="K750" s="22" t="n"/>
      <c r="L750" s="22" t="n"/>
      <c r="M750" s="22" t="n"/>
      <c r="N750" s="22" t="n"/>
      <c r="O750" s="22" t="n"/>
      <c r="P750" s="23" t="n"/>
      <c r="Q750" s="65" t="n"/>
      <c r="R750" s="65" t="n"/>
      <c r="S750" s="55" t="n"/>
      <c r="T750" s="55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</row>
    <row r="751" ht="15.75" customHeight="1" s="211">
      <c r="A751" s="55" t="n"/>
      <c r="B751" s="12" t="n"/>
      <c r="C751" s="55">
        <f>'Sales Candence'!B751</f>
        <v/>
      </c>
      <c r="D751" s="71" t="n"/>
      <c r="E751" s="71" t="n"/>
      <c r="F751" s="22" t="n"/>
      <c r="G751" s="22" t="n"/>
      <c r="H751" s="31" t="n"/>
      <c r="I751" s="23" t="n"/>
      <c r="J751" s="56" t="n"/>
      <c r="K751" s="22" t="n"/>
      <c r="L751" s="22" t="n"/>
      <c r="M751" s="22" t="n"/>
      <c r="N751" s="22" t="n"/>
      <c r="O751" s="22" t="n"/>
      <c r="P751" s="23" t="n"/>
      <c r="Q751" s="65" t="n"/>
      <c r="R751" s="65" t="n"/>
      <c r="S751" s="55" t="n"/>
      <c r="T751" s="55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</row>
    <row r="752" ht="15.75" customHeight="1" s="211">
      <c r="A752" s="55" t="n"/>
      <c r="B752" s="12" t="n"/>
      <c r="C752" s="55">
        <f>'Sales Candence'!B752</f>
        <v/>
      </c>
      <c r="D752" s="71" t="n"/>
      <c r="E752" s="71" t="n"/>
      <c r="F752" s="22" t="n"/>
      <c r="G752" s="22" t="n"/>
      <c r="H752" s="31" t="n"/>
      <c r="I752" s="23" t="n"/>
      <c r="J752" s="56" t="n"/>
      <c r="K752" s="22" t="n"/>
      <c r="L752" s="22" t="n"/>
      <c r="M752" s="22" t="n"/>
      <c r="N752" s="22" t="n"/>
      <c r="O752" s="22" t="n"/>
      <c r="P752" s="23" t="n"/>
      <c r="Q752" s="65" t="n"/>
      <c r="R752" s="65" t="n"/>
      <c r="S752" s="55" t="n"/>
      <c r="T752" s="55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</row>
    <row r="753" ht="15.75" customHeight="1" s="211">
      <c r="A753" s="55" t="n"/>
      <c r="B753" s="12" t="n"/>
      <c r="C753" s="55">
        <f>'Sales Candence'!B753</f>
        <v/>
      </c>
      <c r="D753" s="71" t="n"/>
      <c r="E753" s="71" t="n"/>
      <c r="F753" s="22" t="n"/>
      <c r="G753" s="22" t="n"/>
      <c r="H753" s="31" t="n"/>
      <c r="I753" s="23" t="n"/>
      <c r="J753" s="56" t="n"/>
      <c r="K753" s="22" t="n"/>
      <c r="L753" s="22" t="n"/>
      <c r="M753" s="22" t="n"/>
      <c r="N753" s="22" t="n"/>
      <c r="O753" s="22" t="n"/>
      <c r="P753" s="23" t="n"/>
      <c r="Q753" s="65" t="n"/>
      <c r="R753" s="65" t="n"/>
      <c r="S753" s="55" t="n"/>
      <c r="T753" s="55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</row>
    <row r="754" ht="15.75" customHeight="1" s="211">
      <c r="A754" s="55" t="n"/>
      <c r="B754" s="12" t="n"/>
      <c r="C754" s="55">
        <f>'Sales Candence'!B754</f>
        <v/>
      </c>
      <c r="D754" s="71" t="n"/>
      <c r="E754" s="71" t="n"/>
      <c r="F754" s="22" t="n"/>
      <c r="G754" s="22" t="n"/>
      <c r="H754" s="31" t="n"/>
      <c r="I754" s="23" t="n"/>
      <c r="J754" s="56" t="n"/>
      <c r="K754" s="22" t="n"/>
      <c r="L754" s="22" t="n"/>
      <c r="M754" s="22" t="n"/>
      <c r="N754" s="22" t="n"/>
      <c r="O754" s="22" t="n"/>
      <c r="P754" s="23" t="n"/>
      <c r="Q754" s="65" t="n"/>
      <c r="R754" s="65" t="n"/>
      <c r="S754" s="55" t="n"/>
      <c r="T754" s="55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</row>
    <row r="755" ht="15.75" customHeight="1" s="211">
      <c r="A755" s="55" t="n"/>
      <c r="B755" s="12" t="n"/>
      <c r="C755" s="55">
        <f>'Sales Candence'!B755</f>
        <v/>
      </c>
      <c r="D755" s="71" t="n"/>
      <c r="E755" s="71" t="n"/>
      <c r="F755" s="22" t="n"/>
      <c r="G755" s="22" t="n"/>
      <c r="H755" s="31" t="n"/>
      <c r="I755" s="23" t="n"/>
      <c r="J755" s="56" t="n"/>
      <c r="K755" s="22" t="n"/>
      <c r="L755" s="22" t="n"/>
      <c r="M755" s="22" t="n"/>
      <c r="N755" s="22" t="n"/>
      <c r="O755" s="22" t="n"/>
      <c r="P755" s="23" t="n"/>
      <c r="Q755" s="65" t="n"/>
      <c r="R755" s="65" t="n"/>
      <c r="S755" s="55" t="n"/>
      <c r="T755" s="55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</row>
    <row r="756" ht="15.75" customHeight="1" s="211">
      <c r="A756" s="55" t="n"/>
      <c r="B756" s="12" t="n"/>
      <c r="C756" s="55">
        <f>'Sales Candence'!B756</f>
        <v/>
      </c>
      <c r="D756" s="71" t="n"/>
      <c r="E756" s="71" t="n"/>
      <c r="F756" s="22" t="n"/>
      <c r="G756" s="22" t="n"/>
      <c r="H756" s="31" t="n"/>
      <c r="I756" s="23" t="n"/>
      <c r="J756" s="56" t="n"/>
      <c r="K756" s="22" t="n"/>
      <c r="L756" s="22" t="n"/>
      <c r="M756" s="22" t="n"/>
      <c r="N756" s="22" t="n"/>
      <c r="O756" s="22" t="n"/>
      <c r="P756" s="23" t="n"/>
      <c r="Q756" s="65" t="n"/>
      <c r="R756" s="65" t="n"/>
      <c r="S756" s="55" t="n"/>
      <c r="T756" s="55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</row>
    <row r="757" ht="15.75" customHeight="1" s="211">
      <c r="A757" s="55" t="n"/>
      <c r="B757" s="12" t="n"/>
      <c r="C757" s="55">
        <f>'Sales Candence'!B757</f>
        <v/>
      </c>
      <c r="D757" s="71" t="n"/>
      <c r="E757" s="71" t="n"/>
      <c r="F757" s="22" t="n"/>
      <c r="G757" s="22" t="n"/>
      <c r="H757" s="31" t="n"/>
      <c r="I757" s="23" t="n"/>
      <c r="J757" s="56" t="n"/>
      <c r="K757" s="22" t="n"/>
      <c r="L757" s="22" t="n"/>
      <c r="M757" s="22" t="n"/>
      <c r="N757" s="22" t="n"/>
      <c r="O757" s="22" t="n"/>
      <c r="P757" s="23" t="n"/>
      <c r="Q757" s="65" t="n"/>
      <c r="R757" s="65" t="n"/>
      <c r="S757" s="55" t="n"/>
      <c r="T757" s="55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</row>
    <row r="758" ht="15.75" customHeight="1" s="211">
      <c r="A758" s="55" t="n"/>
      <c r="B758" s="12" t="n"/>
      <c r="C758" s="55">
        <f>'Sales Candence'!B758</f>
        <v/>
      </c>
      <c r="D758" s="71" t="n"/>
      <c r="E758" s="71" t="n"/>
      <c r="F758" s="22" t="n"/>
      <c r="G758" s="22" t="n"/>
      <c r="H758" s="31" t="n"/>
      <c r="I758" s="23" t="n"/>
      <c r="J758" s="56" t="n"/>
      <c r="K758" s="22" t="n"/>
      <c r="L758" s="22" t="n"/>
      <c r="M758" s="22" t="n"/>
      <c r="N758" s="22" t="n"/>
      <c r="O758" s="22" t="n"/>
      <c r="P758" s="23" t="n"/>
      <c r="Q758" s="65" t="n"/>
      <c r="R758" s="65" t="n"/>
      <c r="S758" s="55" t="n"/>
      <c r="T758" s="55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</row>
    <row r="759" ht="15.75" customHeight="1" s="211">
      <c r="A759" s="55" t="n"/>
      <c r="B759" s="12" t="n"/>
      <c r="C759" s="55">
        <f>'Sales Candence'!B759</f>
        <v/>
      </c>
      <c r="D759" s="71" t="n"/>
      <c r="E759" s="71" t="n"/>
      <c r="F759" s="22" t="n"/>
      <c r="G759" s="22" t="n"/>
      <c r="H759" s="31" t="n"/>
      <c r="I759" s="23" t="n"/>
      <c r="J759" s="56" t="n"/>
      <c r="K759" s="22" t="n"/>
      <c r="L759" s="22" t="n"/>
      <c r="M759" s="22" t="n"/>
      <c r="N759" s="22" t="n"/>
      <c r="O759" s="22" t="n"/>
      <c r="P759" s="23" t="n"/>
      <c r="Q759" s="65" t="n"/>
      <c r="R759" s="65" t="n"/>
      <c r="S759" s="55" t="n"/>
      <c r="T759" s="55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</row>
    <row r="760" ht="15.75" customHeight="1" s="211">
      <c r="A760" s="55" t="n"/>
      <c r="B760" s="12" t="n"/>
      <c r="C760" s="55">
        <f>'Sales Candence'!B760</f>
        <v/>
      </c>
      <c r="D760" s="71" t="n"/>
      <c r="E760" s="71" t="n"/>
      <c r="F760" s="22" t="n"/>
      <c r="G760" s="22" t="n"/>
      <c r="H760" s="31" t="n"/>
      <c r="I760" s="23" t="n"/>
      <c r="J760" s="56" t="n"/>
      <c r="K760" s="22" t="n"/>
      <c r="L760" s="22" t="n"/>
      <c r="M760" s="22" t="n"/>
      <c r="N760" s="22" t="n"/>
      <c r="O760" s="22" t="n"/>
      <c r="P760" s="23" t="n"/>
      <c r="Q760" s="65" t="n"/>
      <c r="R760" s="65" t="n"/>
      <c r="S760" s="55" t="n"/>
      <c r="T760" s="55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</row>
    <row r="761" ht="15.75" customHeight="1" s="211">
      <c r="A761" s="55" t="n"/>
      <c r="B761" s="12" t="n"/>
      <c r="C761" s="55">
        <f>'Sales Candence'!B761</f>
        <v/>
      </c>
      <c r="D761" s="71" t="n"/>
      <c r="E761" s="71" t="n"/>
      <c r="F761" s="22" t="n"/>
      <c r="G761" s="22" t="n"/>
      <c r="H761" s="31" t="n"/>
      <c r="I761" s="23" t="n"/>
      <c r="J761" s="56" t="n"/>
      <c r="K761" s="22" t="n"/>
      <c r="L761" s="22" t="n"/>
      <c r="M761" s="22" t="n"/>
      <c r="N761" s="22" t="n"/>
      <c r="O761" s="22" t="n"/>
      <c r="P761" s="23" t="n"/>
      <c r="Q761" s="65" t="n"/>
      <c r="R761" s="65" t="n"/>
      <c r="S761" s="55" t="n"/>
      <c r="T761" s="55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</row>
    <row r="762" ht="15.75" customHeight="1" s="211">
      <c r="A762" s="55" t="n"/>
      <c r="B762" s="12" t="n"/>
      <c r="C762" s="55">
        <f>'Sales Candence'!B762</f>
        <v/>
      </c>
      <c r="D762" s="71" t="n"/>
      <c r="E762" s="71" t="n"/>
      <c r="F762" s="22" t="n"/>
      <c r="G762" s="22" t="n"/>
      <c r="H762" s="31" t="n"/>
      <c r="I762" s="23" t="n"/>
      <c r="J762" s="56" t="n"/>
      <c r="K762" s="22" t="n"/>
      <c r="L762" s="22" t="n"/>
      <c r="M762" s="22" t="n"/>
      <c r="N762" s="22" t="n"/>
      <c r="O762" s="22" t="n"/>
      <c r="P762" s="23" t="n"/>
      <c r="Q762" s="65" t="n"/>
      <c r="R762" s="65" t="n"/>
      <c r="S762" s="55" t="n"/>
      <c r="T762" s="55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</row>
    <row r="763" ht="15.75" customHeight="1" s="211">
      <c r="A763" s="55" t="n"/>
      <c r="B763" s="12" t="n"/>
      <c r="C763" s="55">
        <f>'Sales Candence'!B763</f>
        <v/>
      </c>
      <c r="D763" s="71" t="n"/>
      <c r="E763" s="71" t="n"/>
      <c r="F763" s="22" t="n"/>
      <c r="G763" s="22" t="n"/>
      <c r="H763" s="31" t="n"/>
      <c r="I763" s="23" t="n"/>
      <c r="J763" s="56" t="n"/>
      <c r="K763" s="22" t="n"/>
      <c r="L763" s="22" t="n"/>
      <c r="M763" s="22" t="n"/>
      <c r="N763" s="22" t="n"/>
      <c r="O763" s="22" t="n"/>
      <c r="P763" s="23" t="n"/>
      <c r="Q763" s="65" t="n"/>
      <c r="R763" s="65" t="n"/>
      <c r="S763" s="55" t="n"/>
      <c r="T763" s="55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</row>
    <row r="764" ht="15.75" customHeight="1" s="211">
      <c r="A764" s="55" t="n"/>
      <c r="B764" s="12" t="n"/>
      <c r="C764" s="55">
        <f>'Sales Candence'!B764</f>
        <v/>
      </c>
      <c r="D764" s="71" t="n"/>
      <c r="E764" s="71" t="n"/>
      <c r="F764" s="22" t="n"/>
      <c r="G764" s="22" t="n"/>
      <c r="H764" s="31" t="n"/>
      <c r="I764" s="23" t="n"/>
      <c r="J764" s="56" t="n"/>
      <c r="K764" s="22" t="n"/>
      <c r="L764" s="22" t="n"/>
      <c r="M764" s="22" t="n"/>
      <c r="N764" s="22" t="n"/>
      <c r="O764" s="22" t="n"/>
      <c r="P764" s="23" t="n"/>
      <c r="Q764" s="65" t="n"/>
      <c r="R764" s="65" t="n"/>
      <c r="S764" s="55" t="n"/>
      <c r="T764" s="55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</row>
    <row r="765" ht="15.75" customHeight="1" s="211">
      <c r="A765" s="55" t="n"/>
      <c r="B765" s="12" t="n"/>
      <c r="C765" s="55">
        <f>'Sales Candence'!B765</f>
        <v/>
      </c>
      <c r="D765" s="71" t="n"/>
      <c r="E765" s="71" t="n"/>
      <c r="F765" s="22" t="n"/>
      <c r="G765" s="22" t="n"/>
      <c r="H765" s="31" t="n"/>
      <c r="I765" s="23" t="n"/>
      <c r="J765" s="56" t="n"/>
      <c r="K765" s="22" t="n"/>
      <c r="L765" s="22" t="n"/>
      <c r="M765" s="22" t="n"/>
      <c r="N765" s="22" t="n"/>
      <c r="O765" s="22" t="n"/>
      <c r="P765" s="23" t="n"/>
      <c r="Q765" s="65" t="n"/>
      <c r="R765" s="65" t="n"/>
      <c r="S765" s="55" t="n"/>
      <c r="T765" s="55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</row>
    <row r="766" ht="15.75" customHeight="1" s="211">
      <c r="A766" s="55" t="n"/>
      <c r="B766" s="12" t="n"/>
      <c r="C766" s="55">
        <f>'Sales Candence'!B766</f>
        <v/>
      </c>
      <c r="D766" s="71" t="n"/>
      <c r="E766" s="71" t="n"/>
      <c r="F766" s="22" t="n"/>
      <c r="G766" s="22" t="n"/>
      <c r="H766" s="31" t="n"/>
      <c r="I766" s="23" t="n"/>
      <c r="J766" s="56" t="n"/>
      <c r="K766" s="22" t="n"/>
      <c r="L766" s="22" t="n"/>
      <c r="M766" s="22" t="n"/>
      <c r="N766" s="22" t="n"/>
      <c r="O766" s="22" t="n"/>
      <c r="P766" s="23" t="n"/>
      <c r="Q766" s="65" t="n"/>
      <c r="R766" s="65" t="n"/>
      <c r="S766" s="55" t="n"/>
      <c r="T766" s="55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</row>
    <row r="767" ht="15.75" customHeight="1" s="211">
      <c r="A767" s="55" t="n"/>
      <c r="B767" s="12" t="n"/>
      <c r="C767" s="55">
        <f>'Sales Candence'!B767</f>
        <v/>
      </c>
      <c r="D767" s="71" t="n"/>
      <c r="E767" s="71" t="n"/>
      <c r="F767" s="22" t="n"/>
      <c r="G767" s="22" t="n"/>
      <c r="H767" s="31" t="n"/>
      <c r="I767" s="23" t="n"/>
      <c r="J767" s="56" t="n"/>
      <c r="K767" s="22" t="n"/>
      <c r="L767" s="22" t="n"/>
      <c r="M767" s="22" t="n"/>
      <c r="N767" s="22" t="n"/>
      <c r="O767" s="22" t="n"/>
      <c r="P767" s="23" t="n"/>
      <c r="Q767" s="65" t="n"/>
      <c r="R767" s="65" t="n"/>
      <c r="S767" s="55" t="n"/>
      <c r="T767" s="55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</row>
    <row r="768" ht="15.75" customHeight="1" s="211">
      <c r="A768" s="55" t="n"/>
      <c r="B768" s="12" t="n"/>
      <c r="C768" s="55">
        <f>'Sales Candence'!B768</f>
        <v/>
      </c>
      <c r="D768" s="71" t="n"/>
      <c r="E768" s="71" t="n"/>
      <c r="F768" s="22" t="n"/>
      <c r="G768" s="22" t="n"/>
      <c r="H768" s="31" t="n"/>
      <c r="I768" s="23" t="n"/>
      <c r="J768" s="56" t="n"/>
      <c r="K768" s="22" t="n"/>
      <c r="L768" s="22" t="n"/>
      <c r="M768" s="22" t="n"/>
      <c r="N768" s="22" t="n"/>
      <c r="O768" s="22" t="n"/>
      <c r="P768" s="23" t="n"/>
      <c r="Q768" s="65" t="n"/>
      <c r="R768" s="65" t="n"/>
      <c r="S768" s="55" t="n"/>
      <c r="T768" s="55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</row>
    <row r="769" ht="15.75" customHeight="1" s="211">
      <c r="A769" s="55" t="n"/>
      <c r="B769" s="12" t="n"/>
      <c r="C769" s="55">
        <f>'Sales Candence'!B769</f>
        <v/>
      </c>
      <c r="D769" s="71" t="n"/>
      <c r="E769" s="71" t="n"/>
      <c r="F769" s="22" t="n"/>
      <c r="G769" s="22" t="n"/>
      <c r="H769" s="31" t="n"/>
      <c r="I769" s="23" t="n"/>
      <c r="J769" s="56" t="n"/>
      <c r="K769" s="22" t="n"/>
      <c r="L769" s="22" t="n"/>
      <c r="M769" s="22" t="n"/>
      <c r="N769" s="22" t="n"/>
      <c r="O769" s="22" t="n"/>
      <c r="P769" s="23" t="n"/>
      <c r="Q769" s="65" t="n"/>
      <c r="R769" s="65" t="n"/>
      <c r="S769" s="55" t="n"/>
      <c r="T769" s="55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</row>
    <row r="770" ht="15.75" customHeight="1" s="211">
      <c r="A770" s="55" t="n"/>
      <c r="B770" s="12" t="n"/>
      <c r="C770" s="55">
        <f>'Sales Candence'!B770</f>
        <v/>
      </c>
      <c r="D770" s="71" t="n"/>
      <c r="E770" s="71" t="n"/>
      <c r="F770" s="22" t="n"/>
      <c r="G770" s="22" t="n"/>
      <c r="H770" s="31" t="n"/>
      <c r="I770" s="23" t="n"/>
      <c r="J770" s="56" t="n"/>
      <c r="K770" s="22" t="n"/>
      <c r="L770" s="22" t="n"/>
      <c r="M770" s="22" t="n"/>
      <c r="N770" s="22" t="n"/>
      <c r="O770" s="22" t="n"/>
      <c r="P770" s="23" t="n"/>
      <c r="Q770" s="65" t="n"/>
      <c r="R770" s="65" t="n"/>
      <c r="S770" s="55" t="n"/>
      <c r="T770" s="55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</row>
    <row r="771" ht="15.75" customHeight="1" s="211">
      <c r="A771" s="55" t="n"/>
      <c r="B771" s="12" t="n"/>
      <c r="C771" s="55">
        <f>'Sales Candence'!B771</f>
        <v/>
      </c>
      <c r="D771" s="71" t="n"/>
      <c r="E771" s="71" t="n"/>
      <c r="F771" s="22" t="n"/>
      <c r="G771" s="22" t="n"/>
      <c r="H771" s="31" t="n"/>
      <c r="I771" s="23" t="n"/>
      <c r="J771" s="56" t="n"/>
      <c r="K771" s="22" t="n"/>
      <c r="L771" s="22" t="n"/>
      <c r="M771" s="22" t="n"/>
      <c r="N771" s="22" t="n"/>
      <c r="O771" s="22" t="n"/>
      <c r="P771" s="23" t="n"/>
      <c r="Q771" s="65" t="n"/>
      <c r="R771" s="65" t="n"/>
      <c r="S771" s="55" t="n"/>
      <c r="T771" s="55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</row>
    <row r="772" ht="15.75" customHeight="1" s="211">
      <c r="A772" s="55" t="n"/>
      <c r="B772" s="12" t="n"/>
      <c r="C772" s="55">
        <f>'Sales Candence'!B772</f>
        <v/>
      </c>
      <c r="D772" s="71" t="n"/>
      <c r="E772" s="71" t="n"/>
      <c r="F772" s="22" t="n"/>
      <c r="G772" s="22" t="n"/>
      <c r="H772" s="31" t="n"/>
      <c r="I772" s="23" t="n"/>
      <c r="J772" s="56" t="n"/>
      <c r="K772" s="22" t="n"/>
      <c r="L772" s="22" t="n"/>
      <c r="M772" s="22" t="n"/>
      <c r="N772" s="22" t="n"/>
      <c r="O772" s="22" t="n"/>
      <c r="P772" s="23" t="n"/>
      <c r="Q772" s="65" t="n"/>
      <c r="R772" s="65" t="n"/>
      <c r="S772" s="55" t="n"/>
      <c r="T772" s="55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</row>
    <row r="773" ht="15.75" customHeight="1" s="211">
      <c r="A773" s="55" t="n"/>
      <c r="B773" s="12" t="n"/>
      <c r="C773" s="55">
        <f>'Sales Candence'!B773</f>
        <v/>
      </c>
      <c r="D773" s="71" t="n"/>
      <c r="E773" s="71" t="n"/>
      <c r="F773" s="22" t="n"/>
      <c r="G773" s="22" t="n"/>
      <c r="H773" s="31" t="n"/>
      <c r="I773" s="23" t="n"/>
      <c r="J773" s="56" t="n"/>
      <c r="K773" s="22" t="n"/>
      <c r="L773" s="22" t="n"/>
      <c r="M773" s="22" t="n"/>
      <c r="N773" s="22" t="n"/>
      <c r="O773" s="22" t="n"/>
      <c r="P773" s="23" t="n"/>
      <c r="Q773" s="65" t="n"/>
      <c r="R773" s="65" t="n"/>
      <c r="S773" s="55" t="n"/>
      <c r="T773" s="55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</row>
    <row r="774" ht="15.75" customHeight="1" s="211">
      <c r="A774" s="55" t="n"/>
      <c r="B774" s="12" t="n"/>
      <c r="C774" s="55">
        <f>'Sales Candence'!B774</f>
        <v/>
      </c>
      <c r="D774" s="71" t="n"/>
      <c r="E774" s="71" t="n"/>
      <c r="F774" s="22" t="n"/>
      <c r="G774" s="22" t="n"/>
      <c r="H774" s="31" t="n"/>
      <c r="I774" s="23" t="n"/>
      <c r="J774" s="56" t="n"/>
      <c r="K774" s="22" t="n"/>
      <c r="L774" s="22" t="n"/>
      <c r="M774" s="22" t="n"/>
      <c r="N774" s="22" t="n"/>
      <c r="O774" s="22" t="n"/>
      <c r="P774" s="23" t="n"/>
      <c r="Q774" s="65" t="n"/>
      <c r="R774" s="65" t="n"/>
      <c r="S774" s="55" t="n"/>
      <c r="T774" s="55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</row>
    <row r="775" ht="15.75" customHeight="1" s="211">
      <c r="A775" s="55" t="n"/>
      <c r="B775" s="12" t="n"/>
      <c r="C775" s="55">
        <f>'Sales Candence'!B775</f>
        <v/>
      </c>
      <c r="D775" s="71" t="n"/>
      <c r="E775" s="71" t="n"/>
      <c r="F775" s="22" t="n"/>
      <c r="G775" s="22" t="n"/>
      <c r="H775" s="31" t="n"/>
      <c r="I775" s="23" t="n"/>
      <c r="J775" s="56" t="n"/>
      <c r="K775" s="22" t="n"/>
      <c r="L775" s="22" t="n"/>
      <c r="M775" s="22" t="n"/>
      <c r="N775" s="22" t="n"/>
      <c r="O775" s="22" t="n"/>
      <c r="P775" s="23" t="n"/>
      <c r="Q775" s="65" t="n"/>
      <c r="R775" s="65" t="n"/>
      <c r="S775" s="55" t="n"/>
      <c r="T775" s="55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</row>
    <row r="776" ht="15.75" customHeight="1" s="211">
      <c r="A776" s="55" t="n"/>
      <c r="B776" s="12" t="n"/>
      <c r="C776" s="55">
        <f>'Sales Candence'!B776</f>
        <v/>
      </c>
      <c r="D776" s="71" t="n"/>
      <c r="E776" s="71" t="n"/>
      <c r="F776" s="22" t="n"/>
      <c r="G776" s="22" t="n"/>
      <c r="H776" s="31" t="n"/>
      <c r="I776" s="23" t="n"/>
      <c r="J776" s="56" t="n"/>
      <c r="K776" s="22" t="n"/>
      <c r="L776" s="22" t="n"/>
      <c r="M776" s="22" t="n"/>
      <c r="N776" s="22" t="n"/>
      <c r="O776" s="22" t="n"/>
      <c r="P776" s="23" t="n"/>
      <c r="Q776" s="65" t="n"/>
      <c r="R776" s="65" t="n"/>
      <c r="S776" s="55" t="n"/>
      <c r="T776" s="55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</row>
    <row r="777" ht="15.75" customHeight="1" s="211">
      <c r="A777" s="55" t="n"/>
      <c r="B777" s="12" t="n"/>
      <c r="C777" s="55">
        <f>'Sales Candence'!B777</f>
        <v/>
      </c>
      <c r="D777" s="71" t="n"/>
      <c r="E777" s="71" t="n"/>
      <c r="F777" s="22" t="n"/>
      <c r="G777" s="22" t="n"/>
      <c r="H777" s="31" t="n"/>
      <c r="I777" s="23" t="n"/>
      <c r="J777" s="56" t="n"/>
      <c r="K777" s="22" t="n"/>
      <c r="L777" s="22" t="n"/>
      <c r="M777" s="22" t="n"/>
      <c r="N777" s="22" t="n"/>
      <c r="O777" s="22" t="n"/>
      <c r="P777" s="23" t="n"/>
      <c r="Q777" s="65" t="n"/>
      <c r="R777" s="65" t="n"/>
      <c r="S777" s="55" t="n"/>
      <c r="T777" s="55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</row>
    <row r="778" ht="15.75" customHeight="1" s="211">
      <c r="A778" s="55" t="n"/>
      <c r="B778" s="12" t="n"/>
      <c r="C778" s="55">
        <f>'Sales Candence'!B778</f>
        <v/>
      </c>
      <c r="D778" s="71" t="n"/>
      <c r="E778" s="71" t="n"/>
      <c r="F778" s="22" t="n"/>
      <c r="G778" s="22" t="n"/>
      <c r="H778" s="31" t="n"/>
      <c r="I778" s="23" t="n"/>
      <c r="J778" s="56" t="n"/>
      <c r="K778" s="22" t="n"/>
      <c r="L778" s="22" t="n"/>
      <c r="M778" s="22" t="n"/>
      <c r="N778" s="22" t="n"/>
      <c r="O778" s="22" t="n"/>
      <c r="P778" s="23" t="n"/>
      <c r="Q778" s="65" t="n"/>
      <c r="R778" s="65" t="n"/>
      <c r="S778" s="55" t="n"/>
      <c r="T778" s="55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</row>
    <row r="779" ht="15.75" customHeight="1" s="211">
      <c r="A779" s="55" t="n"/>
      <c r="B779" s="12" t="n"/>
      <c r="C779" s="55">
        <f>'Sales Candence'!B779</f>
        <v/>
      </c>
      <c r="D779" s="71" t="n"/>
      <c r="E779" s="71" t="n"/>
      <c r="F779" s="22" t="n"/>
      <c r="G779" s="22" t="n"/>
      <c r="H779" s="31" t="n"/>
      <c r="I779" s="23" t="n"/>
      <c r="J779" s="56" t="n"/>
      <c r="K779" s="22" t="n"/>
      <c r="L779" s="22" t="n"/>
      <c r="M779" s="22" t="n"/>
      <c r="N779" s="22" t="n"/>
      <c r="O779" s="22" t="n"/>
      <c r="P779" s="23" t="n"/>
      <c r="Q779" s="65" t="n"/>
      <c r="R779" s="65" t="n"/>
      <c r="S779" s="55" t="n"/>
      <c r="T779" s="55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</row>
    <row r="780" ht="15.75" customHeight="1" s="211">
      <c r="A780" s="55" t="n"/>
      <c r="B780" s="12" t="n"/>
      <c r="C780" s="55">
        <f>'Sales Candence'!B780</f>
        <v/>
      </c>
      <c r="D780" s="71" t="n"/>
      <c r="E780" s="71" t="n"/>
      <c r="F780" s="22" t="n"/>
      <c r="G780" s="22" t="n"/>
      <c r="H780" s="31" t="n"/>
      <c r="I780" s="23" t="n"/>
      <c r="J780" s="56" t="n"/>
      <c r="K780" s="22" t="n"/>
      <c r="L780" s="22" t="n"/>
      <c r="M780" s="22" t="n"/>
      <c r="N780" s="22" t="n"/>
      <c r="O780" s="22" t="n"/>
      <c r="P780" s="23" t="n"/>
      <c r="Q780" s="65" t="n"/>
      <c r="R780" s="65" t="n"/>
      <c r="S780" s="55" t="n"/>
      <c r="T780" s="55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</row>
    <row r="781" ht="15.75" customHeight="1" s="211">
      <c r="A781" s="55" t="n"/>
      <c r="B781" s="12" t="n"/>
      <c r="C781" s="55">
        <f>'Sales Candence'!B781</f>
        <v/>
      </c>
      <c r="D781" s="71" t="n"/>
      <c r="E781" s="71" t="n"/>
      <c r="F781" s="22" t="n"/>
      <c r="G781" s="22" t="n"/>
      <c r="H781" s="31" t="n"/>
      <c r="I781" s="23" t="n"/>
      <c r="J781" s="56" t="n"/>
      <c r="K781" s="22" t="n"/>
      <c r="L781" s="22" t="n"/>
      <c r="M781" s="22" t="n"/>
      <c r="N781" s="22" t="n"/>
      <c r="O781" s="22" t="n"/>
      <c r="P781" s="23" t="n"/>
      <c r="Q781" s="65" t="n"/>
      <c r="R781" s="65" t="n"/>
      <c r="S781" s="55" t="n"/>
      <c r="T781" s="55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</row>
    <row r="782" ht="15.75" customHeight="1" s="211">
      <c r="A782" s="55" t="n"/>
      <c r="B782" s="12" t="n"/>
      <c r="C782" s="55">
        <f>'Sales Candence'!B782</f>
        <v/>
      </c>
      <c r="D782" s="71" t="n"/>
      <c r="E782" s="71" t="n"/>
      <c r="F782" s="22" t="n"/>
      <c r="G782" s="22" t="n"/>
      <c r="H782" s="31" t="n"/>
      <c r="I782" s="23" t="n"/>
      <c r="J782" s="56" t="n"/>
      <c r="K782" s="22" t="n"/>
      <c r="L782" s="22" t="n"/>
      <c r="M782" s="22" t="n"/>
      <c r="N782" s="22" t="n"/>
      <c r="O782" s="22" t="n"/>
      <c r="P782" s="23" t="n"/>
      <c r="Q782" s="65" t="n"/>
      <c r="R782" s="65" t="n"/>
      <c r="S782" s="55" t="n"/>
      <c r="T782" s="55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</row>
    <row r="783" ht="15.75" customHeight="1" s="211">
      <c r="A783" s="55" t="n"/>
      <c r="B783" s="12" t="n"/>
      <c r="C783" s="55">
        <f>'Sales Candence'!B783</f>
        <v/>
      </c>
      <c r="D783" s="71" t="n"/>
      <c r="E783" s="71" t="n"/>
      <c r="F783" s="22" t="n"/>
      <c r="G783" s="22" t="n"/>
      <c r="H783" s="31" t="n"/>
      <c r="I783" s="23" t="n"/>
      <c r="J783" s="56" t="n"/>
      <c r="K783" s="22" t="n"/>
      <c r="L783" s="22" t="n"/>
      <c r="M783" s="22" t="n"/>
      <c r="N783" s="22" t="n"/>
      <c r="O783" s="22" t="n"/>
      <c r="P783" s="23" t="n"/>
      <c r="Q783" s="65" t="n"/>
      <c r="R783" s="65" t="n"/>
      <c r="S783" s="55" t="n"/>
      <c r="T783" s="55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</row>
    <row r="784" ht="15.75" customHeight="1" s="211">
      <c r="A784" s="55" t="n"/>
      <c r="B784" s="12" t="n"/>
      <c r="C784" s="55">
        <f>'Sales Candence'!B784</f>
        <v/>
      </c>
      <c r="D784" s="71" t="n"/>
      <c r="E784" s="71" t="n"/>
      <c r="F784" s="22" t="n"/>
      <c r="G784" s="22" t="n"/>
      <c r="H784" s="31" t="n"/>
      <c r="I784" s="23" t="n"/>
      <c r="J784" s="56" t="n"/>
      <c r="K784" s="22" t="n"/>
      <c r="L784" s="22" t="n"/>
      <c r="M784" s="22" t="n"/>
      <c r="N784" s="22" t="n"/>
      <c r="O784" s="22" t="n"/>
      <c r="P784" s="23" t="n"/>
      <c r="Q784" s="65" t="n"/>
      <c r="R784" s="65" t="n"/>
      <c r="S784" s="55" t="n"/>
      <c r="T784" s="55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</row>
    <row r="785" ht="15.75" customHeight="1" s="211">
      <c r="A785" s="55" t="n"/>
      <c r="B785" s="12" t="n"/>
      <c r="C785" s="55">
        <f>'Sales Candence'!B785</f>
        <v/>
      </c>
      <c r="D785" s="71" t="n"/>
      <c r="E785" s="71" t="n"/>
      <c r="F785" s="22" t="n"/>
      <c r="G785" s="22" t="n"/>
      <c r="H785" s="31" t="n"/>
      <c r="I785" s="23" t="n"/>
      <c r="J785" s="56" t="n"/>
      <c r="K785" s="22" t="n"/>
      <c r="L785" s="22" t="n"/>
      <c r="M785" s="22" t="n"/>
      <c r="N785" s="22" t="n"/>
      <c r="O785" s="22" t="n"/>
      <c r="P785" s="23" t="n"/>
      <c r="Q785" s="65" t="n"/>
      <c r="R785" s="65" t="n"/>
      <c r="S785" s="55" t="n"/>
      <c r="T785" s="55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</row>
    <row r="786" ht="15.75" customHeight="1" s="211">
      <c r="A786" s="55" t="n"/>
      <c r="B786" s="12" t="n"/>
      <c r="C786" s="55">
        <f>'Sales Candence'!B786</f>
        <v/>
      </c>
      <c r="D786" s="71" t="n"/>
      <c r="E786" s="71" t="n"/>
      <c r="F786" s="22" t="n"/>
      <c r="G786" s="22" t="n"/>
      <c r="H786" s="31" t="n"/>
      <c r="I786" s="23" t="n"/>
      <c r="J786" s="56" t="n"/>
      <c r="K786" s="22" t="n"/>
      <c r="L786" s="22" t="n"/>
      <c r="M786" s="22" t="n"/>
      <c r="N786" s="22" t="n"/>
      <c r="O786" s="22" t="n"/>
      <c r="P786" s="23" t="n"/>
      <c r="Q786" s="65" t="n"/>
      <c r="R786" s="65" t="n"/>
      <c r="S786" s="55" t="n"/>
      <c r="T786" s="55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</row>
    <row r="787" ht="15.75" customHeight="1" s="211">
      <c r="A787" s="55" t="n"/>
      <c r="B787" s="12" t="n"/>
      <c r="C787" s="55">
        <f>'Sales Candence'!B787</f>
        <v/>
      </c>
      <c r="D787" s="71" t="n"/>
      <c r="E787" s="71" t="n"/>
      <c r="F787" s="22" t="n"/>
      <c r="G787" s="22" t="n"/>
      <c r="H787" s="31" t="n"/>
      <c r="I787" s="23" t="n"/>
      <c r="J787" s="56" t="n"/>
      <c r="K787" s="22" t="n"/>
      <c r="L787" s="22" t="n"/>
      <c r="M787" s="22" t="n"/>
      <c r="N787" s="22" t="n"/>
      <c r="O787" s="22" t="n"/>
      <c r="P787" s="23" t="n"/>
      <c r="Q787" s="65" t="n"/>
      <c r="R787" s="65" t="n"/>
      <c r="S787" s="55" t="n"/>
      <c r="T787" s="55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</row>
    <row r="788" ht="15.75" customHeight="1" s="211">
      <c r="A788" s="55" t="n"/>
      <c r="B788" s="12" t="n"/>
      <c r="C788" s="55">
        <f>'Sales Candence'!B788</f>
        <v/>
      </c>
      <c r="D788" s="71" t="n"/>
      <c r="E788" s="71" t="n"/>
      <c r="F788" s="22" t="n"/>
      <c r="G788" s="22" t="n"/>
      <c r="H788" s="31" t="n"/>
      <c r="I788" s="23" t="n"/>
      <c r="J788" s="56" t="n"/>
      <c r="K788" s="22" t="n"/>
      <c r="L788" s="22" t="n"/>
      <c r="M788" s="22" t="n"/>
      <c r="N788" s="22" t="n"/>
      <c r="O788" s="22" t="n"/>
      <c r="P788" s="23" t="n"/>
      <c r="Q788" s="65" t="n"/>
      <c r="R788" s="65" t="n"/>
      <c r="S788" s="55" t="n"/>
      <c r="T788" s="55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</row>
    <row r="789" ht="15.75" customHeight="1" s="211">
      <c r="A789" s="55" t="n"/>
      <c r="B789" s="12" t="n"/>
      <c r="C789" s="55">
        <f>'Sales Candence'!B789</f>
        <v/>
      </c>
      <c r="D789" s="71" t="n"/>
      <c r="E789" s="71" t="n"/>
      <c r="F789" s="22" t="n"/>
      <c r="G789" s="22" t="n"/>
      <c r="H789" s="31" t="n"/>
      <c r="I789" s="23" t="n"/>
      <c r="J789" s="56" t="n"/>
      <c r="K789" s="22" t="n"/>
      <c r="L789" s="22" t="n"/>
      <c r="M789" s="22" t="n"/>
      <c r="N789" s="22" t="n"/>
      <c r="O789" s="22" t="n"/>
      <c r="P789" s="23" t="n"/>
      <c r="Q789" s="65" t="n"/>
      <c r="R789" s="65" t="n"/>
      <c r="S789" s="55" t="n"/>
      <c r="T789" s="55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</row>
    <row r="790" ht="15.75" customHeight="1" s="211">
      <c r="A790" s="55" t="n"/>
      <c r="B790" s="12" t="n"/>
      <c r="C790" s="55">
        <f>'Sales Candence'!B790</f>
        <v/>
      </c>
      <c r="D790" s="71" t="n"/>
      <c r="E790" s="71" t="n"/>
      <c r="F790" s="22" t="n"/>
      <c r="G790" s="22" t="n"/>
      <c r="H790" s="31" t="n"/>
      <c r="I790" s="23" t="n"/>
      <c r="J790" s="56" t="n"/>
      <c r="K790" s="22" t="n"/>
      <c r="L790" s="22" t="n"/>
      <c r="M790" s="22" t="n"/>
      <c r="N790" s="22" t="n"/>
      <c r="O790" s="22" t="n"/>
      <c r="P790" s="23" t="n"/>
      <c r="Q790" s="65" t="n"/>
      <c r="R790" s="65" t="n"/>
      <c r="S790" s="55" t="n"/>
      <c r="T790" s="55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</row>
    <row r="791" ht="15.75" customHeight="1" s="211">
      <c r="A791" s="55" t="n"/>
      <c r="B791" s="12" t="n"/>
      <c r="C791" s="55">
        <f>'Sales Candence'!B791</f>
        <v/>
      </c>
      <c r="D791" s="71" t="n"/>
      <c r="E791" s="71" t="n"/>
      <c r="F791" s="22" t="n"/>
      <c r="G791" s="22" t="n"/>
      <c r="H791" s="31" t="n"/>
      <c r="I791" s="23" t="n"/>
      <c r="J791" s="56" t="n"/>
      <c r="K791" s="22" t="n"/>
      <c r="L791" s="22" t="n"/>
      <c r="M791" s="22" t="n"/>
      <c r="N791" s="22" t="n"/>
      <c r="O791" s="22" t="n"/>
      <c r="P791" s="23" t="n"/>
      <c r="Q791" s="65" t="n"/>
      <c r="R791" s="65" t="n"/>
      <c r="S791" s="55" t="n"/>
      <c r="T791" s="55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</row>
    <row r="792" ht="15.75" customHeight="1" s="211">
      <c r="A792" s="55" t="n"/>
      <c r="B792" s="12" t="n"/>
      <c r="C792" s="55">
        <f>'Sales Candence'!B792</f>
        <v/>
      </c>
      <c r="D792" s="71" t="n"/>
      <c r="E792" s="71" t="n"/>
      <c r="F792" s="22" t="n"/>
      <c r="G792" s="22" t="n"/>
      <c r="H792" s="31" t="n"/>
      <c r="I792" s="23" t="n"/>
      <c r="J792" s="56" t="n"/>
      <c r="K792" s="22" t="n"/>
      <c r="L792" s="22" t="n"/>
      <c r="M792" s="22" t="n"/>
      <c r="N792" s="22" t="n"/>
      <c r="O792" s="22" t="n"/>
      <c r="P792" s="23" t="n"/>
      <c r="Q792" s="65" t="n"/>
      <c r="R792" s="65" t="n"/>
      <c r="S792" s="55" t="n"/>
      <c r="T792" s="55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</row>
    <row r="793" ht="15.75" customHeight="1" s="211">
      <c r="A793" s="55" t="n"/>
      <c r="B793" s="12" t="n"/>
      <c r="C793" s="55">
        <f>'Sales Candence'!B793</f>
        <v/>
      </c>
      <c r="D793" s="71" t="n"/>
      <c r="E793" s="71" t="n"/>
      <c r="F793" s="22" t="n"/>
      <c r="G793" s="22" t="n"/>
      <c r="H793" s="31" t="n"/>
      <c r="I793" s="23" t="n"/>
      <c r="J793" s="56" t="n"/>
      <c r="K793" s="22" t="n"/>
      <c r="L793" s="22" t="n"/>
      <c r="M793" s="22" t="n"/>
      <c r="N793" s="22" t="n"/>
      <c r="O793" s="22" t="n"/>
      <c r="P793" s="23" t="n"/>
      <c r="Q793" s="65" t="n"/>
      <c r="R793" s="65" t="n"/>
      <c r="S793" s="55" t="n"/>
      <c r="T793" s="55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</row>
    <row r="794" ht="15.75" customHeight="1" s="211">
      <c r="A794" s="55" t="n"/>
      <c r="B794" s="12" t="n"/>
      <c r="C794" s="55">
        <f>'Sales Candence'!B794</f>
        <v/>
      </c>
      <c r="D794" s="71" t="n"/>
      <c r="E794" s="71" t="n"/>
      <c r="F794" s="22" t="n"/>
      <c r="G794" s="22" t="n"/>
      <c r="H794" s="31" t="n"/>
      <c r="I794" s="23" t="n"/>
      <c r="J794" s="56" t="n"/>
      <c r="K794" s="22" t="n"/>
      <c r="L794" s="22" t="n"/>
      <c r="M794" s="22" t="n"/>
      <c r="N794" s="22" t="n"/>
      <c r="O794" s="22" t="n"/>
      <c r="P794" s="23" t="n"/>
      <c r="Q794" s="65" t="n"/>
      <c r="R794" s="65" t="n"/>
      <c r="S794" s="55" t="n"/>
      <c r="T794" s="55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</row>
    <row r="795" ht="15.75" customHeight="1" s="211">
      <c r="A795" s="55" t="n"/>
      <c r="B795" s="12" t="n"/>
      <c r="C795" s="55">
        <f>'Sales Candence'!B795</f>
        <v/>
      </c>
      <c r="D795" s="71" t="n"/>
      <c r="E795" s="71" t="n"/>
      <c r="F795" s="22" t="n"/>
      <c r="G795" s="22" t="n"/>
      <c r="H795" s="31" t="n"/>
      <c r="I795" s="23" t="n"/>
      <c r="J795" s="56" t="n"/>
      <c r="K795" s="22" t="n"/>
      <c r="L795" s="22" t="n"/>
      <c r="M795" s="22" t="n"/>
      <c r="N795" s="22" t="n"/>
      <c r="O795" s="22" t="n"/>
      <c r="P795" s="23" t="n"/>
      <c r="Q795" s="65" t="n"/>
      <c r="R795" s="65" t="n"/>
      <c r="S795" s="55" t="n"/>
      <c r="T795" s="55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</row>
    <row r="796" ht="15.75" customHeight="1" s="211">
      <c r="A796" s="55" t="n"/>
      <c r="B796" s="12" t="n"/>
      <c r="C796" s="55">
        <f>'Sales Candence'!B796</f>
        <v/>
      </c>
      <c r="D796" s="71" t="n"/>
      <c r="E796" s="71" t="n"/>
      <c r="F796" s="22" t="n"/>
      <c r="G796" s="22" t="n"/>
      <c r="H796" s="31" t="n"/>
      <c r="I796" s="23" t="n"/>
      <c r="J796" s="56" t="n"/>
      <c r="K796" s="22" t="n"/>
      <c r="L796" s="22" t="n"/>
      <c r="M796" s="22" t="n"/>
      <c r="N796" s="22" t="n"/>
      <c r="O796" s="22" t="n"/>
      <c r="P796" s="23" t="n"/>
      <c r="Q796" s="65" t="n"/>
      <c r="R796" s="65" t="n"/>
      <c r="S796" s="55" t="n"/>
      <c r="T796" s="55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</row>
    <row r="797" ht="15.75" customHeight="1" s="211">
      <c r="A797" s="55" t="n"/>
      <c r="B797" s="12" t="n"/>
      <c r="C797" s="55">
        <f>'Sales Candence'!B797</f>
        <v/>
      </c>
      <c r="D797" s="71" t="n"/>
      <c r="E797" s="71" t="n"/>
      <c r="F797" s="22" t="n"/>
      <c r="G797" s="22" t="n"/>
      <c r="H797" s="31" t="n"/>
      <c r="I797" s="23" t="n"/>
      <c r="J797" s="56" t="n"/>
      <c r="K797" s="22" t="n"/>
      <c r="L797" s="22" t="n"/>
      <c r="M797" s="22" t="n"/>
      <c r="N797" s="22" t="n"/>
      <c r="O797" s="22" t="n"/>
      <c r="P797" s="23" t="n"/>
      <c r="Q797" s="65" t="n"/>
      <c r="R797" s="65" t="n"/>
      <c r="S797" s="55" t="n"/>
      <c r="T797" s="55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</row>
    <row r="798" ht="15.75" customHeight="1" s="211">
      <c r="A798" s="55" t="n"/>
      <c r="B798" s="12" t="n"/>
      <c r="C798" s="55">
        <f>'Sales Candence'!B798</f>
        <v/>
      </c>
      <c r="D798" s="71" t="n"/>
      <c r="E798" s="71" t="n"/>
      <c r="F798" s="22" t="n"/>
      <c r="G798" s="22" t="n"/>
      <c r="H798" s="31" t="n"/>
      <c r="I798" s="23" t="n"/>
      <c r="J798" s="56" t="n"/>
      <c r="K798" s="22" t="n"/>
      <c r="L798" s="22" t="n"/>
      <c r="M798" s="22" t="n"/>
      <c r="N798" s="22" t="n"/>
      <c r="O798" s="22" t="n"/>
      <c r="P798" s="23" t="n"/>
      <c r="Q798" s="65" t="n"/>
      <c r="R798" s="65" t="n"/>
      <c r="S798" s="55" t="n"/>
      <c r="T798" s="55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</row>
    <row r="799" ht="15.75" customHeight="1" s="211">
      <c r="A799" s="55" t="n"/>
      <c r="B799" s="12" t="n"/>
      <c r="C799" s="55">
        <f>'Sales Candence'!B799</f>
        <v/>
      </c>
      <c r="D799" s="71" t="n"/>
      <c r="E799" s="71" t="n"/>
      <c r="F799" s="22" t="n"/>
      <c r="G799" s="22" t="n"/>
      <c r="H799" s="31" t="n"/>
      <c r="I799" s="23" t="n"/>
      <c r="J799" s="56" t="n"/>
      <c r="K799" s="22" t="n"/>
      <c r="L799" s="22" t="n"/>
      <c r="M799" s="22" t="n"/>
      <c r="N799" s="22" t="n"/>
      <c r="O799" s="22" t="n"/>
      <c r="P799" s="23" t="n"/>
      <c r="Q799" s="65" t="n"/>
      <c r="R799" s="65" t="n"/>
      <c r="S799" s="55" t="n"/>
      <c r="T799" s="55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</row>
    <row r="800" ht="15.75" customHeight="1" s="211">
      <c r="A800" s="55" t="n"/>
      <c r="B800" s="12" t="n"/>
      <c r="C800" s="55">
        <f>'Sales Candence'!B800</f>
        <v/>
      </c>
      <c r="D800" s="71" t="n"/>
      <c r="E800" s="71" t="n"/>
      <c r="F800" s="22" t="n"/>
      <c r="G800" s="22" t="n"/>
      <c r="H800" s="31" t="n"/>
      <c r="I800" s="23" t="n"/>
      <c r="J800" s="56" t="n"/>
      <c r="K800" s="22" t="n"/>
      <c r="L800" s="22" t="n"/>
      <c r="M800" s="22" t="n"/>
      <c r="N800" s="22" t="n"/>
      <c r="O800" s="22" t="n"/>
      <c r="P800" s="23" t="n"/>
      <c r="Q800" s="65" t="n"/>
      <c r="R800" s="65" t="n"/>
      <c r="S800" s="55" t="n"/>
      <c r="T800" s="55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</row>
    <row r="801" ht="15.75" customHeight="1" s="211">
      <c r="A801" s="55" t="n"/>
      <c r="B801" s="12" t="n"/>
      <c r="C801" s="55">
        <f>'Sales Candence'!B801</f>
        <v/>
      </c>
      <c r="D801" s="71" t="n"/>
      <c r="E801" s="71" t="n"/>
      <c r="F801" s="22" t="n"/>
      <c r="G801" s="22" t="n"/>
      <c r="H801" s="31" t="n"/>
      <c r="I801" s="23" t="n"/>
      <c r="J801" s="56" t="n"/>
      <c r="K801" s="22" t="n"/>
      <c r="L801" s="22" t="n"/>
      <c r="M801" s="22" t="n"/>
      <c r="N801" s="22" t="n"/>
      <c r="O801" s="22" t="n"/>
      <c r="P801" s="23" t="n"/>
      <c r="Q801" s="65" t="n"/>
      <c r="R801" s="65" t="n"/>
      <c r="S801" s="55" t="n"/>
      <c r="T801" s="55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</row>
    <row r="802" ht="15.75" customHeight="1" s="211">
      <c r="A802" s="55" t="n"/>
      <c r="B802" s="12" t="n"/>
      <c r="C802" s="55">
        <f>'Sales Candence'!B802</f>
        <v/>
      </c>
      <c r="D802" s="71" t="n"/>
      <c r="E802" s="71" t="n"/>
      <c r="F802" s="22" t="n"/>
      <c r="G802" s="22" t="n"/>
      <c r="H802" s="31" t="n"/>
      <c r="I802" s="23" t="n"/>
      <c r="J802" s="56" t="n"/>
      <c r="K802" s="22" t="n"/>
      <c r="L802" s="22" t="n"/>
      <c r="M802" s="22" t="n"/>
      <c r="N802" s="22" t="n"/>
      <c r="O802" s="22" t="n"/>
      <c r="P802" s="23" t="n"/>
      <c r="Q802" s="65" t="n"/>
      <c r="R802" s="65" t="n"/>
      <c r="S802" s="55" t="n"/>
      <c r="T802" s="55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</row>
    <row r="803" ht="15.75" customHeight="1" s="211">
      <c r="A803" s="55" t="n"/>
      <c r="B803" s="12" t="n"/>
      <c r="C803" s="55">
        <f>'Sales Candence'!B803</f>
        <v/>
      </c>
      <c r="D803" s="71" t="n"/>
      <c r="E803" s="71" t="n"/>
      <c r="F803" s="22" t="n"/>
      <c r="G803" s="22" t="n"/>
      <c r="H803" s="31" t="n"/>
      <c r="I803" s="23" t="n"/>
      <c r="J803" s="56" t="n"/>
      <c r="K803" s="22" t="n"/>
      <c r="L803" s="22" t="n"/>
      <c r="M803" s="22" t="n"/>
      <c r="N803" s="22" t="n"/>
      <c r="O803" s="22" t="n"/>
      <c r="P803" s="23" t="n"/>
      <c r="Q803" s="65" t="n"/>
      <c r="R803" s="65" t="n"/>
      <c r="S803" s="55" t="n"/>
      <c r="T803" s="55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</row>
    <row r="804" ht="15.75" customHeight="1" s="211">
      <c r="A804" s="55" t="n"/>
      <c r="B804" s="12" t="n"/>
      <c r="C804" s="55">
        <f>'Sales Candence'!B804</f>
        <v/>
      </c>
      <c r="D804" s="71" t="n"/>
      <c r="E804" s="71" t="n"/>
      <c r="F804" s="22" t="n"/>
      <c r="G804" s="22" t="n"/>
      <c r="H804" s="31" t="n"/>
      <c r="I804" s="23" t="n"/>
      <c r="J804" s="56" t="n"/>
      <c r="K804" s="22" t="n"/>
      <c r="L804" s="22" t="n"/>
      <c r="M804" s="22" t="n"/>
      <c r="N804" s="22" t="n"/>
      <c r="O804" s="22" t="n"/>
      <c r="P804" s="23" t="n"/>
      <c r="Q804" s="65" t="n"/>
      <c r="R804" s="65" t="n"/>
      <c r="S804" s="55" t="n"/>
      <c r="T804" s="55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</row>
    <row r="805" ht="15.75" customHeight="1" s="211">
      <c r="A805" s="55" t="n"/>
      <c r="B805" s="12" t="n"/>
      <c r="C805" s="55">
        <f>'Sales Candence'!B805</f>
        <v/>
      </c>
      <c r="D805" s="71" t="n"/>
      <c r="E805" s="71" t="n"/>
      <c r="F805" s="22" t="n"/>
      <c r="G805" s="22" t="n"/>
      <c r="H805" s="31" t="n"/>
      <c r="I805" s="23" t="n"/>
      <c r="J805" s="56" t="n"/>
      <c r="K805" s="22" t="n"/>
      <c r="L805" s="22" t="n"/>
      <c r="M805" s="22" t="n"/>
      <c r="N805" s="22" t="n"/>
      <c r="O805" s="22" t="n"/>
      <c r="P805" s="23" t="n"/>
      <c r="Q805" s="65" t="n"/>
      <c r="R805" s="65" t="n"/>
      <c r="S805" s="55" t="n"/>
      <c r="T805" s="55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</row>
    <row r="806" ht="15.75" customHeight="1" s="211">
      <c r="A806" s="55" t="n"/>
      <c r="B806" s="12" t="n"/>
      <c r="C806" s="55">
        <f>'Sales Candence'!B806</f>
        <v/>
      </c>
      <c r="D806" s="71" t="n"/>
      <c r="E806" s="71" t="n"/>
      <c r="F806" s="22" t="n"/>
      <c r="G806" s="22" t="n"/>
      <c r="H806" s="31" t="n"/>
      <c r="I806" s="23" t="n"/>
      <c r="J806" s="56" t="n"/>
      <c r="K806" s="22" t="n"/>
      <c r="L806" s="22" t="n"/>
      <c r="M806" s="22" t="n"/>
      <c r="N806" s="22" t="n"/>
      <c r="O806" s="22" t="n"/>
      <c r="P806" s="23" t="n"/>
      <c r="Q806" s="65" t="n"/>
      <c r="R806" s="65" t="n"/>
      <c r="S806" s="55" t="n"/>
      <c r="T806" s="55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</row>
    <row r="807" ht="15.75" customHeight="1" s="211">
      <c r="A807" s="55" t="n"/>
      <c r="B807" s="12" t="n"/>
      <c r="C807" s="55">
        <f>'Sales Candence'!B807</f>
        <v/>
      </c>
      <c r="D807" s="71" t="n"/>
      <c r="E807" s="71" t="n"/>
      <c r="F807" s="22" t="n"/>
      <c r="G807" s="22" t="n"/>
      <c r="H807" s="31" t="n"/>
      <c r="I807" s="23" t="n"/>
      <c r="J807" s="56" t="n"/>
      <c r="K807" s="22" t="n"/>
      <c r="L807" s="22" t="n"/>
      <c r="M807" s="22" t="n"/>
      <c r="N807" s="22" t="n"/>
      <c r="O807" s="22" t="n"/>
      <c r="P807" s="23" t="n"/>
      <c r="Q807" s="65" t="n"/>
      <c r="R807" s="65" t="n"/>
      <c r="S807" s="55" t="n"/>
      <c r="T807" s="55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</row>
    <row r="808" ht="15.75" customHeight="1" s="211">
      <c r="A808" s="55" t="n"/>
      <c r="B808" s="12" t="n"/>
      <c r="C808" s="55">
        <f>'Sales Candence'!B808</f>
        <v/>
      </c>
      <c r="D808" s="71" t="n"/>
      <c r="E808" s="71" t="n"/>
      <c r="F808" s="22" t="n"/>
      <c r="G808" s="22" t="n"/>
      <c r="H808" s="31" t="n"/>
      <c r="I808" s="23" t="n"/>
      <c r="J808" s="56" t="n"/>
      <c r="K808" s="22" t="n"/>
      <c r="L808" s="22" t="n"/>
      <c r="M808" s="22" t="n"/>
      <c r="N808" s="22" t="n"/>
      <c r="O808" s="22" t="n"/>
      <c r="P808" s="23" t="n"/>
      <c r="Q808" s="65" t="n"/>
      <c r="R808" s="65" t="n"/>
      <c r="S808" s="55" t="n"/>
      <c r="T808" s="55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</row>
    <row r="809" ht="15.75" customHeight="1" s="211">
      <c r="A809" s="55" t="n"/>
      <c r="B809" s="12" t="n"/>
      <c r="C809" s="55">
        <f>'Sales Candence'!B809</f>
        <v/>
      </c>
      <c r="D809" s="71" t="n"/>
      <c r="E809" s="71" t="n"/>
      <c r="F809" s="22" t="n"/>
      <c r="G809" s="22" t="n"/>
      <c r="H809" s="31" t="n"/>
      <c r="I809" s="23" t="n"/>
      <c r="J809" s="56" t="n"/>
      <c r="K809" s="22" t="n"/>
      <c r="L809" s="22" t="n"/>
      <c r="M809" s="22" t="n"/>
      <c r="N809" s="22" t="n"/>
      <c r="O809" s="22" t="n"/>
      <c r="P809" s="23" t="n"/>
      <c r="Q809" s="65" t="n"/>
      <c r="R809" s="65" t="n"/>
      <c r="S809" s="55" t="n"/>
      <c r="T809" s="55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</row>
    <row r="810" ht="15.75" customHeight="1" s="211">
      <c r="A810" s="55" t="n"/>
      <c r="B810" s="12" t="n"/>
      <c r="C810" s="55">
        <f>'Sales Candence'!B810</f>
        <v/>
      </c>
      <c r="D810" s="71" t="n"/>
      <c r="E810" s="71" t="n"/>
      <c r="F810" s="22" t="n"/>
      <c r="G810" s="22" t="n"/>
      <c r="H810" s="31" t="n"/>
      <c r="I810" s="23" t="n"/>
      <c r="J810" s="56" t="n"/>
      <c r="K810" s="22" t="n"/>
      <c r="L810" s="22" t="n"/>
      <c r="M810" s="22" t="n"/>
      <c r="N810" s="22" t="n"/>
      <c r="O810" s="22" t="n"/>
      <c r="P810" s="23" t="n"/>
      <c r="Q810" s="65" t="n"/>
      <c r="R810" s="65" t="n"/>
      <c r="S810" s="55" t="n"/>
      <c r="T810" s="55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</row>
    <row r="811" ht="15.75" customHeight="1" s="211">
      <c r="A811" s="55" t="n"/>
      <c r="B811" s="12" t="n"/>
      <c r="C811" s="55">
        <f>'Sales Candence'!B811</f>
        <v/>
      </c>
      <c r="D811" s="71" t="n"/>
      <c r="E811" s="71" t="n"/>
      <c r="F811" s="22" t="n"/>
      <c r="G811" s="22" t="n"/>
      <c r="H811" s="31" t="n"/>
      <c r="I811" s="23" t="n"/>
      <c r="J811" s="56" t="n"/>
      <c r="K811" s="22" t="n"/>
      <c r="L811" s="22" t="n"/>
      <c r="M811" s="22" t="n"/>
      <c r="N811" s="22" t="n"/>
      <c r="O811" s="22" t="n"/>
      <c r="P811" s="23" t="n"/>
      <c r="Q811" s="65" t="n"/>
      <c r="R811" s="65" t="n"/>
      <c r="S811" s="55" t="n"/>
      <c r="T811" s="55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</row>
    <row r="812" ht="15.75" customHeight="1" s="211">
      <c r="A812" s="55" t="n"/>
      <c r="B812" s="12" t="n"/>
      <c r="C812" s="55">
        <f>'Sales Candence'!B812</f>
        <v/>
      </c>
      <c r="D812" s="71" t="n"/>
      <c r="E812" s="71" t="n"/>
      <c r="F812" s="22" t="n"/>
      <c r="G812" s="22" t="n"/>
      <c r="H812" s="31" t="n"/>
      <c r="I812" s="23" t="n"/>
      <c r="J812" s="56" t="n"/>
      <c r="K812" s="22" t="n"/>
      <c r="L812" s="22" t="n"/>
      <c r="M812" s="22" t="n"/>
      <c r="N812" s="22" t="n"/>
      <c r="O812" s="22" t="n"/>
      <c r="P812" s="23" t="n"/>
      <c r="Q812" s="65" t="n"/>
      <c r="R812" s="65" t="n"/>
      <c r="S812" s="55" t="n"/>
      <c r="T812" s="55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</row>
    <row r="813" ht="15.75" customHeight="1" s="211">
      <c r="A813" s="55" t="n"/>
      <c r="B813" s="12" t="n"/>
      <c r="C813" s="55">
        <f>'Sales Candence'!B813</f>
        <v/>
      </c>
      <c r="D813" s="71" t="n"/>
      <c r="E813" s="71" t="n"/>
      <c r="F813" s="22" t="n"/>
      <c r="G813" s="22" t="n"/>
      <c r="H813" s="31" t="n"/>
      <c r="I813" s="23" t="n"/>
      <c r="J813" s="56" t="n"/>
      <c r="K813" s="22" t="n"/>
      <c r="L813" s="22" t="n"/>
      <c r="M813" s="22" t="n"/>
      <c r="N813" s="22" t="n"/>
      <c r="O813" s="22" t="n"/>
      <c r="P813" s="23" t="n"/>
      <c r="Q813" s="65" t="n"/>
      <c r="R813" s="65" t="n"/>
      <c r="S813" s="55" t="n"/>
      <c r="T813" s="55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</row>
    <row r="814" ht="15.75" customHeight="1" s="211">
      <c r="A814" s="55" t="n"/>
      <c r="B814" s="12" t="n"/>
      <c r="C814" s="55">
        <f>'Sales Candence'!B814</f>
        <v/>
      </c>
      <c r="D814" s="71" t="n"/>
      <c r="E814" s="71" t="n"/>
      <c r="F814" s="22" t="n"/>
      <c r="G814" s="22" t="n"/>
      <c r="H814" s="31" t="n"/>
      <c r="I814" s="23" t="n"/>
      <c r="J814" s="56" t="n"/>
      <c r="K814" s="22" t="n"/>
      <c r="L814" s="22" t="n"/>
      <c r="M814" s="22" t="n"/>
      <c r="N814" s="22" t="n"/>
      <c r="O814" s="22" t="n"/>
      <c r="P814" s="23" t="n"/>
      <c r="Q814" s="65" t="n"/>
      <c r="R814" s="65" t="n"/>
      <c r="S814" s="55" t="n"/>
      <c r="T814" s="55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</row>
    <row r="815" ht="15.75" customHeight="1" s="211">
      <c r="A815" s="55" t="n"/>
      <c r="B815" s="12" t="n"/>
      <c r="C815" s="55">
        <f>'Sales Candence'!B815</f>
        <v/>
      </c>
      <c r="D815" s="71" t="n"/>
      <c r="E815" s="71" t="n"/>
      <c r="F815" s="22" t="n"/>
      <c r="G815" s="22" t="n"/>
      <c r="H815" s="31" t="n"/>
      <c r="I815" s="23" t="n"/>
      <c r="J815" s="56" t="n"/>
      <c r="K815" s="22" t="n"/>
      <c r="L815" s="22" t="n"/>
      <c r="M815" s="22" t="n"/>
      <c r="N815" s="22" t="n"/>
      <c r="O815" s="22" t="n"/>
      <c r="P815" s="23" t="n"/>
      <c r="Q815" s="65" t="n"/>
      <c r="R815" s="65" t="n"/>
      <c r="S815" s="55" t="n"/>
      <c r="T815" s="55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</row>
    <row r="816" ht="15.75" customHeight="1" s="211">
      <c r="A816" s="55" t="n"/>
      <c r="B816" s="12" t="n"/>
      <c r="C816" s="55">
        <f>'Sales Candence'!B816</f>
        <v/>
      </c>
      <c r="D816" s="71" t="n"/>
      <c r="E816" s="71" t="n"/>
      <c r="F816" s="22" t="n"/>
      <c r="G816" s="22" t="n"/>
      <c r="H816" s="31" t="n"/>
      <c r="I816" s="23" t="n"/>
      <c r="J816" s="56" t="n"/>
      <c r="K816" s="22" t="n"/>
      <c r="L816" s="22" t="n"/>
      <c r="M816" s="22" t="n"/>
      <c r="N816" s="22" t="n"/>
      <c r="O816" s="22" t="n"/>
      <c r="P816" s="23" t="n"/>
      <c r="Q816" s="65" t="n"/>
      <c r="R816" s="65" t="n"/>
      <c r="S816" s="55" t="n"/>
      <c r="T816" s="55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</row>
    <row r="817" ht="15.75" customHeight="1" s="211">
      <c r="A817" s="55" t="n"/>
      <c r="B817" s="12" t="n"/>
      <c r="C817" s="55">
        <f>'Sales Candence'!B817</f>
        <v/>
      </c>
      <c r="D817" s="71" t="n"/>
      <c r="E817" s="71" t="n"/>
      <c r="F817" s="22" t="n"/>
      <c r="G817" s="22" t="n"/>
      <c r="H817" s="31" t="n"/>
      <c r="I817" s="23" t="n"/>
      <c r="J817" s="56" t="n"/>
      <c r="K817" s="22" t="n"/>
      <c r="L817" s="22" t="n"/>
      <c r="M817" s="22" t="n"/>
      <c r="N817" s="22" t="n"/>
      <c r="O817" s="22" t="n"/>
      <c r="P817" s="23" t="n"/>
      <c r="Q817" s="65" t="n"/>
      <c r="R817" s="65" t="n"/>
      <c r="S817" s="55" t="n"/>
      <c r="T817" s="55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</row>
    <row r="818" ht="15.75" customHeight="1" s="211">
      <c r="A818" s="55" t="n"/>
      <c r="B818" s="12" t="n"/>
      <c r="C818" s="55">
        <f>'Sales Candence'!B818</f>
        <v/>
      </c>
      <c r="D818" s="71" t="n"/>
      <c r="E818" s="71" t="n"/>
      <c r="F818" s="22" t="n"/>
      <c r="G818" s="22" t="n"/>
      <c r="H818" s="31" t="n"/>
      <c r="I818" s="23" t="n"/>
      <c r="J818" s="56" t="n"/>
      <c r="K818" s="22" t="n"/>
      <c r="L818" s="22" t="n"/>
      <c r="M818" s="22" t="n"/>
      <c r="N818" s="22" t="n"/>
      <c r="O818" s="22" t="n"/>
      <c r="P818" s="23" t="n"/>
      <c r="Q818" s="65" t="n"/>
      <c r="R818" s="65" t="n"/>
      <c r="S818" s="55" t="n"/>
      <c r="T818" s="55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</row>
    <row r="819" ht="15.75" customHeight="1" s="211">
      <c r="A819" s="55" t="n"/>
      <c r="B819" s="12" t="n"/>
      <c r="C819" s="55">
        <f>'Sales Candence'!B819</f>
        <v/>
      </c>
      <c r="D819" s="71" t="n"/>
      <c r="E819" s="71" t="n"/>
      <c r="F819" s="22" t="n"/>
      <c r="G819" s="22" t="n"/>
      <c r="H819" s="31" t="n"/>
      <c r="I819" s="23" t="n"/>
      <c r="J819" s="56" t="n"/>
      <c r="K819" s="22" t="n"/>
      <c r="L819" s="22" t="n"/>
      <c r="M819" s="22" t="n"/>
      <c r="N819" s="22" t="n"/>
      <c r="O819" s="22" t="n"/>
      <c r="P819" s="23" t="n"/>
      <c r="Q819" s="65" t="n"/>
      <c r="R819" s="65" t="n"/>
      <c r="S819" s="55" t="n"/>
      <c r="T819" s="55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</row>
    <row r="820" ht="15.75" customHeight="1" s="211">
      <c r="A820" s="55" t="n"/>
      <c r="B820" s="12" t="n"/>
      <c r="C820" s="55">
        <f>'Sales Candence'!B820</f>
        <v/>
      </c>
      <c r="D820" s="71" t="n"/>
      <c r="E820" s="71" t="n"/>
      <c r="F820" s="22" t="n"/>
      <c r="G820" s="22" t="n"/>
      <c r="H820" s="31" t="n"/>
      <c r="I820" s="23" t="n"/>
      <c r="J820" s="56" t="n"/>
      <c r="K820" s="22" t="n"/>
      <c r="L820" s="22" t="n"/>
      <c r="M820" s="22" t="n"/>
      <c r="N820" s="22" t="n"/>
      <c r="O820" s="22" t="n"/>
      <c r="P820" s="23" t="n"/>
      <c r="Q820" s="65" t="n"/>
      <c r="R820" s="65" t="n"/>
      <c r="S820" s="55" t="n"/>
      <c r="T820" s="55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</row>
    <row r="821" ht="15.75" customHeight="1" s="211">
      <c r="A821" s="55" t="n"/>
      <c r="B821" s="12" t="n"/>
      <c r="C821" s="55">
        <f>'Sales Candence'!B821</f>
        <v/>
      </c>
      <c r="D821" s="71" t="n"/>
      <c r="E821" s="71" t="n"/>
      <c r="F821" s="22" t="n"/>
      <c r="G821" s="22" t="n"/>
      <c r="H821" s="31" t="n"/>
      <c r="I821" s="23" t="n"/>
      <c r="J821" s="56" t="n"/>
      <c r="K821" s="22" t="n"/>
      <c r="L821" s="22" t="n"/>
      <c r="M821" s="22" t="n"/>
      <c r="N821" s="22" t="n"/>
      <c r="O821" s="22" t="n"/>
      <c r="P821" s="23" t="n"/>
      <c r="Q821" s="65" t="n"/>
      <c r="R821" s="65" t="n"/>
      <c r="S821" s="55" t="n"/>
      <c r="T821" s="55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</row>
    <row r="822" ht="15.75" customHeight="1" s="211">
      <c r="A822" s="55" t="n"/>
      <c r="B822" s="12" t="n"/>
      <c r="C822" s="55">
        <f>'Sales Candence'!B822</f>
        <v/>
      </c>
      <c r="D822" s="71" t="n"/>
      <c r="E822" s="71" t="n"/>
      <c r="F822" s="22" t="n"/>
      <c r="G822" s="22" t="n"/>
      <c r="H822" s="31" t="n"/>
      <c r="I822" s="23" t="n"/>
      <c r="J822" s="56" t="n"/>
      <c r="K822" s="22" t="n"/>
      <c r="L822" s="22" t="n"/>
      <c r="M822" s="22" t="n"/>
      <c r="N822" s="22" t="n"/>
      <c r="O822" s="22" t="n"/>
      <c r="P822" s="23" t="n"/>
      <c r="Q822" s="65" t="n"/>
      <c r="R822" s="65" t="n"/>
      <c r="S822" s="55" t="n"/>
      <c r="T822" s="55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</row>
    <row r="823" ht="15.75" customHeight="1" s="211">
      <c r="A823" s="55" t="n"/>
      <c r="B823" s="12" t="n"/>
      <c r="C823" s="55">
        <f>'Sales Candence'!B823</f>
        <v/>
      </c>
      <c r="D823" s="71" t="n"/>
      <c r="E823" s="71" t="n"/>
      <c r="F823" s="22" t="n"/>
      <c r="G823" s="22" t="n"/>
      <c r="H823" s="31" t="n"/>
      <c r="I823" s="23" t="n"/>
      <c r="J823" s="56" t="n"/>
      <c r="K823" s="22" t="n"/>
      <c r="L823" s="22" t="n"/>
      <c r="M823" s="22" t="n"/>
      <c r="N823" s="22" t="n"/>
      <c r="O823" s="22" t="n"/>
      <c r="P823" s="23" t="n"/>
      <c r="Q823" s="65" t="n"/>
      <c r="R823" s="65" t="n"/>
      <c r="S823" s="55" t="n"/>
      <c r="T823" s="55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</row>
    <row r="824" ht="15.75" customHeight="1" s="211">
      <c r="A824" s="55" t="n"/>
      <c r="B824" s="12" t="n"/>
      <c r="C824" s="55">
        <f>'Sales Candence'!B824</f>
        <v/>
      </c>
      <c r="D824" s="71" t="n"/>
      <c r="E824" s="71" t="n"/>
      <c r="F824" s="22" t="n"/>
      <c r="G824" s="22" t="n"/>
      <c r="H824" s="31" t="n"/>
      <c r="I824" s="23" t="n"/>
      <c r="J824" s="56" t="n"/>
      <c r="K824" s="22" t="n"/>
      <c r="L824" s="22" t="n"/>
      <c r="M824" s="22" t="n"/>
      <c r="N824" s="22" t="n"/>
      <c r="O824" s="22" t="n"/>
      <c r="P824" s="23" t="n"/>
      <c r="Q824" s="65" t="n"/>
      <c r="R824" s="65" t="n"/>
      <c r="S824" s="55" t="n"/>
      <c r="T824" s="55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</row>
    <row r="825" ht="15.75" customHeight="1" s="211">
      <c r="A825" s="55" t="n"/>
      <c r="B825" s="12" t="n"/>
      <c r="C825" s="55">
        <f>'Sales Candence'!B825</f>
        <v/>
      </c>
      <c r="D825" s="71" t="n"/>
      <c r="E825" s="71" t="n"/>
      <c r="F825" s="22" t="n"/>
      <c r="G825" s="22" t="n"/>
      <c r="H825" s="31" t="n"/>
      <c r="I825" s="23" t="n"/>
      <c r="J825" s="56" t="n"/>
      <c r="K825" s="22" t="n"/>
      <c r="L825" s="22" t="n"/>
      <c r="M825" s="22" t="n"/>
      <c r="N825" s="22" t="n"/>
      <c r="O825" s="22" t="n"/>
      <c r="P825" s="23" t="n"/>
      <c r="Q825" s="65" t="n"/>
      <c r="R825" s="65" t="n"/>
      <c r="S825" s="55" t="n"/>
      <c r="T825" s="55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</row>
    <row r="826" ht="15.75" customHeight="1" s="211">
      <c r="A826" s="55" t="n"/>
      <c r="B826" s="12" t="n"/>
      <c r="C826" s="55">
        <f>'Sales Candence'!B826</f>
        <v/>
      </c>
      <c r="D826" s="71" t="n"/>
      <c r="E826" s="71" t="n"/>
      <c r="F826" s="22" t="n"/>
      <c r="G826" s="22" t="n"/>
      <c r="H826" s="31" t="n"/>
      <c r="I826" s="23" t="n"/>
      <c r="J826" s="56" t="n"/>
      <c r="K826" s="22" t="n"/>
      <c r="L826" s="22" t="n"/>
      <c r="M826" s="22" t="n"/>
      <c r="N826" s="22" t="n"/>
      <c r="O826" s="22" t="n"/>
      <c r="P826" s="23" t="n"/>
      <c r="Q826" s="65" t="n"/>
      <c r="R826" s="65" t="n"/>
      <c r="S826" s="55" t="n"/>
      <c r="T826" s="55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</row>
    <row r="827" ht="15.75" customHeight="1" s="211">
      <c r="A827" s="55" t="n"/>
      <c r="B827" s="12" t="n"/>
      <c r="C827" s="55">
        <f>'Sales Candence'!B827</f>
        <v/>
      </c>
      <c r="D827" s="71" t="n"/>
      <c r="E827" s="71" t="n"/>
      <c r="F827" s="22" t="n"/>
      <c r="G827" s="22" t="n"/>
      <c r="H827" s="31" t="n"/>
      <c r="I827" s="23" t="n"/>
      <c r="J827" s="56" t="n"/>
      <c r="K827" s="22" t="n"/>
      <c r="L827" s="22" t="n"/>
      <c r="M827" s="22" t="n"/>
      <c r="N827" s="22" t="n"/>
      <c r="O827" s="22" t="n"/>
      <c r="P827" s="23" t="n"/>
      <c r="Q827" s="65" t="n"/>
      <c r="R827" s="65" t="n"/>
      <c r="S827" s="55" t="n"/>
      <c r="T827" s="55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</row>
    <row r="828" ht="15.75" customHeight="1" s="211">
      <c r="A828" s="55" t="n"/>
      <c r="B828" s="12" t="n"/>
      <c r="C828" s="55">
        <f>'Sales Candence'!B828</f>
        <v/>
      </c>
      <c r="D828" s="71" t="n"/>
      <c r="E828" s="71" t="n"/>
      <c r="F828" s="22" t="n"/>
      <c r="G828" s="22" t="n"/>
      <c r="H828" s="31" t="n"/>
      <c r="I828" s="23" t="n"/>
      <c r="J828" s="56" t="n"/>
      <c r="K828" s="22" t="n"/>
      <c r="L828" s="22" t="n"/>
      <c r="M828" s="22" t="n"/>
      <c r="N828" s="22" t="n"/>
      <c r="O828" s="22" t="n"/>
      <c r="P828" s="23" t="n"/>
      <c r="Q828" s="65" t="n"/>
      <c r="R828" s="65" t="n"/>
      <c r="S828" s="55" t="n"/>
      <c r="T828" s="55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</row>
    <row r="829" ht="15.75" customHeight="1" s="211">
      <c r="A829" s="55" t="n"/>
      <c r="B829" s="12" t="n"/>
      <c r="C829" s="55">
        <f>'Sales Candence'!B829</f>
        <v/>
      </c>
      <c r="D829" s="71" t="n"/>
      <c r="E829" s="71" t="n"/>
      <c r="F829" s="22" t="n"/>
      <c r="G829" s="22" t="n"/>
      <c r="H829" s="31" t="n"/>
      <c r="I829" s="23" t="n"/>
      <c r="J829" s="56" t="n"/>
      <c r="K829" s="22" t="n"/>
      <c r="L829" s="22" t="n"/>
      <c r="M829" s="22" t="n"/>
      <c r="N829" s="22" t="n"/>
      <c r="O829" s="22" t="n"/>
      <c r="P829" s="23" t="n"/>
      <c r="Q829" s="65" t="n"/>
      <c r="R829" s="65" t="n"/>
      <c r="S829" s="55" t="n"/>
      <c r="T829" s="55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</row>
    <row r="830" ht="15.75" customHeight="1" s="211">
      <c r="A830" s="55" t="n"/>
      <c r="B830" s="12" t="n"/>
      <c r="C830" s="55">
        <f>'Sales Candence'!B830</f>
        <v/>
      </c>
      <c r="D830" s="71" t="n"/>
      <c r="E830" s="71" t="n"/>
      <c r="F830" s="22" t="n"/>
      <c r="G830" s="22" t="n"/>
      <c r="H830" s="31" t="n"/>
      <c r="I830" s="23" t="n"/>
      <c r="J830" s="56" t="n"/>
      <c r="K830" s="22" t="n"/>
      <c r="L830" s="22" t="n"/>
      <c r="M830" s="22" t="n"/>
      <c r="N830" s="22" t="n"/>
      <c r="O830" s="22" t="n"/>
      <c r="P830" s="23" t="n"/>
      <c r="Q830" s="65" t="n"/>
      <c r="R830" s="65" t="n"/>
      <c r="S830" s="55" t="n"/>
      <c r="T830" s="55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</row>
    <row r="831" ht="15.75" customHeight="1" s="211">
      <c r="A831" s="55" t="n"/>
      <c r="B831" s="12" t="n"/>
      <c r="C831" s="55">
        <f>'Sales Candence'!B831</f>
        <v/>
      </c>
      <c r="D831" s="71" t="n"/>
      <c r="E831" s="71" t="n"/>
      <c r="F831" s="22" t="n"/>
      <c r="G831" s="22" t="n"/>
      <c r="H831" s="31" t="n"/>
      <c r="I831" s="23" t="n"/>
      <c r="J831" s="56" t="n"/>
      <c r="K831" s="22" t="n"/>
      <c r="L831" s="22" t="n"/>
      <c r="M831" s="22" t="n"/>
      <c r="N831" s="22" t="n"/>
      <c r="O831" s="22" t="n"/>
      <c r="P831" s="23" t="n"/>
      <c r="Q831" s="65" t="n"/>
      <c r="R831" s="65" t="n"/>
      <c r="S831" s="55" t="n"/>
      <c r="T831" s="55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</row>
    <row r="832" ht="15.75" customHeight="1" s="211">
      <c r="A832" s="55" t="n"/>
      <c r="B832" s="12" t="n"/>
      <c r="C832" s="55">
        <f>'Sales Candence'!B832</f>
        <v/>
      </c>
      <c r="D832" s="71" t="n"/>
      <c r="E832" s="71" t="n"/>
      <c r="F832" s="22" t="n"/>
      <c r="G832" s="22" t="n"/>
      <c r="H832" s="31" t="n"/>
      <c r="I832" s="23" t="n"/>
      <c r="J832" s="56" t="n"/>
      <c r="K832" s="22" t="n"/>
      <c r="L832" s="22" t="n"/>
      <c r="M832" s="22" t="n"/>
      <c r="N832" s="22" t="n"/>
      <c r="O832" s="22" t="n"/>
      <c r="P832" s="23" t="n"/>
      <c r="Q832" s="65" t="n"/>
      <c r="R832" s="65" t="n"/>
      <c r="S832" s="55" t="n"/>
      <c r="T832" s="55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</row>
    <row r="833" ht="15.75" customHeight="1" s="211">
      <c r="A833" s="55" t="n"/>
      <c r="B833" s="12" t="n"/>
      <c r="C833" s="55">
        <f>'Sales Candence'!B833</f>
        <v/>
      </c>
      <c r="D833" s="71" t="n"/>
      <c r="E833" s="71" t="n"/>
      <c r="F833" s="22" t="n"/>
      <c r="G833" s="22" t="n"/>
      <c r="H833" s="31" t="n"/>
      <c r="I833" s="23" t="n"/>
      <c r="J833" s="56" t="n"/>
      <c r="K833" s="22" t="n"/>
      <c r="L833" s="22" t="n"/>
      <c r="M833" s="22" t="n"/>
      <c r="N833" s="22" t="n"/>
      <c r="O833" s="22" t="n"/>
      <c r="P833" s="23" t="n"/>
      <c r="Q833" s="65" t="n"/>
      <c r="R833" s="65" t="n"/>
      <c r="S833" s="55" t="n"/>
      <c r="T833" s="55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</row>
    <row r="834" ht="15.75" customHeight="1" s="211">
      <c r="A834" s="55" t="n"/>
      <c r="B834" s="12" t="n"/>
      <c r="C834" s="55">
        <f>'Sales Candence'!B834</f>
        <v/>
      </c>
      <c r="D834" s="71" t="n"/>
      <c r="E834" s="71" t="n"/>
      <c r="F834" s="22" t="n"/>
      <c r="G834" s="22" t="n"/>
      <c r="H834" s="31" t="n"/>
      <c r="I834" s="23" t="n"/>
      <c r="J834" s="56" t="n"/>
      <c r="K834" s="22" t="n"/>
      <c r="L834" s="22" t="n"/>
      <c r="M834" s="22" t="n"/>
      <c r="N834" s="22" t="n"/>
      <c r="O834" s="22" t="n"/>
      <c r="P834" s="23" t="n"/>
      <c r="Q834" s="65" t="n"/>
      <c r="R834" s="65" t="n"/>
      <c r="S834" s="55" t="n"/>
      <c r="T834" s="55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</row>
    <row r="835" ht="15.75" customHeight="1" s="211">
      <c r="A835" s="55" t="n"/>
      <c r="B835" s="12" t="n"/>
      <c r="C835" s="55">
        <f>'Sales Candence'!B835</f>
        <v/>
      </c>
      <c r="D835" s="71" t="n"/>
      <c r="E835" s="71" t="n"/>
      <c r="F835" s="22" t="n"/>
      <c r="G835" s="22" t="n"/>
      <c r="H835" s="31" t="n"/>
      <c r="I835" s="23" t="n"/>
      <c r="J835" s="56" t="n"/>
      <c r="K835" s="22" t="n"/>
      <c r="L835" s="22" t="n"/>
      <c r="M835" s="22" t="n"/>
      <c r="N835" s="22" t="n"/>
      <c r="O835" s="22" t="n"/>
      <c r="P835" s="23" t="n"/>
      <c r="Q835" s="65" t="n"/>
      <c r="R835" s="65" t="n"/>
      <c r="S835" s="55" t="n"/>
      <c r="T835" s="55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</row>
    <row r="836" ht="15.75" customHeight="1" s="211">
      <c r="A836" s="55" t="n"/>
      <c r="B836" s="12" t="n"/>
      <c r="C836" s="55">
        <f>'Sales Candence'!B836</f>
        <v/>
      </c>
      <c r="D836" s="71" t="n"/>
      <c r="E836" s="71" t="n"/>
      <c r="F836" s="22" t="n"/>
      <c r="G836" s="22" t="n"/>
      <c r="H836" s="31" t="n"/>
      <c r="I836" s="23" t="n"/>
      <c r="J836" s="56" t="n"/>
      <c r="K836" s="22" t="n"/>
      <c r="L836" s="22" t="n"/>
      <c r="M836" s="22" t="n"/>
      <c r="N836" s="22" t="n"/>
      <c r="O836" s="22" t="n"/>
      <c r="P836" s="23" t="n"/>
      <c r="Q836" s="65" t="n"/>
      <c r="R836" s="65" t="n"/>
      <c r="S836" s="55" t="n"/>
      <c r="T836" s="55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</row>
    <row r="837" ht="15.75" customHeight="1" s="211">
      <c r="A837" s="55" t="n"/>
      <c r="B837" s="12" t="n"/>
      <c r="C837" s="55">
        <f>'Sales Candence'!B837</f>
        <v/>
      </c>
      <c r="D837" s="71" t="n"/>
      <c r="E837" s="71" t="n"/>
      <c r="F837" s="22" t="n"/>
      <c r="G837" s="22" t="n"/>
      <c r="H837" s="31" t="n"/>
      <c r="I837" s="23" t="n"/>
      <c r="J837" s="56" t="n"/>
      <c r="K837" s="22" t="n"/>
      <c r="L837" s="22" t="n"/>
      <c r="M837" s="22" t="n"/>
      <c r="N837" s="22" t="n"/>
      <c r="O837" s="22" t="n"/>
      <c r="P837" s="23" t="n"/>
      <c r="Q837" s="65" t="n"/>
      <c r="R837" s="65" t="n"/>
      <c r="S837" s="55" t="n"/>
      <c r="T837" s="55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</row>
    <row r="838" ht="15.75" customHeight="1" s="211">
      <c r="A838" s="55" t="n"/>
      <c r="B838" s="12" t="n"/>
      <c r="C838" s="55">
        <f>'Sales Candence'!B838</f>
        <v/>
      </c>
      <c r="D838" s="71" t="n"/>
      <c r="E838" s="71" t="n"/>
      <c r="F838" s="22" t="n"/>
      <c r="G838" s="22" t="n"/>
      <c r="H838" s="31" t="n"/>
      <c r="I838" s="23" t="n"/>
      <c r="J838" s="56" t="n"/>
      <c r="K838" s="22" t="n"/>
      <c r="L838" s="22" t="n"/>
      <c r="M838" s="22" t="n"/>
      <c r="N838" s="22" t="n"/>
      <c r="O838" s="22" t="n"/>
      <c r="P838" s="23" t="n"/>
      <c r="Q838" s="65" t="n"/>
      <c r="R838" s="65" t="n"/>
      <c r="S838" s="55" t="n"/>
      <c r="T838" s="55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</row>
    <row r="839" ht="15.75" customHeight="1" s="211">
      <c r="A839" s="55" t="n"/>
      <c r="B839" s="12" t="n"/>
      <c r="C839" s="55">
        <f>'Sales Candence'!B839</f>
        <v/>
      </c>
      <c r="D839" s="71" t="n"/>
      <c r="E839" s="71" t="n"/>
      <c r="F839" s="22" t="n"/>
      <c r="G839" s="22" t="n"/>
      <c r="H839" s="31" t="n"/>
      <c r="I839" s="23" t="n"/>
      <c r="J839" s="56" t="n"/>
      <c r="K839" s="22" t="n"/>
      <c r="L839" s="22" t="n"/>
      <c r="M839" s="22" t="n"/>
      <c r="N839" s="22" t="n"/>
      <c r="O839" s="22" t="n"/>
      <c r="P839" s="23" t="n"/>
      <c r="Q839" s="65" t="n"/>
      <c r="R839" s="65" t="n"/>
      <c r="S839" s="55" t="n"/>
      <c r="T839" s="55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</row>
    <row r="840" ht="15.75" customHeight="1" s="211">
      <c r="A840" s="55" t="n"/>
      <c r="B840" s="12" t="n"/>
      <c r="C840" s="55">
        <f>'Sales Candence'!B840</f>
        <v/>
      </c>
      <c r="D840" s="71" t="n"/>
      <c r="E840" s="71" t="n"/>
      <c r="F840" s="22" t="n"/>
      <c r="G840" s="22" t="n"/>
      <c r="H840" s="31" t="n"/>
      <c r="I840" s="23" t="n"/>
      <c r="J840" s="56" t="n"/>
      <c r="K840" s="22" t="n"/>
      <c r="L840" s="22" t="n"/>
      <c r="M840" s="22" t="n"/>
      <c r="N840" s="22" t="n"/>
      <c r="O840" s="22" t="n"/>
      <c r="P840" s="23" t="n"/>
      <c r="Q840" s="65" t="n"/>
      <c r="R840" s="65" t="n"/>
      <c r="S840" s="55" t="n"/>
      <c r="T840" s="55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</row>
    <row r="841" ht="15.75" customHeight="1" s="211">
      <c r="A841" s="55" t="n"/>
      <c r="B841" s="12" t="n"/>
      <c r="C841" s="55">
        <f>'Sales Candence'!B841</f>
        <v/>
      </c>
      <c r="D841" s="71" t="n"/>
      <c r="E841" s="71" t="n"/>
      <c r="F841" s="22" t="n"/>
      <c r="G841" s="22" t="n"/>
      <c r="H841" s="31" t="n"/>
      <c r="I841" s="23" t="n"/>
      <c r="J841" s="56" t="n"/>
      <c r="K841" s="22" t="n"/>
      <c r="L841" s="22" t="n"/>
      <c r="M841" s="22" t="n"/>
      <c r="N841" s="22" t="n"/>
      <c r="O841" s="22" t="n"/>
      <c r="P841" s="23" t="n"/>
      <c r="Q841" s="65" t="n"/>
      <c r="R841" s="65" t="n"/>
      <c r="S841" s="55" t="n"/>
      <c r="T841" s="55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</row>
    <row r="842" ht="15.75" customHeight="1" s="211">
      <c r="A842" s="55" t="n"/>
      <c r="B842" s="12" t="n"/>
      <c r="C842" s="55">
        <f>'Sales Candence'!B842</f>
        <v/>
      </c>
      <c r="D842" s="71" t="n"/>
      <c r="E842" s="71" t="n"/>
      <c r="F842" s="22" t="n"/>
      <c r="G842" s="22" t="n"/>
      <c r="H842" s="31" t="n"/>
      <c r="I842" s="23" t="n"/>
      <c r="J842" s="56" t="n"/>
      <c r="K842" s="22" t="n"/>
      <c r="L842" s="22" t="n"/>
      <c r="M842" s="22" t="n"/>
      <c r="N842" s="22" t="n"/>
      <c r="O842" s="22" t="n"/>
      <c r="P842" s="23" t="n"/>
      <c r="Q842" s="65" t="n"/>
      <c r="R842" s="65" t="n"/>
      <c r="S842" s="55" t="n"/>
      <c r="T842" s="55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</row>
    <row r="843" ht="15.75" customHeight="1" s="211">
      <c r="A843" s="55" t="n"/>
      <c r="B843" s="12" t="n"/>
      <c r="C843" s="55">
        <f>'Sales Candence'!B843</f>
        <v/>
      </c>
      <c r="D843" s="71" t="n"/>
      <c r="E843" s="71" t="n"/>
      <c r="F843" s="22" t="n"/>
      <c r="G843" s="22" t="n"/>
      <c r="H843" s="31" t="n"/>
      <c r="I843" s="23" t="n"/>
      <c r="J843" s="56" t="n"/>
      <c r="K843" s="22" t="n"/>
      <c r="L843" s="22" t="n"/>
      <c r="M843" s="22" t="n"/>
      <c r="N843" s="22" t="n"/>
      <c r="O843" s="22" t="n"/>
      <c r="P843" s="23" t="n"/>
      <c r="Q843" s="65" t="n"/>
      <c r="R843" s="65" t="n"/>
      <c r="S843" s="55" t="n"/>
      <c r="T843" s="55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</row>
    <row r="844" ht="15.75" customHeight="1" s="211">
      <c r="A844" s="55" t="n"/>
      <c r="B844" s="12" t="n"/>
      <c r="C844" s="55">
        <f>'Sales Candence'!B844</f>
        <v/>
      </c>
      <c r="D844" s="71" t="n"/>
      <c r="E844" s="71" t="n"/>
      <c r="F844" s="22" t="n"/>
      <c r="G844" s="22" t="n"/>
      <c r="H844" s="31" t="n"/>
      <c r="I844" s="23" t="n"/>
      <c r="J844" s="56" t="n"/>
      <c r="K844" s="22" t="n"/>
      <c r="L844" s="22" t="n"/>
      <c r="M844" s="22" t="n"/>
      <c r="N844" s="22" t="n"/>
      <c r="O844" s="22" t="n"/>
      <c r="P844" s="23" t="n"/>
      <c r="Q844" s="65" t="n"/>
      <c r="R844" s="65" t="n"/>
      <c r="S844" s="55" t="n"/>
      <c r="T844" s="55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</row>
    <row r="845" ht="15.75" customHeight="1" s="211">
      <c r="A845" s="55" t="n"/>
      <c r="B845" s="12" t="n"/>
      <c r="C845" s="55">
        <f>'Sales Candence'!B845</f>
        <v/>
      </c>
      <c r="D845" s="71" t="n"/>
      <c r="E845" s="71" t="n"/>
      <c r="F845" s="22" t="n"/>
      <c r="G845" s="22" t="n"/>
      <c r="H845" s="31" t="n"/>
      <c r="I845" s="23" t="n"/>
      <c r="J845" s="56" t="n"/>
      <c r="K845" s="22" t="n"/>
      <c r="L845" s="22" t="n"/>
      <c r="M845" s="22" t="n"/>
      <c r="N845" s="22" t="n"/>
      <c r="O845" s="22" t="n"/>
      <c r="P845" s="23" t="n"/>
      <c r="Q845" s="65" t="n"/>
      <c r="R845" s="65" t="n"/>
      <c r="S845" s="55" t="n"/>
      <c r="T845" s="55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</row>
    <row r="846" ht="15.75" customHeight="1" s="211">
      <c r="A846" s="55" t="n"/>
      <c r="B846" s="12" t="n"/>
      <c r="C846" s="55">
        <f>'Sales Candence'!B846</f>
        <v/>
      </c>
      <c r="D846" s="71" t="n"/>
      <c r="E846" s="71" t="n"/>
      <c r="F846" s="22" t="n"/>
      <c r="G846" s="22" t="n"/>
      <c r="H846" s="31" t="n"/>
      <c r="I846" s="23" t="n"/>
      <c r="J846" s="56" t="n"/>
      <c r="K846" s="22" t="n"/>
      <c r="L846" s="22" t="n"/>
      <c r="M846" s="22" t="n"/>
      <c r="N846" s="22" t="n"/>
      <c r="O846" s="22" t="n"/>
      <c r="P846" s="23" t="n"/>
      <c r="Q846" s="65" t="n"/>
      <c r="R846" s="65" t="n"/>
      <c r="S846" s="55" t="n"/>
      <c r="T846" s="55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</row>
    <row r="847" ht="15.75" customHeight="1" s="211">
      <c r="A847" s="55" t="n"/>
      <c r="B847" s="12" t="n"/>
      <c r="C847" s="55">
        <f>'Sales Candence'!B847</f>
        <v/>
      </c>
      <c r="D847" s="71" t="n"/>
      <c r="E847" s="71" t="n"/>
      <c r="F847" s="22" t="n"/>
      <c r="G847" s="22" t="n"/>
      <c r="H847" s="31" t="n"/>
      <c r="I847" s="23" t="n"/>
      <c r="J847" s="56" t="n"/>
      <c r="K847" s="22" t="n"/>
      <c r="L847" s="22" t="n"/>
      <c r="M847" s="22" t="n"/>
      <c r="N847" s="22" t="n"/>
      <c r="O847" s="22" t="n"/>
      <c r="P847" s="23" t="n"/>
      <c r="Q847" s="65" t="n"/>
      <c r="R847" s="65" t="n"/>
      <c r="S847" s="55" t="n"/>
      <c r="T847" s="55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</row>
    <row r="848" ht="15.75" customHeight="1" s="211">
      <c r="A848" s="55" t="n"/>
      <c r="B848" s="12" t="n"/>
      <c r="C848" s="55">
        <f>'Sales Candence'!B848</f>
        <v/>
      </c>
      <c r="D848" s="71" t="n"/>
      <c r="E848" s="71" t="n"/>
      <c r="F848" s="22" t="n"/>
      <c r="G848" s="22" t="n"/>
      <c r="H848" s="31" t="n"/>
      <c r="I848" s="23" t="n"/>
      <c r="J848" s="56" t="n"/>
      <c r="K848" s="22" t="n"/>
      <c r="L848" s="22" t="n"/>
      <c r="M848" s="22" t="n"/>
      <c r="N848" s="22" t="n"/>
      <c r="O848" s="22" t="n"/>
      <c r="P848" s="23" t="n"/>
      <c r="Q848" s="65" t="n"/>
      <c r="R848" s="65" t="n"/>
      <c r="S848" s="55" t="n"/>
      <c r="T848" s="55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</row>
    <row r="849" ht="15.75" customHeight="1" s="211">
      <c r="A849" s="55" t="n"/>
      <c r="B849" s="12" t="n"/>
      <c r="C849" s="55">
        <f>'Sales Candence'!B849</f>
        <v/>
      </c>
      <c r="D849" s="71" t="n"/>
      <c r="E849" s="71" t="n"/>
      <c r="F849" s="22" t="n"/>
      <c r="G849" s="22" t="n"/>
      <c r="H849" s="31" t="n"/>
      <c r="I849" s="23" t="n"/>
      <c r="J849" s="56" t="n"/>
      <c r="K849" s="22" t="n"/>
      <c r="L849" s="22" t="n"/>
      <c r="M849" s="22" t="n"/>
      <c r="N849" s="22" t="n"/>
      <c r="O849" s="22" t="n"/>
      <c r="P849" s="23" t="n"/>
      <c r="Q849" s="65" t="n"/>
      <c r="R849" s="65" t="n"/>
      <c r="S849" s="55" t="n"/>
      <c r="T849" s="55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</row>
    <row r="850" ht="15.75" customHeight="1" s="211">
      <c r="A850" s="55" t="n"/>
      <c r="B850" s="12" t="n"/>
      <c r="C850" s="55">
        <f>'Sales Candence'!B850</f>
        <v/>
      </c>
      <c r="D850" s="71" t="n"/>
      <c r="E850" s="71" t="n"/>
      <c r="F850" s="22" t="n"/>
      <c r="G850" s="22" t="n"/>
      <c r="H850" s="31" t="n"/>
      <c r="I850" s="23" t="n"/>
      <c r="J850" s="56" t="n"/>
      <c r="K850" s="22" t="n"/>
      <c r="L850" s="22" t="n"/>
      <c r="M850" s="22" t="n"/>
      <c r="N850" s="22" t="n"/>
      <c r="O850" s="22" t="n"/>
      <c r="P850" s="23" t="n"/>
      <c r="Q850" s="65" t="n"/>
      <c r="R850" s="65" t="n"/>
      <c r="S850" s="55" t="n"/>
      <c r="T850" s="55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</row>
    <row r="851" ht="15.75" customHeight="1" s="211">
      <c r="A851" s="55" t="n"/>
      <c r="B851" s="12" t="n"/>
      <c r="C851" s="55">
        <f>'Sales Candence'!B851</f>
        <v/>
      </c>
      <c r="D851" s="71" t="n"/>
      <c r="E851" s="71" t="n"/>
      <c r="F851" s="22" t="n"/>
      <c r="G851" s="22" t="n"/>
      <c r="H851" s="31" t="n"/>
      <c r="I851" s="23" t="n"/>
      <c r="J851" s="56" t="n"/>
      <c r="K851" s="22" t="n"/>
      <c r="L851" s="22" t="n"/>
      <c r="M851" s="22" t="n"/>
      <c r="N851" s="22" t="n"/>
      <c r="O851" s="22" t="n"/>
      <c r="P851" s="23" t="n"/>
      <c r="Q851" s="65" t="n"/>
      <c r="R851" s="65" t="n"/>
      <c r="S851" s="55" t="n"/>
      <c r="T851" s="55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</row>
    <row r="852" ht="15.75" customHeight="1" s="211">
      <c r="A852" s="55" t="n"/>
      <c r="B852" s="12" t="n"/>
      <c r="C852" s="55">
        <f>'Sales Candence'!B852</f>
        <v/>
      </c>
      <c r="D852" s="71" t="n"/>
      <c r="E852" s="71" t="n"/>
      <c r="F852" s="22" t="n"/>
      <c r="G852" s="22" t="n"/>
      <c r="H852" s="31" t="n"/>
      <c r="I852" s="23" t="n"/>
      <c r="J852" s="56" t="n"/>
      <c r="K852" s="22" t="n"/>
      <c r="L852" s="22" t="n"/>
      <c r="M852" s="22" t="n"/>
      <c r="N852" s="22" t="n"/>
      <c r="O852" s="22" t="n"/>
      <c r="P852" s="23" t="n"/>
      <c r="Q852" s="65" t="n"/>
      <c r="R852" s="65" t="n"/>
      <c r="S852" s="55" t="n"/>
      <c r="T852" s="55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</row>
    <row r="853" ht="15.75" customHeight="1" s="211">
      <c r="A853" s="55" t="n"/>
      <c r="B853" s="12" t="n"/>
      <c r="C853" s="55">
        <f>'Sales Candence'!B853</f>
        <v/>
      </c>
      <c r="D853" s="71" t="n"/>
      <c r="E853" s="71" t="n"/>
      <c r="F853" s="22" t="n"/>
      <c r="G853" s="22" t="n"/>
      <c r="H853" s="31" t="n"/>
      <c r="I853" s="23" t="n"/>
      <c r="J853" s="56" t="n"/>
      <c r="K853" s="22" t="n"/>
      <c r="L853" s="22" t="n"/>
      <c r="M853" s="22" t="n"/>
      <c r="N853" s="22" t="n"/>
      <c r="O853" s="22" t="n"/>
      <c r="P853" s="23" t="n"/>
      <c r="Q853" s="65" t="n"/>
      <c r="R853" s="65" t="n"/>
      <c r="S853" s="55" t="n"/>
      <c r="T853" s="55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</row>
    <row r="854" ht="15.75" customHeight="1" s="211">
      <c r="A854" s="55" t="n"/>
      <c r="B854" s="12" t="n"/>
      <c r="C854" s="55">
        <f>'Sales Candence'!B854</f>
        <v/>
      </c>
      <c r="D854" s="71" t="n"/>
      <c r="E854" s="71" t="n"/>
      <c r="F854" s="22" t="n"/>
      <c r="G854" s="22" t="n"/>
      <c r="H854" s="31" t="n"/>
      <c r="I854" s="23" t="n"/>
      <c r="J854" s="56" t="n"/>
      <c r="K854" s="22" t="n"/>
      <c r="L854" s="22" t="n"/>
      <c r="M854" s="22" t="n"/>
      <c r="N854" s="22" t="n"/>
      <c r="O854" s="22" t="n"/>
      <c r="P854" s="23" t="n"/>
      <c r="Q854" s="65" t="n"/>
      <c r="R854" s="65" t="n"/>
      <c r="S854" s="55" t="n"/>
      <c r="T854" s="55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</row>
    <row r="855" ht="15.75" customHeight="1" s="211">
      <c r="A855" s="55" t="n"/>
      <c r="B855" s="12" t="n"/>
      <c r="C855" s="55">
        <f>'Sales Candence'!B855</f>
        <v/>
      </c>
      <c r="D855" s="71" t="n"/>
      <c r="E855" s="71" t="n"/>
      <c r="F855" s="22" t="n"/>
      <c r="G855" s="22" t="n"/>
      <c r="H855" s="31" t="n"/>
      <c r="I855" s="23" t="n"/>
      <c r="J855" s="56" t="n"/>
      <c r="K855" s="22" t="n"/>
      <c r="L855" s="22" t="n"/>
      <c r="M855" s="22" t="n"/>
      <c r="N855" s="22" t="n"/>
      <c r="O855" s="22" t="n"/>
      <c r="P855" s="23" t="n"/>
      <c r="Q855" s="65" t="n"/>
      <c r="R855" s="65" t="n"/>
      <c r="S855" s="55" t="n"/>
      <c r="T855" s="55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</row>
    <row r="856" ht="15.75" customHeight="1" s="211">
      <c r="A856" s="55" t="n"/>
      <c r="B856" s="12" t="n"/>
      <c r="C856" s="55">
        <f>'Sales Candence'!B856</f>
        <v/>
      </c>
      <c r="D856" s="71" t="n"/>
      <c r="E856" s="71" t="n"/>
      <c r="F856" s="22" t="n"/>
      <c r="G856" s="22" t="n"/>
      <c r="H856" s="31" t="n"/>
      <c r="I856" s="23" t="n"/>
      <c r="J856" s="56" t="n"/>
      <c r="K856" s="22" t="n"/>
      <c r="L856" s="22" t="n"/>
      <c r="M856" s="22" t="n"/>
      <c r="N856" s="22" t="n"/>
      <c r="O856" s="22" t="n"/>
      <c r="P856" s="23" t="n"/>
      <c r="Q856" s="65" t="n"/>
      <c r="R856" s="65" t="n"/>
      <c r="S856" s="55" t="n"/>
      <c r="T856" s="55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</row>
    <row r="857" ht="15.75" customHeight="1" s="211">
      <c r="A857" s="55" t="n"/>
      <c r="B857" s="12" t="n"/>
      <c r="C857" s="55">
        <f>'Sales Candence'!B857</f>
        <v/>
      </c>
      <c r="D857" s="71" t="n"/>
      <c r="E857" s="71" t="n"/>
      <c r="F857" s="22" t="n"/>
      <c r="G857" s="22" t="n"/>
      <c r="H857" s="31" t="n"/>
      <c r="I857" s="23" t="n"/>
      <c r="J857" s="56" t="n"/>
      <c r="K857" s="22" t="n"/>
      <c r="L857" s="22" t="n"/>
      <c r="M857" s="22" t="n"/>
      <c r="N857" s="22" t="n"/>
      <c r="O857" s="22" t="n"/>
      <c r="P857" s="23" t="n"/>
      <c r="Q857" s="65" t="n"/>
      <c r="R857" s="65" t="n"/>
      <c r="S857" s="55" t="n"/>
      <c r="T857" s="55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</row>
    <row r="858" ht="15.75" customHeight="1" s="211">
      <c r="A858" s="55" t="n"/>
      <c r="B858" s="12" t="n"/>
      <c r="C858" s="55">
        <f>'Sales Candence'!B858</f>
        <v/>
      </c>
      <c r="D858" s="71" t="n"/>
      <c r="E858" s="71" t="n"/>
      <c r="F858" s="22" t="n"/>
      <c r="G858" s="22" t="n"/>
      <c r="H858" s="31" t="n"/>
      <c r="I858" s="23" t="n"/>
      <c r="J858" s="56" t="n"/>
      <c r="K858" s="22" t="n"/>
      <c r="L858" s="22" t="n"/>
      <c r="M858" s="22" t="n"/>
      <c r="N858" s="22" t="n"/>
      <c r="O858" s="22" t="n"/>
      <c r="P858" s="23" t="n"/>
      <c r="Q858" s="65" t="n"/>
      <c r="R858" s="65" t="n"/>
      <c r="S858" s="55" t="n"/>
      <c r="T858" s="55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</row>
    <row r="859" ht="15.75" customHeight="1" s="211">
      <c r="A859" s="55" t="n"/>
      <c r="B859" s="12" t="n"/>
      <c r="C859" s="55">
        <f>'Sales Candence'!B859</f>
        <v/>
      </c>
      <c r="D859" s="71" t="n"/>
      <c r="E859" s="71" t="n"/>
      <c r="F859" s="22" t="n"/>
      <c r="G859" s="22" t="n"/>
      <c r="H859" s="31" t="n"/>
      <c r="I859" s="23" t="n"/>
      <c r="J859" s="56" t="n"/>
      <c r="K859" s="22" t="n"/>
      <c r="L859" s="22" t="n"/>
      <c r="M859" s="22" t="n"/>
      <c r="N859" s="22" t="n"/>
      <c r="O859" s="22" t="n"/>
      <c r="P859" s="23" t="n"/>
      <c r="Q859" s="65" t="n"/>
      <c r="R859" s="65" t="n"/>
      <c r="S859" s="55" t="n"/>
      <c r="T859" s="55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</row>
    <row r="860" ht="15.75" customHeight="1" s="211">
      <c r="A860" s="55" t="n"/>
      <c r="B860" s="12" t="n"/>
      <c r="C860" s="55">
        <f>'Sales Candence'!B860</f>
        <v/>
      </c>
      <c r="D860" s="71" t="n"/>
      <c r="E860" s="71" t="n"/>
      <c r="F860" s="22" t="n"/>
      <c r="G860" s="22" t="n"/>
      <c r="H860" s="31" t="n"/>
      <c r="I860" s="23" t="n"/>
      <c r="J860" s="56" t="n"/>
      <c r="K860" s="22" t="n"/>
      <c r="L860" s="22" t="n"/>
      <c r="M860" s="22" t="n"/>
      <c r="N860" s="22" t="n"/>
      <c r="O860" s="22" t="n"/>
      <c r="P860" s="23" t="n"/>
      <c r="Q860" s="65" t="n"/>
      <c r="R860" s="65" t="n"/>
      <c r="S860" s="55" t="n"/>
      <c r="T860" s="55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</row>
    <row r="861" ht="15.75" customHeight="1" s="211">
      <c r="A861" s="55" t="n"/>
      <c r="B861" s="12" t="n"/>
      <c r="C861" s="55">
        <f>'Sales Candence'!B861</f>
        <v/>
      </c>
      <c r="D861" s="71" t="n"/>
      <c r="E861" s="71" t="n"/>
      <c r="F861" s="22" t="n"/>
      <c r="G861" s="22" t="n"/>
      <c r="H861" s="31" t="n"/>
      <c r="I861" s="23" t="n"/>
      <c r="J861" s="56" t="n"/>
      <c r="K861" s="22" t="n"/>
      <c r="L861" s="22" t="n"/>
      <c r="M861" s="22" t="n"/>
      <c r="N861" s="22" t="n"/>
      <c r="O861" s="22" t="n"/>
      <c r="P861" s="23" t="n"/>
      <c r="Q861" s="65" t="n"/>
      <c r="R861" s="65" t="n"/>
      <c r="S861" s="55" t="n"/>
      <c r="T861" s="55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</row>
    <row r="862" ht="15.75" customHeight="1" s="211">
      <c r="A862" s="55" t="n"/>
      <c r="B862" s="12" t="n"/>
      <c r="C862" s="55">
        <f>'Sales Candence'!B862</f>
        <v/>
      </c>
      <c r="D862" s="71" t="n"/>
      <c r="E862" s="71" t="n"/>
      <c r="F862" s="22" t="n"/>
      <c r="G862" s="22" t="n"/>
      <c r="H862" s="31" t="n"/>
      <c r="I862" s="23" t="n"/>
      <c r="J862" s="56" t="n"/>
      <c r="K862" s="22" t="n"/>
      <c r="L862" s="22" t="n"/>
      <c r="M862" s="22" t="n"/>
      <c r="N862" s="22" t="n"/>
      <c r="O862" s="22" t="n"/>
      <c r="P862" s="23" t="n"/>
      <c r="Q862" s="65" t="n"/>
      <c r="R862" s="65" t="n"/>
      <c r="S862" s="55" t="n"/>
      <c r="T862" s="55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</row>
    <row r="863" ht="15.75" customHeight="1" s="211">
      <c r="A863" s="55" t="n"/>
      <c r="B863" s="12" t="n"/>
      <c r="C863" s="55">
        <f>'Sales Candence'!B863</f>
        <v/>
      </c>
      <c r="D863" s="71" t="n"/>
      <c r="E863" s="71" t="n"/>
      <c r="F863" s="22" t="n"/>
      <c r="G863" s="22" t="n"/>
      <c r="H863" s="31" t="n"/>
      <c r="I863" s="23" t="n"/>
      <c r="J863" s="56" t="n"/>
      <c r="K863" s="22" t="n"/>
      <c r="L863" s="22" t="n"/>
      <c r="M863" s="22" t="n"/>
      <c r="N863" s="22" t="n"/>
      <c r="O863" s="22" t="n"/>
      <c r="P863" s="23" t="n"/>
      <c r="Q863" s="65" t="n"/>
      <c r="R863" s="65" t="n"/>
      <c r="S863" s="55" t="n"/>
      <c r="T863" s="55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</row>
    <row r="864" ht="15.75" customHeight="1" s="211">
      <c r="A864" s="55" t="n"/>
      <c r="B864" s="12" t="n"/>
      <c r="C864" s="55">
        <f>'Sales Candence'!B864</f>
        <v/>
      </c>
      <c r="D864" s="71" t="n"/>
      <c r="E864" s="71" t="n"/>
      <c r="F864" s="22" t="n"/>
      <c r="G864" s="22" t="n"/>
      <c r="H864" s="31" t="n"/>
      <c r="I864" s="23" t="n"/>
      <c r="J864" s="56" t="n"/>
      <c r="K864" s="22" t="n"/>
      <c r="L864" s="22" t="n"/>
      <c r="M864" s="22" t="n"/>
      <c r="N864" s="22" t="n"/>
      <c r="O864" s="22" t="n"/>
      <c r="P864" s="23" t="n"/>
      <c r="Q864" s="65" t="n"/>
      <c r="R864" s="65" t="n"/>
      <c r="S864" s="55" t="n"/>
      <c r="T864" s="55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</row>
    <row r="865" ht="15.75" customHeight="1" s="211">
      <c r="A865" s="55" t="n"/>
      <c r="B865" s="12" t="n"/>
      <c r="C865" s="55">
        <f>'Sales Candence'!B865</f>
        <v/>
      </c>
      <c r="D865" s="71" t="n"/>
      <c r="E865" s="71" t="n"/>
      <c r="F865" s="22" t="n"/>
      <c r="G865" s="22" t="n"/>
      <c r="H865" s="31" t="n"/>
      <c r="I865" s="23" t="n"/>
      <c r="J865" s="56" t="n"/>
      <c r="K865" s="22" t="n"/>
      <c r="L865" s="22" t="n"/>
      <c r="M865" s="22" t="n"/>
      <c r="N865" s="22" t="n"/>
      <c r="O865" s="22" t="n"/>
      <c r="P865" s="23" t="n"/>
      <c r="Q865" s="65" t="n"/>
      <c r="R865" s="65" t="n"/>
      <c r="S865" s="55" t="n"/>
      <c r="T865" s="55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</row>
    <row r="866" ht="15.75" customHeight="1" s="211">
      <c r="A866" s="55" t="n"/>
      <c r="B866" s="12" t="n"/>
      <c r="C866" s="55">
        <f>'Sales Candence'!B866</f>
        <v/>
      </c>
      <c r="D866" s="71" t="n"/>
      <c r="E866" s="71" t="n"/>
      <c r="F866" s="22" t="n"/>
      <c r="G866" s="22" t="n"/>
      <c r="H866" s="31" t="n"/>
      <c r="I866" s="23" t="n"/>
      <c r="J866" s="56" t="n"/>
      <c r="K866" s="22" t="n"/>
      <c r="L866" s="22" t="n"/>
      <c r="M866" s="22" t="n"/>
      <c r="N866" s="22" t="n"/>
      <c r="O866" s="22" t="n"/>
      <c r="P866" s="23" t="n"/>
      <c r="Q866" s="65" t="n"/>
      <c r="R866" s="65" t="n"/>
      <c r="S866" s="55" t="n"/>
      <c r="T866" s="55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</row>
    <row r="867" ht="15.75" customHeight="1" s="211">
      <c r="A867" s="55" t="n"/>
      <c r="B867" s="12" t="n"/>
      <c r="C867" s="55">
        <f>'Sales Candence'!B867</f>
        <v/>
      </c>
      <c r="D867" s="71" t="n"/>
      <c r="E867" s="71" t="n"/>
      <c r="F867" s="22" t="n"/>
      <c r="G867" s="22" t="n"/>
      <c r="H867" s="31" t="n"/>
      <c r="I867" s="23" t="n"/>
      <c r="J867" s="56" t="n"/>
      <c r="K867" s="22" t="n"/>
      <c r="L867" s="22" t="n"/>
      <c r="M867" s="22" t="n"/>
      <c r="N867" s="22" t="n"/>
      <c r="O867" s="22" t="n"/>
      <c r="P867" s="23" t="n"/>
      <c r="Q867" s="65" t="n"/>
      <c r="R867" s="65" t="n"/>
      <c r="S867" s="55" t="n"/>
      <c r="T867" s="55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</row>
    <row r="868" ht="15.75" customHeight="1" s="211">
      <c r="A868" s="55" t="n"/>
      <c r="B868" s="12" t="n"/>
      <c r="C868" s="55">
        <f>'Sales Candence'!B868</f>
        <v/>
      </c>
      <c r="D868" s="71" t="n"/>
      <c r="E868" s="71" t="n"/>
      <c r="F868" s="22" t="n"/>
      <c r="G868" s="22" t="n"/>
      <c r="H868" s="31" t="n"/>
      <c r="I868" s="23" t="n"/>
      <c r="J868" s="56" t="n"/>
      <c r="K868" s="22" t="n"/>
      <c r="L868" s="22" t="n"/>
      <c r="M868" s="22" t="n"/>
      <c r="N868" s="22" t="n"/>
      <c r="O868" s="22" t="n"/>
      <c r="P868" s="23" t="n"/>
      <c r="Q868" s="65" t="n"/>
      <c r="R868" s="65" t="n"/>
      <c r="S868" s="55" t="n"/>
      <c r="T868" s="55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</row>
    <row r="869" ht="15.75" customHeight="1" s="211">
      <c r="A869" s="55" t="n"/>
      <c r="B869" s="12" t="n"/>
      <c r="C869" s="55">
        <f>'Sales Candence'!B869</f>
        <v/>
      </c>
      <c r="D869" s="71" t="n"/>
      <c r="E869" s="71" t="n"/>
      <c r="F869" s="22" t="n"/>
      <c r="G869" s="22" t="n"/>
      <c r="H869" s="31" t="n"/>
      <c r="I869" s="23" t="n"/>
      <c r="J869" s="56" t="n"/>
      <c r="K869" s="22" t="n"/>
      <c r="L869" s="22" t="n"/>
      <c r="M869" s="22" t="n"/>
      <c r="N869" s="22" t="n"/>
      <c r="O869" s="22" t="n"/>
      <c r="P869" s="23" t="n"/>
      <c r="Q869" s="65" t="n"/>
      <c r="R869" s="65" t="n"/>
      <c r="S869" s="55" t="n"/>
      <c r="T869" s="55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</row>
    <row r="870" ht="15.75" customHeight="1" s="211">
      <c r="A870" s="55" t="n"/>
      <c r="B870" s="12" t="n"/>
      <c r="C870" s="55">
        <f>'Sales Candence'!B870</f>
        <v/>
      </c>
      <c r="D870" s="71" t="n"/>
      <c r="E870" s="71" t="n"/>
      <c r="F870" s="22" t="n"/>
      <c r="G870" s="22" t="n"/>
      <c r="H870" s="31" t="n"/>
      <c r="I870" s="23" t="n"/>
      <c r="J870" s="56" t="n"/>
      <c r="K870" s="22" t="n"/>
      <c r="L870" s="22" t="n"/>
      <c r="M870" s="22" t="n"/>
      <c r="N870" s="22" t="n"/>
      <c r="O870" s="22" t="n"/>
      <c r="P870" s="23" t="n"/>
      <c r="Q870" s="65" t="n"/>
      <c r="R870" s="65" t="n"/>
      <c r="S870" s="55" t="n"/>
      <c r="T870" s="55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</row>
    <row r="871" ht="15.75" customHeight="1" s="211">
      <c r="A871" s="55" t="n"/>
      <c r="B871" s="12" t="n"/>
      <c r="C871" s="55">
        <f>'Sales Candence'!B871</f>
        <v/>
      </c>
      <c r="D871" s="71" t="n"/>
      <c r="E871" s="71" t="n"/>
      <c r="F871" s="22" t="n"/>
      <c r="G871" s="22" t="n"/>
      <c r="H871" s="31" t="n"/>
      <c r="I871" s="23" t="n"/>
      <c r="J871" s="56" t="n"/>
      <c r="K871" s="22" t="n"/>
      <c r="L871" s="22" t="n"/>
      <c r="M871" s="22" t="n"/>
      <c r="N871" s="22" t="n"/>
      <c r="O871" s="22" t="n"/>
      <c r="P871" s="23" t="n"/>
      <c r="Q871" s="65" t="n"/>
      <c r="R871" s="65" t="n"/>
      <c r="S871" s="55" t="n"/>
      <c r="T871" s="55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</row>
    <row r="872" ht="15.75" customHeight="1" s="211">
      <c r="A872" s="55" t="n"/>
      <c r="B872" s="12" t="n"/>
      <c r="C872" s="55">
        <f>'Sales Candence'!B872</f>
        <v/>
      </c>
      <c r="D872" s="71" t="n"/>
      <c r="E872" s="71" t="n"/>
      <c r="F872" s="22" t="n"/>
      <c r="G872" s="22" t="n"/>
      <c r="H872" s="31" t="n"/>
      <c r="I872" s="23" t="n"/>
      <c r="J872" s="56" t="n"/>
      <c r="K872" s="22" t="n"/>
      <c r="L872" s="22" t="n"/>
      <c r="M872" s="22" t="n"/>
      <c r="N872" s="22" t="n"/>
      <c r="O872" s="22" t="n"/>
      <c r="P872" s="23" t="n"/>
      <c r="Q872" s="65" t="n"/>
      <c r="R872" s="65" t="n"/>
      <c r="S872" s="55" t="n"/>
      <c r="T872" s="55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</row>
    <row r="873" ht="15.75" customHeight="1" s="211">
      <c r="A873" s="55" t="n"/>
      <c r="B873" s="12" t="n"/>
      <c r="C873" s="55">
        <f>'Sales Candence'!B873</f>
        <v/>
      </c>
      <c r="D873" s="71" t="n"/>
      <c r="E873" s="71" t="n"/>
      <c r="F873" s="22" t="n"/>
      <c r="G873" s="22" t="n"/>
      <c r="H873" s="31" t="n"/>
      <c r="I873" s="23" t="n"/>
      <c r="J873" s="56" t="n"/>
      <c r="K873" s="22" t="n"/>
      <c r="L873" s="22" t="n"/>
      <c r="M873" s="22" t="n"/>
      <c r="N873" s="22" t="n"/>
      <c r="O873" s="22" t="n"/>
      <c r="P873" s="23" t="n"/>
      <c r="Q873" s="65" t="n"/>
      <c r="R873" s="65" t="n"/>
      <c r="S873" s="55" t="n"/>
      <c r="T873" s="55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</row>
    <row r="874" ht="15.75" customHeight="1" s="211">
      <c r="A874" s="55" t="n"/>
      <c r="B874" s="12" t="n"/>
      <c r="C874" s="55">
        <f>'Sales Candence'!B874</f>
        <v/>
      </c>
      <c r="D874" s="71" t="n"/>
      <c r="E874" s="71" t="n"/>
      <c r="F874" s="22" t="n"/>
      <c r="G874" s="22" t="n"/>
      <c r="H874" s="31" t="n"/>
      <c r="I874" s="23" t="n"/>
      <c r="J874" s="56" t="n"/>
      <c r="K874" s="22" t="n"/>
      <c r="L874" s="22" t="n"/>
      <c r="M874" s="22" t="n"/>
      <c r="N874" s="22" t="n"/>
      <c r="O874" s="22" t="n"/>
      <c r="P874" s="23" t="n"/>
      <c r="Q874" s="65" t="n"/>
      <c r="R874" s="65" t="n"/>
      <c r="S874" s="55" t="n"/>
      <c r="T874" s="55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</row>
    <row r="875" ht="15.75" customHeight="1" s="211">
      <c r="A875" s="55" t="n"/>
      <c r="B875" s="12" t="n"/>
      <c r="C875" s="55">
        <f>'Sales Candence'!B875</f>
        <v/>
      </c>
      <c r="D875" s="71" t="n"/>
      <c r="E875" s="71" t="n"/>
      <c r="F875" s="22" t="n"/>
      <c r="G875" s="22" t="n"/>
      <c r="H875" s="31" t="n"/>
      <c r="I875" s="23" t="n"/>
      <c r="J875" s="56" t="n"/>
      <c r="K875" s="22" t="n"/>
      <c r="L875" s="22" t="n"/>
      <c r="M875" s="22" t="n"/>
      <c r="N875" s="22" t="n"/>
      <c r="O875" s="22" t="n"/>
      <c r="P875" s="23" t="n"/>
      <c r="Q875" s="65" t="n"/>
      <c r="R875" s="65" t="n"/>
      <c r="S875" s="55" t="n"/>
      <c r="T875" s="55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</row>
    <row r="876" ht="15.75" customHeight="1" s="211">
      <c r="A876" s="55" t="n"/>
      <c r="B876" s="12" t="n"/>
      <c r="C876" s="55">
        <f>'Sales Candence'!B876</f>
        <v/>
      </c>
      <c r="D876" s="71" t="n"/>
      <c r="E876" s="71" t="n"/>
      <c r="F876" s="22" t="n"/>
      <c r="G876" s="22" t="n"/>
      <c r="H876" s="31" t="n"/>
      <c r="I876" s="23" t="n"/>
      <c r="J876" s="56" t="n"/>
      <c r="K876" s="22" t="n"/>
      <c r="L876" s="22" t="n"/>
      <c r="M876" s="22" t="n"/>
      <c r="N876" s="22" t="n"/>
      <c r="O876" s="22" t="n"/>
      <c r="P876" s="23" t="n"/>
      <c r="Q876" s="65" t="n"/>
      <c r="R876" s="65" t="n"/>
      <c r="S876" s="55" t="n"/>
      <c r="T876" s="55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</row>
    <row r="877" ht="15.75" customHeight="1" s="211">
      <c r="A877" s="55" t="n"/>
      <c r="B877" s="12" t="n"/>
      <c r="C877" s="55">
        <f>'Sales Candence'!B877</f>
        <v/>
      </c>
      <c r="D877" s="71" t="n"/>
      <c r="E877" s="71" t="n"/>
      <c r="F877" s="22" t="n"/>
      <c r="G877" s="22" t="n"/>
      <c r="H877" s="31" t="n"/>
      <c r="I877" s="23" t="n"/>
      <c r="J877" s="56" t="n"/>
      <c r="K877" s="22" t="n"/>
      <c r="L877" s="22" t="n"/>
      <c r="M877" s="22" t="n"/>
      <c r="N877" s="22" t="n"/>
      <c r="O877" s="22" t="n"/>
      <c r="P877" s="23" t="n"/>
      <c r="Q877" s="65" t="n"/>
      <c r="R877" s="65" t="n"/>
      <c r="S877" s="55" t="n"/>
      <c r="T877" s="55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</row>
    <row r="878" ht="15.75" customHeight="1" s="211">
      <c r="A878" s="55" t="n"/>
      <c r="B878" s="12" t="n"/>
      <c r="C878" s="55">
        <f>'Sales Candence'!B878</f>
        <v/>
      </c>
      <c r="D878" s="71" t="n"/>
      <c r="E878" s="71" t="n"/>
      <c r="F878" s="22" t="n"/>
      <c r="G878" s="22" t="n"/>
      <c r="H878" s="31" t="n"/>
      <c r="I878" s="23" t="n"/>
      <c r="J878" s="56" t="n"/>
      <c r="K878" s="22" t="n"/>
      <c r="L878" s="22" t="n"/>
      <c r="M878" s="22" t="n"/>
      <c r="N878" s="22" t="n"/>
      <c r="O878" s="22" t="n"/>
      <c r="P878" s="23" t="n"/>
      <c r="Q878" s="65" t="n"/>
      <c r="R878" s="65" t="n"/>
      <c r="S878" s="55" t="n"/>
      <c r="T878" s="55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</row>
    <row r="879" ht="15.75" customHeight="1" s="211">
      <c r="A879" s="55" t="n"/>
      <c r="B879" s="12" t="n"/>
      <c r="C879" s="55">
        <f>'Sales Candence'!B879</f>
        <v/>
      </c>
      <c r="D879" s="71" t="n"/>
      <c r="E879" s="71" t="n"/>
      <c r="F879" s="22" t="n"/>
      <c r="G879" s="22" t="n"/>
      <c r="H879" s="31" t="n"/>
      <c r="I879" s="23" t="n"/>
      <c r="J879" s="56" t="n"/>
      <c r="K879" s="22" t="n"/>
      <c r="L879" s="22" t="n"/>
      <c r="M879" s="22" t="n"/>
      <c r="N879" s="22" t="n"/>
      <c r="O879" s="22" t="n"/>
      <c r="P879" s="23" t="n"/>
      <c r="Q879" s="65" t="n"/>
      <c r="R879" s="65" t="n"/>
      <c r="S879" s="55" t="n"/>
      <c r="T879" s="55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</row>
    <row r="880" ht="15.75" customHeight="1" s="211">
      <c r="A880" s="55" t="n"/>
      <c r="B880" s="12" t="n"/>
      <c r="C880" s="55">
        <f>'Sales Candence'!B880</f>
        <v/>
      </c>
      <c r="D880" s="71" t="n"/>
      <c r="E880" s="71" t="n"/>
      <c r="F880" s="22" t="n"/>
      <c r="G880" s="22" t="n"/>
      <c r="H880" s="31" t="n"/>
      <c r="I880" s="23" t="n"/>
      <c r="J880" s="56" t="n"/>
      <c r="K880" s="22" t="n"/>
      <c r="L880" s="22" t="n"/>
      <c r="M880" s="22" t="n"/>
      <c r="N880" s="22" t="n"/>
      <c r="O880" s="22" t="n"/>
      <c r="P880" s="23" t="n"/>
      <c r="Q880" s="65" t="n"/>
      <c r="R880" s="65" t="n"/>
      <c r="S880" s="55" t="n"/>
      <c r="T880" s="55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</row>
    <row r="881" ht="15.75" customHeight="1" s="211">
      <c r="A881" s="55" t="n"/>
      <c r="B881" s="12" t="n"/>
      <c r="C881" s="55">
        <f>'Sales Candence'!B881</f>
        <v/>
      </c>
      <c r="D881" s="71" t="n"/>
      <c r="E881" s="71" t="n"/>
      <c r="F881" s="22" t="n"/>
      <c r="G881" s="22" t="n"/>
      <c r="H881" s="31" t="n"/>
      <c r="I881" s="23" t="n"/>
      <c r="J881" s="56" t="n"/>
      <c r="K881" s="22" t="n"/>
      <c r="L881" s="22" t="n"/>
      <c r="M881" s="22" t="n"/>
      <c r="N881" s="22" t="n"/>
      <c r="O881" s="22" t="n"/>
      <c r="P881" s="23" t="n"/>
      <c r="Q881" s="65" t="n"/>
      <c r="R881" s="65" t="n"/>
      <c r="S881" s="55" t="n"/>
      <c r="T881" s="55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</row>
    <row r="882" ht="15.75" customHeight="1" s="211">
      <c r="A882" s="55" t="n"/>
      <c r="B882" s="12" t="n"/>
      <c r="C882" s="55">
        <f>'Sales Candence'!B882</f>
        <v/>
      </c>
      <c r="D882" s="71" t="n"/>
      <c r="E882" s="71" t="n"/>
      <c r="F882" s="22" t="n"/>
      <c r="G882" s="22" t="n"/>
      <c r="H882" s="31" t="n"/>
      <c r="I882" s="23" t="n"/>
      <c r="J882" s="56" t="n"/>
      <c r="K882" s="22" t="n"/>
      <c r="L882" s="22" t="n"/>
      <c r="M882" s="22" t="n"/>
      <c r="N882" s="22" t="n"/>
      <c r="O882" s="22" t="n"/>
      <c r="P882" s="23" t="n"/>
      <c r="Q882" s="65" t="n"/>
      <c r="R882" s="65" t="n"/>
      <c r="S882" s="55" t="n"/>
      <c r="T882" s="55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</row>
    <row r="883" ht="15.75" customHeight="1" s="211">
      <c r="A883" s="55" t="n"/>
      <c r="B883" s="12" t="n"/>
      <c r="C883" s="55">
        <f>'Sales Candence'!B883</f>
        <v/>
      </c>
      <c r="D883" s="71" t="n"/>
      <c r="E883" s="71" t="n"/>
      <c r="F883" s="22" t="n"/>
      <c r="G883" s="22" t="n"/>
      <c r="H883" s="31" t="n"/>
      <c r="I883" s="23" t="n"/>
      <c r="J883" s="56" t="n"/>
      <c r="K883" s="22" t="n"/>
      <c r="L883" s="22" t="n"/>
      <c r="M883" s="22" t="n"/>
      <c r="N883" s="22" t="n"/>
      <c r="O883" s="22" t="n"/>
      <c r="P883" s="23" t="n"/>
      <c r="Q883" s="65" t="n"/>
      <c r="R883" s="65" t="n"/>
      <c r="S883" s="55" t="n"/>
      <c r="T883" s="55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</row>
    <row r="884" ht="15.75" customHeight="1" s="211">
      <c r="A884" s="55" t="n"/>
      <c r="B884" s="12" t="n"/>
      <c r="C884" s="55">
        <f>'Sales Candence'!B884</f>
        <v/>
      </c>
      <c r="D884" s="71" t="n"/>
      <c r="E884" s="71" t="n"/>
      <c r="F884" s="22" t="n"/>
      <c r="G884" s="22" t="n"/>
      <c r="H884" s="31" t="n"/>
      <c r="I884" s="23" t="n"/>
      <c r="J884" s="56" t="n"/>
      <c r="K884" s="22" t="n"/>
      <c r="L884" s="22" t="n"/>
      <c r="M884" s="22" t="n"/>
      <c r="N884" s="22" t="n"/>
      <c r="O884" s="22" t="n"/>
      <c r="P884" s="23" t="n"/>
      <c r="Q884" s="65" t="n"/>
      <c r="R884" s="65" t="n"/>
      <c r="S884" s="55" t="n"/>
      <c r="T884" s="55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</row>
    <row r="885" ht="15.75" customHeight="1" s="211">
      <c r="A885" s="55" t="n"/>
      <c r="B885" s="12" t="n"/>
      <c r="C885" s="55">
        <f>'Sales Candence'!B885</f>
        <v/>
      </c>
      <c r="D885" s="71" t="n"/>
      <c r="E885" s="71" t="n"/>
      <c r="F885" s="22" t="n"/>
      <c r="G885" s="22" t="n"/>
      <c r="H885" s="31" t="n"/>
      <c r="I885" s="23" t="n"/>
      <c r="J885" s="56" t="n"/>
      <c r="K885" s="22" t="n"/>
      <c r="L885" s="22" t="n"/>
      <c r="M885" s="22" t="n"/>
      <c r="N885" s="22" t="n"/>
      <c r="O885" s="22" t="n"/>
      <c r="P885" s="23" t="n"/>
      <c r="Q885" s="65" t="n"/>
      <c r="R885" s="65" t="n"/>
      <c r="S885" s="55" t="n"/>
      <c r="T885" s="55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</row>
    <row r="886" ht="15.75" customHeight="1" s="211">
      <c r="A886" s="55" t="n"/>
      <c r="B886" s="12" t="n"/>
      <c r="C886" s="55">
        <f>'Sales Candence'!B886</f>
        <v/>
      </c>
      <c r="D886" s="71" t="n"/>
      <c r="E886" s="71" t="n"/>
      <c r="F886" s="22" t="n"/>
      <c r="G886" s="22" t="n"/>
      <c r="H886" s="31" t="n"/>
      <c r="I886" s="23" t="n"/>
      <c r="J886" s="56" t="n"/>
      <c r="K886" s="22" t="n"/>
      <c r="L886" s="22" t="n"/>
      <c r="M886" s="22" t="n"/>
      <c r="N886" s="22" t="n"/>
      <c r="O886" s="22" t="n"/>
      <c r="P886" s="23" t="n"/>
      <c r="Q886" s="65" t="n"/>
      <c r="R886" s="65" t="n"/>
      <c r="S886" s="55" t="n"/>
      <c r="T886" s="55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</row>
    <row r="887" ht="15.75" customHeight="1" s="211">
      <c r="A887" s="55" t="n"/>
      <c r="B887" s="12" t="n"/>
      <c r="C887" s="55">
        <f>'Sales Candence'!B887</f>
        <v/>
      </c>
      <c r="D887" s="71" t="n"/>
      <c r="E887" s="71" t="n"/>
      <c r="F887" s="22" t="n"/>
      <c r="G887" s="22" t="n"/>
      <c r="H887" s="31" t="n"/>
      <c r="I887" s="23" t="n"/>
      <c r="J887" s="56" t="n"/>
      <c r="K887" s="22" t="n"/>
      <c r="L887" s="22" t="n"/>
      <c r="M887" s="22" t="n"/>
      <c r="N887" s="22" t="n"/>
      <c r="O887" s="22" t="n"/>
      <c r="P887" s="23" t="n"/>
      <c r="Q887" s="65" t="n"/>
      <c r="R887" s="65" t="n"/>
      <c r="S887" s="55" t="n"/>
      <c r="T887" s="55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</row>
    <row r="888" ht="15.75" customHeight="1" s="211">
      <c r="A888" s="55" t="n"/>
      <c r="B888" s="12" t="n"/>
      <c r="C888" s="55">
        <f>'Sales Candence'!B888</f>
        <v/>
      </c>
      <c r="D888" s="71" t="n"/>
      <c r="E888" s="71" t="n"/>
      <c r="F888" s="22" t="n"/>
      <c r="G888" s="22" t="n"/>
      <c r="H888" s="31" t="n"/>
      <c r="I888" s="23" t="n"/>
      <c r="J888" s="56" t="n"/>
      <c r="K888" s="22" t="n"/>
      <c r="L888" s="22" t="n"/>
      <c r="M888" s="22" t="n"/>
      <c r="N888" s="22" t="n"/>
      <c r="O888" s="22" t="n"/>
      <c r="P888" s="23" t="n"/>
      <c r="Q888" s="65" t="n"/>
      <c r="R888" s="65" t="n"/>
      <c r="S888" s="55" t="n"/>
      <c r="T888" s="55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</row>
    <row r="889" ht="15.75" customHeight="1" s="211">
      <c r="A889" s="55" t="n"/>
      <c r="B889" s="12" t="n"/>
      <c r="C889" s="55">
        <f>'Sales Candence'!B889</f>
        <v/>
      </c>
      <c r="D889" s="71" t="n"/>
      <c r="E889" s="71" t="n"/>
      <c r="F889" s="22" t="n"/>
      <c r="G889" s="22" t="n"/>
      <c r="H889" s="31" t="n"/>
      <c r="I889" s="23" t="n"/>
      <c r="J889" s="56" t="n"/>
      <c r="K889" s="22" t="n"/>
      <c r="L889" s="22" t="n"/>
      <c r="M889" s="22" t="n"/>
      <c r="N889" s="22" t="n"/>
      <c r="O889" s="22" t="n"/>
      <c r="P889" s="23" t="n"/>
      <c r="Q889" s="65" t="n"/>
      <c r="R889" s="65" t="n"/>
      <c r="S889" s="55" t="n"/>
      <c r="T889" s="55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</row>
    <row r="890" ht="15.75" customHeight="1" s="211">
      <c r="A890" s="55" t="n"/>
      <c r="B890" s="12" t="n"/>
      <c r="C890" s="55">
        <f>'Sales Candence'!B890</f>
        <v/>
      </c>
      <c r="D890" s="71" t="n"/>
      <c r="E890" s="71" t="n"/>
      <c r="F890" s="22" t="n"/>
      <c r="G890" s="22" t="n"/>
      <c r="H890" s="31" t="n"/>
      <c r="I890" s="23" t="n"/>
      <c r="J890" s="56" t="n"/>
      <c r="K890" s="22" t="n"/>
      <c r="L890" s="22" t="n"/>
      <c r="M890" s="22" t="n"/>
      <c r="N890" s="22" t="n"/>
      <c r="O890" s="22" t="n"/>
      <c r="P890" s="23" t="n"/>
      <c r="Q890" s="65" t="n"/>
      <c r="R890" s="65" t="n"/>
      <c r="S890" s="55" t="n"/>
      <c r="T890" s="55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</row>
    <row r="891" ht="15.75" customHeight="1" s="211">
      <c r="A891" s="55" t="n"/>
      <c r="B891" s="12" t="n"/>
      <c r="C891" s="55">
        <f>'Sales Candence'!B891</f>
        <v/>
      </c>
      <c r="D891" s="71" t="n"/>
      <c r="E891" s="71" t="n"/>
      <c r="F891" s="22" t="n"/>
      <c r="G891" s="22" t="n"/>
      <c r="H891" s="31" t="n"/>
      <c r="I891" s="23" t="n"/>
      <c r="J891" s="56" t="n"/>
      <c r="K891" s="22" t="n"/>
      <c r="L891" s="22" t="n"/>
      <c r="M891" s="22" t="n"/>
      <c r="N891" s="22" t="n"/>
      <c r="O891" s="22" t="n"/>
      <c r="P891" s="23" t="n"/>
      <c r="Q891" s="65" t="n"/>
      <c r="R891" s="65" t="n"/>
      <c r="S891" s="55" t="n"/>
      <c r="T891" s="55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</row>
    <row r="892" ht="15.75" customHeight="1" s="211">
      <c r="A892" s="55" t="n"/>
      <c r="B892" s="12" t="n"/>
      <c r="C892" s="55">
        <f>'Sales Candence'!B892</f>
        <v/>
      </c>
      <c r="D892" s="71" t="n"/>
      <c r="E892" s="71" t="n"/>
      <c r="F892" s="22" t="n"/>
      <c r="G892" s="22" t="n"/>
      <c r="H892" s="31" t="n"/>
      <c r="I892" s="23" t="n"/>
      <c r="J892" s="56" t="n"/>
      <c r="K892" s="22" t="n"/>
      <c r="L892" s="22" t="n"/>
      <c r="M892" s="22" t="n"/>
      <c r="N892" s="22" t="n"/>
      <c r="O892" s="22" t="n"/>
      <c r="P892" s="23" t="n"/>
      <c r="Q892" s="65" t="n"/>
      <c r="R892" s="65" t="n"/>
      <c r="S892" s="55" t="n"/>
      <c r="T892" s="55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</row>
    <row r="893" ht="15.75" customHeight="1" s="211">
      <c r="A893" s="55" t="n"/>
      <c r="B893" s="12" t="n"/>
      <c r="C893" s="55">
        <f>'Sales Candence'!B893</f>
        <v/>
      </c>
      <c r="D893" s="71" t="n"/>
      <c r="E893" s="71" t="n"/>
      <c r="F893" s="22" t="n"/>
      <c r="G893" s="22" t="n"/>
      <c r="H893" s="31" t="n"/>
      <c r="I893" s="23" t="n"/>
      <c r="J893" s="56" t="n"/>
      <c r="K893" s="22" t="n"/>
      <c r="L893" s="22" t="n"/>
      <c r="M893" s="22" t="n"/>
      <c r="N893" s="22" t="n"/>
      <c r="O893" s="22" t="n"/>
      <c r="P893" s="23" t="n"/>
      <c r="Q893" s="65" t="n"/>
      <c r="R893" s="65" t="n"/>
      <c r="S893" s="55" t="n"/>
      <c r="T893" s="55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</row>
    <row r="894" ht="15.75" customHeight="1" s="211">
      <c r="A894" s="55" t="n"/>
      <c r="B894" s="12" t="n"/>
      <c r="C894" s="55">
        <f>'Sales Candence'!B894</f>
        <v/>
      </c>
      <c r="D894" s="71" t="n"/>
      <c r="E894" s="71" t="n"/>
      <c r="F894" s="22" t="n"/>
      <c r="G894" s="22" t="n"/>
      <c r="H894" s="31" t="n"/>
      <c r="I894" s="23" t="n"/>
      <c r="J894" s="56" t="n"/>
      <c r="K894" s="22" t="n"/>
      <c r="L894" s="22" t="n"/>
      <c r="M894" s="22" t="n"/>
      <c r="N894" s="22" t="n"/>
      <c r="O894" s="22" t="n"/>
      <c r="P894" s="23" t="n"/>
      <c r="Q894" s="65" t="n"/>
      <c r="R894" s="65" t="n"/>
      <c r="S894" s="55" t="n"/>
      <c r="T894" s="55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</row>
    <row r="895" ht="15.75" customHeight="1" s="211">
      <c r="A895" s="55" t="n"/>
      <c r="B895" s="12" t="n"/>
      <c r="C895" s="55">
        <f>'Sales Candence'!B895</f>
        <v/>
      </c>
      <c r="D895" s="71" t="n"/>
      <c r="E895" s="71" t="n"/>
      <c r="F895" s="22" t="n"/>
      <c r="G895" s="22" t="n"/>
      <c r="H895" s="31" t="n"/>
      <c r="I895" s="23" t="n"/>
      <c r="J895" s="56" t="n"/>
      <c r="K895" s="22" t="n"/>
      <c r="L895" s="22" t="n"/>
      <c r="M895" s="22" t="n"/>
      <c r="N895" s="22" t="n"/>
      <c r="O895" s="22" t="n"/>
      <c r="P895" s="23" t="n"/>
      <c r="Q895" s="65" t="n"/>
      <c r="R895" s="65" t="n"/>
      <c r="S895" s="55" t="n"/>
      <c r="T895" s="55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</row>
    <row r="896" ht="15.75" customHeight="1" s="211">
      <c r="A896" s="55" t="n"/>
      <c r="B896" s="12" t="n"/>
      <c r="C896" s="55">
        <f>'Sales Candence'!B896</f>
        <v/>
      </c>
      <c r="D896" s="71" t="n"/>
      <c r="E896" s="71" t="n"/>
      <c r="F896" s="22" t="n"/>
      <c r="G896" s="22" t="n"/>
      <c r="H896" s="31" t="n"/>
      <c r="I896" s="23" t="n"/>
      <c r="J896" s="56" t="n"/>
      <c r="K896" s="22" t="n"/>
      <c r="L896" s="22" t="n"/>
      <c r="M896" s="22" t="n"/>
      <c r="N896" s="22" t="n"/>
      <c r="O896" s="22" t="n"/>
      <c r="P896" s="23" t="n"/>
      <c r="Q896" s="65" t="n"/>
      <c r="R896" s="65" t="n"/>
      <c r="S896" s="55" t="n"/>
      <c r="T896" s="55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</row>
    <row r="897" ht="15.75" customHeight="1" s="211">
      <c r="A897" s="55" t="n"/>
      <c r="B897" s="12" t="n"/>
      <c r="C897" s="55">
        <f>'Sales Candence'!B897</f>
        <v/>
      </c>
      <c r="D897" s="71" t="n"/>
      <c r="E897" s="71" t="n"/>
      <c r="F897" s="22" t="n"/>
      <c r="G897" s="22" t="n"/>
      <c r="H897" s="31" t="n"/>
      <c r="I897" s="23" t="n"/>
      <c r="J897" s="56" t="n"/>
      <c r="K897" s="22" t="n"/>
      <c r="L897" s="22" t="n"/>
      <c r="M897" s="22" t="n"/>
      <c r="N897" s="22" t="n"/>
      <c r="O897" s="22" t="n"/>
      <c r="P897" s="23" t="n"/>
      <c r="Q897" s="65" t="n"/>
      <c r="R897" s="65" t="n"/>
      <c r="S897" s="55" t="n"/>
      <c r="T897" s="55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</row>
    <row r="898" ht="15.75" customHeight="1" s="211">
      <c r="A898" s="55" t="n"/>
      <c r="B898" s="12" t="n"/>
      <c r="C898" s="55">
        <f>'Sales Candence'!B898</f>
        <v/>
      </c>
      <c r="D898" s="71" t="n"/>
      <c r="E898" s="71" t="n"/>
      <c r="F898" s="22" t="n"/>
      <c r="G898" s="22" t="n"/>
      <c r="H898" s="31" t="n"/>
      <c r="I898" s="23" t="n"/>
      <c r="J898" s="56" t="n"/>
      <c r="K898" s="22" t="n"/>
      <c r="L898" s="22" t="n"/>
      <c r="M898" s="22" t="n"/>
      <c r="N898" s="22" t="n"/>
      <c r="O898" s="22" t="n"/>
      <c r="P898" s="23" t="n"/>
      <c r="Q898" s="65" t="n"/>
      <c r="R898" s="65" t="n"/>
      <c r="S898" s="55" t="n"/>
      <c r="T898" s="55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</row>
    <row r="899" ht="15.75" customHeight="1" s="211">
      <c r="A899" s="55" t="n"/>
      <c r="B899" s="12" t="n"/>
      <c r="C899" s="55">
        <f>'Sales Candence'!B899</f>
        <v/>
      </c>
      <c r="D899" s="71" t="n"/>
      <c r="E899" s="71" t="n"/>
      <c r="F899" s="22" t="n"/>
      <c r="G899" s="22" t="n"/>
      <c r="H899" s="31" t="n"/>
      <c r="I899" s="23" t="n"/>
      <c r="J899" s="56" t="n"/>
      <c r="K899" s="22" t="n"/>
      <c r="L899" s="22" t="n"/>
      <c r="M899" s="22" t="n"/>
      <c r="N899" s="22" t="n"/>
      <c r="O899" s="22" t="n"/>
      <c r="P899" s="23" t="n"/>
      <c r="Q899" s="65" t="n"/>
      <c r="R899" s="65" t="n"/>
      <c r="S899" s="55" t="n"/>
      <c r="T899" s="55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</row>
    <row r="900" ht="15.75" customHeight="1" s="211">
      <c r="A900" s="55" t="n"/>
      <c r="B900" s="12" t="n"/>
      <c r="C900" s="55">
        <f>'Sales Candence'!B900</f>
        <v/>
      </c>
      <c r="D900" s="71" t="n"/>
      <c r="E900" s="71" t="n"/>
      <c r="F900" s="22" t="n"/>
      <c r="G900" s="22" t="n"/>
      <c r="H900" s="31" t="n"/>
      <c r="I900" s="23" t="n"/>
      <c r="J900" s="56" t="n"/>
      <c r="K900" s="22" t="n"/>
      <c r="L900" s="22" t="n"/>
      <c r="M900" s="22" t="n"/>
      <c r="N900" s="22" t="n"/>
      <c r="O900" s="22" t="n"/>
      <c r="P900" s="23" t="n"/>
      <c r="Q900" s="65" t="n"/>
      <c r="R900" s="65" t="n"/>
      <c r="S900" s="55" t="n"/>
      <c r="T900" s="55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</row>
    <row r="901" ht="15.75" customHeight="1" s="211">
      <c r="A901" s="55" t="n"/>
      <c r="B901" s="12" t="n"/>
      <c r="C901" s="55">
        <f>'Sales Candence'!B901</f>
        <v/>
      </c>
      <c r="D901" s="71" t="n"/>
      <c r="E901" s="71" t="n"/>
      <c r="F901" s="22" t="n"/>
      <c r="G901" s="22" t="n"/>
      <c r="H901" s="31" t="n"/>
      <c r="I901" s="23" t="n"/>
      <c r="J901" s="56" t="n"/>
      <c r="K901" s="22" t="n"/>
      <c r="L901" s="22" t="n"/>
      <c r="M901" s="22" t="n"/>
      <c r="N901" s="22" t="n"/>
      <c r="O901" s="22" t="n"/>
      <c r="P901" s="23" t="n"/>
      <c r="Q901" s="65" t="n"/>
      <c r="R901" s="65" t="n"/>
      <c r="S901" s="55" t="n"/>
      <c r="T901" s="55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</row>
    <row r="902" ht="15.75" customHeight="1" s="211">
      <c r="A902" s="55" t="n"/>
      <c r="B902" s="12" t="n"/>
      <c r="C902" s="55">
        <f>'Sales Candence'!B902</f>
        <v/>
      </c>
      <c r="D902" s="71" t="n"/>
      <c r="E902" s="71" t="n"/>
      <c r="F902" s="22" t="n"/>
      <c r="G902" s="22" t="n"/>
      <c r="H902" s="31" t="n"/>
      <c r="I902" s="23" t="n"/>
      <c r="J902" s="56" t="n"/>
      <c r="K902" s="22" t="n"/>
      <c r="L902" s="22" t="n"/>
      <c r="M902" s="22" t="n"/>
      <c r="N902" s="22" t="n"/>
      <c r="O902" s="22" t="n"/>
      <c r="P902" s="23" t="n"/>
      <c r="Q902" s="65" t="n"/>
      <c r="R902" s="65" t="n"/>
      <c r="S902" s="55" t="n"/>
      <c r="T902" s="55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</row>
    <row r="903" ht="15.75" customHeight="1" s="211">
      <c r="A903" s="55" t="n"/>
      <c r="B903" s="12" t="n"/>
      <c r="C903" s="55">
        <f>'Sales Candence'!B903</f>
        <v/>
      </c>
      <c r="D903" s="71" t="n"/>
      <c r="E903" s="71" t="n"/>
      <c r="F903" s="22" t="n"/>
      <c r="G903" s="22" t="n"/>
      <c r="H903" s="31" t="n"/>
      <c r="I903" s="23" t="n"/>
      <c r="J903" s="56" t="n"/>
      <c r="K903" s="22" t="n"/>
      <c r="L903" s="22" t="n"/>
      <c r="M903" s="22" t="n"/>
      <c r="N903" s="22" t="n"/>
      <c r="O903" s="22" t="n"/>
      <c r="P903" s="23" t="n"/>
      <c r="Q903" s="65" t="n"/>
      <c r="R903" s="65" t="n"/>
      <c r="S903" s="55" t="n"/>
      <c r="T903" s="55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</row>
    <row r="904" ht="15.75" customHeight="1" s="211">
      <c r="A904" s="55" t="n"/>
      <c r="B904" s="12" t="n"/>
      <c r="C904" s="55">
        <f>'Sales Candence'!B904</f>
        <v/>
      </c>
      <c r="D904" s="71" t="n"/>
      <c r="E904" s="71" t="n"/>
      <c r="F904" s="22" t="n"/>
      <c r="G904" s="22" t="n"/>
      <c r="H904" s="31" t="n"/>
      <c r="I904" s="23" t="n"/>
      <c r="J904" s="56" t="n"/>
      <c r="K904" s="22" t="n"/>
      <c r="L904" s="22" t="n"/>
      <c r="M904" s="22" t="n"/>
      <c r="N904" s="22" t="n"/>
      <c r="O904" s="22" t="n"/>
      <c r="P904" s="23" t="n"/>
      <c r="Q904" s="65" t="n"/>
      <c r="R904" s="65" t="n"/>
      <c r="S904" s="55" t="n"/>
      <c r="T904" s="55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</row>
    <row r="905" ht="15.75" customHeight="1" s="211">
      <c r="A905" s="55" t="n"/>
      <c r="B905" s="12" t="n"/>
      <c r="C905" s="55">
        <f>'Sales Candence'!B905</f>
        <v/>
      </c>
      <c r="D905" s="71" t="n"/>
      <c r="E905" s="71" t="n"/>
      <c r="F905" s="22" t="n"/>
      <c r="G905" s="22" t="n"/>
      <c r="H905" s="31" t="n"/>
      <c r="I905" s="23" t="n"/>
      <c r="J905" s="56" t="n"/>
      <c r="K905" s="22" t="n"/>
      <c r="L905" s="22" t="n"/>
      <c r="M905" s="22" t="n"/>
      <c r="N905" s="22" t="n"/>
      <c r="O905" s="22" t="n"/>
      <c r="P905" s="23" t="n"/>
      <c r="Q905" s="65" t="n"/>
      <c r="R905" s="65" t="n"/>
      <c r="S905" s="55" t="n"/>
      <c r="T905" s="55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</row>
    <row r="906" ht="15.75" customHeight="1" s="211">
      <c r="A906" s="55" t="n"/>
      <c r="B906" s="12" t="n"/>
      <c r="C906" s="55">
        <f>'Sales Candence'!B906</f>
        <v/>
      </c>
      <c r="D906" s="71" t="n"/>
      <c r="E906" s="71" t="n"/>
      <c r="F906" s="22" t="n"/>
      <c r="G906" s="22" t="n"/>
      <c r="H906" s="31" t="n"/>
      <c r="I906" s="23" t="n"/>
      <c r="J906" s="56" t="n"/>
      <c r="K906" s="22" t="n"/>
      <c r="L906" s="22" t="n"/>
      <c r="M906" s="22" t="n"/>
      <c r="N906" s="22" t="n"/>
      <c r="O906" s="22" t="n"/>
      <c r="P906" s="23" t="n"/>
      <c r="Q906" s="65" t="n"/>
      <c r="R906" s="65" t="n"/>
      <c r="S906" s="55" t="n"/>
      <c r="T906" s="55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</row>
    <row r="907" ht="15.75" customHeight="1" s="211">
      <c r="A907" s="55" t="n"/>
      <c r="B907" s="12" t="n"/>
      <c r="C907" s="55">
        <f>'Sales Candence'!B907</f>
        <v/>
      </c>
      <c r="D907" s="71" t="n"/>
      <c r="E907" s="71" t="n"/>
      <c r="F907" s="22" t="n"/>
      <c r="G907" s="22" t="n"/>
      <c r="H907" s="31" t="n"/>
      <c r="I907" s="23" t="n"/>
      <c r="J907" s="56" t="n"/>
      <c r="K907" s="22" t="n"/>
      <c r="L907" s="22" t="n"/>
      <c r="M907" s="22" t="n"/>
      <c r="N907" s="22" t="n"/>
      <c r="O907" s="22" t="n"/>
      <c r="P907" s="23" t="n"/>
      <c r="Q907" s="65" t="n"/>
      <c r="R907" s="65" t="n"/>
      <c r="S907" s="55" t="n"/>
      <c r="T907" s="55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</row>
    <row r="908" ht="15.75" customHeight="1" s="211">
      <c r="A908" s="55" t="n"/>
      <c r="B908" s="12" t="n"/>
      <c r="C908" s="55">
        <f>'Sales Candence'!B908</f>
        <v/>
      </c>
      <c r="D908" s="71" t="n"/>
      <c r="E908" s="71" t="n"/>
      <c r="F908" s="22" t="n"/>
      <c r="G908" s="22" t="n"/>
      <c r="H908" s="31" t="n"/>
      <c r="I908" s="23" t="n"/>
      <c r="J908" s="56" t="n"/>
      <c r="K908" s="22" t="n"/>
      <c r="L908" s="22" t="n"/>
      <c r="M908" s="22" t="n"/>
      <c r="N908" s="22" t="n"/>
      <c r="O908" s="22" t="n"/>
      <c r="P908" s="23" t="n"/>
      <c r="Q908" s="65" t="n"/>
      <c r="R908" s="65" t="n"/>
      <c r="S908" s="55" t="n"/>
      <c r="T908" s="55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</row>
    <row r="909" ht="15.75" customHeight="1" s="211">
      <c r="A909" s="55" t="n"/>
      <c r="B909" s="12" t="n"/>
      <c r="C909" s="55">
        <f>'Sales Candence'!B909</f>
        <v/>
      </c>
      <c r="D909" s="71" t="n"/>
      <c r="E909" s="71" t="n"/>
      <c r="F909" s="22" t="n"/>
      <c r="G909" s="22" t="n"/>
      <c r="H909" s="31" t="n"/>
      <c r="I909" s="23" t="n"/>
      <c r="J909" s="56" t="n"/>
      <c r="K909" s="22" t="n"/>
      <c r="L909" s="22" t="n"/>
      <c r="M909" s="22" t="n"/>
      <c r="N909" s="22" t="n"/>
      <c r="O909" s="22" t="n"/>
      <c r="P909" s="23" t="n"/>
      <c r="Q909" s="65" t="n"/>
      <c r="R909" s="65" t="n"/>
      <c r="S909" s="55" t="n"/>
      <c r="T909" s="55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</row>
    <row r="910" ht="15.75" customHeight="1" s="211">
      <c r="A910" s="55" t="n"/>
      <c r="B910" s="12" t="n"/>
      <c r="C910" s="55">
        <f>'Sales Candence'!B910</f>
        <v/>
      </c>
      <c r="D910" s="71" t="n"/>
      <c r="E910" s="71" t="n"/>
      <c r="F910" s="22" t="n"/>
      <c r="G910" s="22" t="n"/>
      <c r="H910" s="31" t="n"/>
      <c r="I910" s="23" t="n"/>
      <c r="J910" s="56" t="n"/>
      <c r="K910" s="22" t="n"/>
      <c r="L910" s="22" t="n"/>
      <c r="M910" s="22" t="n"/>
      <c r="N910" s="22" t="n"/>
      <c r="O910" s="22" t="n"/>
      <c r="P910" s="23" t="n"/>
      <c r="Q910" s="65" t="n"/>
      <c r="R910" s="65" t="n"/>
      <c r="S910" s="55" t="n"/>
      <c r="T910" s="55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</row>
    <row r="911" ht="15.75" customHeight="1" s="211">
      <c r="A911" s="55" t="n"/>
      <c r="B911" s="12" t="n"/>
      <c r="C911" s="55">
        <f>'Sales Candence'!B911</f>
        <v/>
      </c>
      <c r="D911" s="71" t="n"/>
      <c r="E911" s="71" t="n"/>
      <c r="F911" s="22" t="n"/>
      <c r="G911" s="22" t="n"/>
      <c r="H911" s="31" t="n"/>
      <c r="I911" s="23" t="n"/>
      <c r="J911" s="56" t="n"/>
      <c r="K911" s="22" t="n"/>
      <c r="L911" s="22" t="n"/>
      <c r="M911" s="22" t="n"/>
      <c r="N911" s="22" t="n"/>
      <c r="O911" s="22" t="n"/>
      <c r="P911" s="23" t="n"/>
      <c r="Q911" s="65" t="n"/>
      <c r="R911" s="65" t="n"/>
      <c r="S911" s="55" t="n"/>
      <c r="T911" s="55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</row>
    <row r="912" ht="15.75" customHeight="1" s="211">
      <c r="A912" s="55" t="n"/>
      <c r="B912" s="12" t="n"/>
      <c r="C912" s="55">
        <f>'Sales Candence'!B912</f>
        <v/>
      </c>
      <c r="D912" s="71" t="n"/>
      <c r="E912" s="71" t="n"/>
      <c r="F912" s="22" t="n"/>
      <c r="G912" s="22" t="n"/>
      <c r="H912" s="31" t="n"/>
      <c r="I912" s="23" t="n"/>
      <c r="J912" s="56" t="n"/>
      <c r="K912" s="22" t="n"/>
      <c r="L912" s="22" t="n"/>
      <c r="M912" s="22" t="n"/>
      <c r="N912" s="22" t="n"/>
      <c r="O912" s="22" t="n"/>
      <c r="P912" s="23" t="n"/>
      <c r="Q912" s="65" t="n"/>
      <c r="R912" s="65" t="n"/>
      <c r="S912" s="55" t="n"/>
      <c r="T912" s="55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</row>
    <row r="913" ht="15.75" customHeight="1" s="211">
      <c r="A913" s="55" t="n"/>
      <c r="B913" s="12" t="n"/>
      <c r="C913" s="55">
        <f>'Sales Candence'!B913</f>
        <v/>
      </c>
      <c r="D913" s="71" t="n"/>
      <c r="E913" s="71" t="n"/>
      <c r="F913" s="22" t="n"/>
      <c r="G913" s="22" t="n"/>
      <c r="H913" s="31" t="n"/>
      <c r="I913" s="23" t="n"/>
      <c r="J913" s="56" t="n"/>
      <c r="K913" s="22" t="n"/>
      <c r="L913" s="22" t="n"/>
      <c r="M913" s="22" t="n"/>
      <c r="N913" s="22" t="n"/>
      <c r="O913" s="22" t="n"/>
      <c r="P913" s="23" t="n"/>
      <c r="Q913" s="65" t="n"/>
      <c r="R913" s="65" t="n"/>
      <c r="S913" s="55" t="n"/>
      <c r="T913" s="55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</row>
    <row r="914" ht="15.75" customHeight="1" s="211">
      <c r="A914" s="55" t="n"/>
      <c r="B914" s="12" t="n"/>
      <c r="C914" s="55">
        <f>'Sales Candence'!B914</f>
        <v/>
      </c>
      <c r="D914" s="71" t="n"/>
      <c r="E914" s="71" t="n"/>
      <c r="F914" s="22" t="n"/>
      <c r="G914" s="22" t="n"/>
      <c r="H914" s="31" t="n"/>
      <c r="I914" s="23" t="n"/>
      <c r="J914" s="56" t="n"/>
      <c r="K914" s="22" t="n"/>
      <c r="L914" s="22" t="n"/>
      <c r="M914" s="22" t="n"/>
      <c r="N914" s="22" t="n"/>
      <c r="O914" s="22" t="n"/>
      <c r="P914" s="23" t="n"/>
      <c r="Q914" s="65" t="n"/>
      <c r="R914" s="65" t="n"/>
      <c r="S914" s="55" t="n"/>
      <c r="T914" s="55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</row>
    <row r="915" ht="15.75" customHeight="1" s="211">
      <c r="A915" s="55" t="n"/>
      <c r="B915" s="12" t="n"/>
      <c r="C915" s="55">
        <f>'Sales Candence'!B915</f>
        <v/>
      </c>
      <c r="D915" s="71" t="n"/>
      <c r="E915" s="71" t="n"/>
      <c r="F915" s="22" t="n"/>
      <c r="G915" s="22" t="n"/>
      <c r="H915" s="31" t="n"/>
      <c r="I915" s="23" t="n"/>
      <c r="J915" s="56" t="n"/>
      <c r="K915" s="22" t="n"/>
      <c r="L915" s="22" t="n"/>
      <c r="M915" s="22" t="n"/>
      <c r="N915" s="22" t="n"/>
      <c r="O915" s="22" t="n"/>
      <c r="P915" s="23" t="n"/>
      <c r="Q915" s="65" t="n"/>
      <c r="R915" s="65" t="n"/>
      <c r="S915" s="55" t="n"/>
      <c r="T915" s="55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</row>
    <row r="916" ht="15.75" customHeight="1" s="211">
      <c r="A916" s="55" t="n"/>
      <c r="B916" s="12" t="n"/>
      <c r="C916" s="55">
        <f>'Sales Candence'!B916</f>
        <v/>
      </c>
      <c r="D916" s="71" t="n"/>
      <c r="E916" s="71" t="n"/>
      <c r="F916" s="22" t="n"/>
      <c r="G916" s="22" t="n"/>
      <c r="H916" s="31" t="n"/>
      <c r="I916" s="23" t="n"/>
      <c r="J916" s="56" t="n"/>
      <c r="K916" s="22" t="n"/>
      <c r="L916" s="22" t="n"/>
      <c r="M916" s="22" t="n"/>
      <c r="N916" s="22" t="n"/>
      <c r="O916" s="22" t="n"/>
      <c r="P916" s="23" t="n"/>
      <c r="Q916" s="65" t="n"/>
      <c r="R916" s="65" t="n"/>
      <c r="S916" s="55" t="n"/>
      <c r="T916" s="55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</row>
    <row r="917" ht="15.75" customHeight="1" s="211">
      <c r="A917" s="55" t="n"/>
      <c r="B917" s="12" t="n"/>
      <c r="C917" s="55">
        <f>'Sales Candence'!B917</f>
        <v/>
      </c>
      <c r="D917" s="71" t="n"/>
      <c r="E917" s="71" t="n"/>
      <c r="F917" s="22" t="n"/>
      <c r="G917" s="22" t="n"/>
      <c r="H917" s="31" t="n"/>
      <c r="I917" s="23" t="n"/>
      <c r="J917" s="56" t="n"/>
      <c r="K917" s="22" t="n"/>
      <c r="L917" s="22" t="n"/>
      <c r="M917" s="22" t="n"/>
      <c r="N917" s="22" t="n"/>
      <c r="O917" s="22" t="n"/>
      <c r="P917" s="23" t="n"/>
      <c r="Q917" s="65" t="n"/>
      <c r="R917" s="65" t="n"/>
      <c r="S917" s="55" t="n"/>
      <c r="T917" s="55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</row>
    <row r="918" ht="15.75" customHeight="1" s="211">
      <c r="A918" s="55" t="n"/>
      <c r="B918" s="12" t="n"/>
      <c r="C918" s="55">
        <f>'Sales Candence'!B918</f>
        <v/>
      </c>
      <c r="D918" s="71" t="n"/>
      <c r="E918" s="71" t="n"/>
      <c r="F918" s="22" t="n"/>
      <c r="G918" s="22" t="n"/>
      <c r="H918" s="31" t="n"/>
      <c r="I918" s="23" t="n"/>
      <c r="J918" s="56" t="n"/>
      <c r="K918" s="22" t="n"/>
      <c r="L918" s="22" t="n"/>
      <c r="M918" s="22" t="n"/>
      <c r="N918" s="22" t="n"/>
      <c r="O918" s="22" t="n"/>
      <c r="P918" s="23" t="n"/>
      <c r="Q918" s="65" t="n"/>
      <c r="R918" s="65" t="n"/>
      <c r="S918" s="55" t="n"/>
      <c r="T918" s="55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</row>
    <row r="919" ht="15.75" customHeight="1" s="211">
      <c r="A919" s="55" t="n"/>
      <c r="B919" s="12" t="n"/>
      <c r="C919" s="55">
        <f>'Sales Candence'!B919</f>
        <v/>
      </c>
      <c r="D919" s="71" t="n"/>
      <c r="E919" s="71" t="n"/>
      <c r="F919" s="22" t="n"/>
      <c r="G919" s="22" t="n"/>
      <c r="H919" s="31" t="n"/>
      <c r="I919" s="23" t="n"/>
      <c r="J919" s="56" t="n"/>
      <c r="K919" s="22" t="n"/>
      <c r="L919" s="22" t="n"/>
      <c r="M919" s="22" t="n"/>
      <c r="N919" s="22" t="n"/>
      <c r="O919" s="22" t="n"/>
      <c r="P919" s="23" t="n"/>
      <c r="Q919" s="65" t="n"/>
      <c r="R919" s="65" t="n"/>
      <c r="S919" s="55" t="n"/>
      <c r="T919" s="55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</row>
    <row r="920" ht="15.75" customHeight="1" s="211">
      <c r="A920" s="55" t="n"/>
      <c r="B920" s="12" t="n"/>
      <c r="C920" s="55">
        <f>'Sales Candence'!B920</f>
        <v/>
      </c>
      <c r="D920" s="71" t="n"/>
      <c r="E920" s="71" t="n"/>
      <c r="F920" s="22" t="n"/>
      <c r="G920" s="22" t="n"/>
      <c r="H920" s="31" t="n"/>
      <c r="I920" s="23" t="n"/>
      <c r="J920" s="56" t="n"/>
      <c r="K920" s="22" t="n"/>
      <c r="L920" s="22" t="n"/>
      <c r="M920" s="22" t="n"/>
      <c r="N920" s="22" t="n"/>
      <c r="O920" s="22" t="n"/>
      <c r="P920" s="23" t="n"/>
      <c r="Q920" s="65" t="n"/>
      <c r="R920" s="65" t="n"/>
      <c r="S920" s="55" t="n"/>
      <c r="T920" s="55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</row>
    <row r="921" ht="15.75" customHeight="1" s="211">
      <c r="A921" s="55" t="n"/>
      <c r="B921" s="12" t="n"/>
      <c r="C921" s="55">
        <f>'Sales Candence'!B921</f>
        <v/>
      </c>
      <c r="D921" s="71" t="n"/>
      <c r="E921" s="71" t="n"/>
      <c r="F921" s="22" t="n"/>
      <c r="G921" s="22" t="n"/>
      <c r="H921" s="31" t="n"/>
      <c r="I921" s="23" t="n"/>
      <c r="J921" s="56" t="n"/>
      <c r="K921" s="22" t="n"/>
      <c r="L921" s="22" t="n"/>
      <c r="M921" s="22" t="n"/>
      <c r="N921" s="22" t="n"/>
      <c r="O921" s="22" t="n"/>
      <c r="P921" s="23" t="n"/>
      <c r="Q921" s="65" t="n"/>
      <c r="R921" s="65" t="n"/>
      <c r="S921" s="55" t="n"/>
      <c r="T921" s="55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</row>
    <row r="922" ht="15.75" customHeight="1" s="211">
      <c r="A922" s="55" t="n"/>
      <c r="B922" s="12" t="n"/>
      <c r="C922" s="55">
        <f>'Sales Candence'!B922</f>
        <v/>
      </c>
      <c r="D922" s="71" t="n"/>
      <c r="E922" s="71" t="n"/>
      <c r="F922" s="22" t="n"/>
      <c r="G922" s="22" t="n"/>
      <c r="H922" s="31" t="n"/>
      <c r="I922" s="23" t="n"/>
      <c r="J922" s="56" t="n"/>
      <c r="K922" s="22" t="n"/>
      <c r="L922" s="22" t="n"/>
      <c r="M922" s="22" t="n"/>
      <c r="N922" s="22" t="n"/>
      <c r="O922" s="22" t="n"/>
      <c r="P922" s="23" t="n"/>
      <c r="Q922" s="65" t="n"/>
      <c r="R922" s="65" t="n"/>
      <c r="S922" s="55" t="n"/>
      <c r="T922" s="55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</row>
    <row r="923" ht="15.75" customHeight="1" s="211">
      <c r="A923" s="55" t="n"/>
      <c r="B923" s="12" t="n"/>
      <c r="C923" s="55">
        <f>'Sales Candence'!B923</f>
        <v/>
      </c>
      <c r="D923" s="71" t="n"/>
      <c r="E923" s="71" t="n"/>
      <c r="F923" s="22" t="n"/>
      <c r="G923" s="22" t="n"/>
      <c r="H923" s="31" t="n"/>
      <c r="I923" s="23" t="n"/>
      <c r="J923" s="56" t="n"/>
      <c r="K923" s="22" t="n"/>
      <c r="L923" s="22" t="n"/>
      <c r="M923" s="22" t="n"/>
      <c r="N923" s="22" t="n"/>
      <c r="O923" s="22" t="n"/>
      <c r="P923" s="23" t="n"/>
      <c r="Q923" s="65" t="n"/>
      <c r="R923" s="65" t="n"/>
      <c r="S923" s="55" t="n"/>
      <c r="T923" s="55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</row>
    <row r="924" ht="15.75" customHeight="1" s="211">
      <c r="A924" s="55" t="n"/>
      <c r="B924" s="12" t="n"/>
      <c r="C924" s="55">
        <f>'Sales Candence'!B924</f>
        <v/>
      </c>
      <c r="D924" s="71" t="n"/>
      <c r="E924" s="71" t="n"/>
      <c r="F924" s="22" t="n"/>
      <c r="G924" s="22" t="n"/>
      <c r="H924" s="31" t="n"/>
      <c r="I924" s="23" t="n"/>
      <c r="J924" s="56" t="n"/>
      <c r="K924" s="22" t="n"/>
      <c r="L924" s="22" t="n"/>
      <c r="M924" s="22" t="n"/>
      <c r="N924" s="22" t="n"/>
      <c r="O924" s="22" t="n"/>
      <c r="P924" s="23" t="n"/>
      <c r="Q924" s="65" t="n"/>
      <c r="R924" s="65" t="n"/>
      <c r="S924" s="55" t="n"/>
      <c r="T924" s="55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</row>
    <row r="925" ht="15.75" customHeight="1" s="211">
      <c r="A925" s="55" t="n"/>
      <c r="B925" s="12" t="n"/>
      <c r="C925" s="55">
        <f>'Sales Candence'!B925</f>
        <v/>
      </c>
      <c r="D925" s="71" t="n"/>
      <c r="E925" s="71" t="n"/>
      <c r="F925" s="22" t="n"/>
      <c r="G925" s="22" t="n"/>
      <c r="H925" s="31" t="n"/>
      <c r="I925" s="23" t="n"/>
      <c r="J925" s="56" t="n"/>
      <c r="K925" s="22" t="n"/>
      <c r="L925" s="22" t="n"/>
      <c r="M925" s="22" t="n"/>
      <c r="N925" s="22" t="n"/>
      <c r="O925" s="22" t="n"/>
      <c r="P925" s="23" t="n"/>
      <c r="Q925" s="65" t="n"/>
      <c r="R925" s="65" t="n"/>
      <c r="S925" s="55" t="n"/>
      <c r="T925" s="55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</row>
    <row r="926" ht="15.75" customHeight="1" s="211">
      <c r="A926" s="55" t="n"/>
      <c r="B926" s="12" t="n"/>
      <c r="C926" s="55">
        <f>'Sales Candence'!B926</f>
        <v/>
      </c>
      <c r="D926" s="71" t="n"/>
      <c r="E926" s="71" t="n"/>
      <c r="F926" s="22" t="n"/>
      <c r="G926" s="22" t="n"/>
      <c r="H926" s="31" t="n"/>
      <c r="I926" s="23" t="n"/>
      <c r="J926" s="56" t="n"/>
      <c r="K926" s="22" t="n"/>
      <c r="L926" s="22" t="n"/>
      <c r="M926" s="22" t="n"/>
      <c r="N926" s="22" t="n"/>
      <c r="O926" s="22" t="n"/>
      <c r="P926" s="23" t="n"/>
      <c r="Q926" s="65" t="n"/>
      <c r="R926" s="65" t="n"/>
      <c r="S926" s="55" t="n"/>
      <c r="T926" s="55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</row>
    <row r="927" ht="15.75" customHeight="1" s="211">
      <c r="A927" s="55" t="n"/>
      <c r="B927" s="12" t="n"/>
      <c r="C927" s="55">
        <f>'Sales Candence'!B927</f>
        <v/>
      </c>
      <c r="D927" s="71" t="n"/>
      <c r="E927" s="71" t="n"/>
      <c r="F927" s="22" t="n"/>
      <c r="G927" s="22" t="n"/>
      <c r="H927" s="31" t="n"/>
      <c r="I927" s="23" t="n"/>
      <c r="J927" s="56" t="n"/>
      <c r="K927" s="22" t="n"/>
      <c r="L927" s="22" t="n"/>
      <c r="M927" s="22" t="n"/>
      <c r="N927" s="22" t="n"/>
      <c r="O927" s="22" t="n"/>
      <c r="P927" s="23" t="n"/>
      <c r="Q927" s="65" t="n"/>
      <c r="R927" s="65" t="n"/>
      <c r="S927" s="55" t="n"/>
      <c r="T927" s="55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</row>
    <row r="928" ht="15.75" customHeight="1" s="211">
      <c r="A928" s="55" t="n"/>
      <c r="B928" s="12" t="n"/>
      <c r="C928" s="55">
        <f>'Sales Candence'!B928</f>
        <v/>
      </c>
      <c r="D928" s="71" t="n"/>
      <c r="E928" s="71" t="n"/>
      <c r="F928" s="22" t="n"/>
      <c r="G928" s="22" t="n"/>
      <c r="H928" s="31" t="n"/>
      <c r="I928" s="23" t="n"/>
      <c r="J928" s="56" t="n"/>
      <c r="K928" s="22" t="n"/>
      <c r="L928" s="22" t="n"/>
      <c r="M928" s="22" t="n"/>
      <c r="N928" s="22" t="n"/>
      <c r="O928" s="22" t="n"/>
      <c r="P928" s="23" t="n"/>
      <c r="Q928" s="65" t="n"/>
      <c r="R928" s="65" t="n"/>
      <c r="S928" s="55" t="n"/>
      <c r="T928" s="55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</row>
    <row r="929" ht="15.75" customHeight="1" s="211">
      <c r="A929" s="55" t="n"/>
      <c r="B929" s="12" t="n"/>
      <c r="C929" s="55">
        <f>'Sales Candence'!B929</f>
        <v/>
      </c>
      <c r="D929" s="71" t="n"/>
      <c r="E929" s="71" t="n"/>
      <c r="F929" s="22" t="n"/>
      <c r="G929" s="22" t="n"/>
      <c r="H929" s="31" t="n"/>
      <c r="I929" s="23" t="n"/>
      <c r="J929" s="56" t="n"/>
      <c r="K929" s="22" t="n"/>
      <c r="L929" s="22" t="n"/>
      <c r="M929" s="22" t="n"/>
      <c r="N929" s="22" t="n"/>
      <c r="O929" s="22" t="n"/>
      <c r="P929" s="23" t="n"/>
      <c r="Q929" s="65" t="n"/>
      <c r="R929" s="65" t="n"/>
      <c r="S929" s="55" t="n"/>
      <c r="T929" s="55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</row>
    <row r="930" ht="15.75" customHeight="1" s="211">
      <c r="A930" s="55" t="n"/>
      <c r="B930" s="12" t="n"/>
      <c r="C930" s="55">
        <f>'Sales Candence'!B930</f>
        <v/>
      </c>
      <c r="D930" s="71" t="n"/>
      <c r="E930" s="71" t="n"/>
      <c r="F930" s="22" t="n"/>
      <c r="G930" s="22" t="n"/>
      <c r="H930" s="31" t="n"/>
      <c r="I930" s="23" t="n"/>
      <c r="J930" s="56" t="n"/>
      <c r="K930" s="22" t="n"/>
      <c r="L930" s="22" t="n"/>
      <c r="M930" s="22" t="n"/>
      <c r="N930" s="22" t="n"/>
      <c r="O930" s="22" t="n"/>
      <c r="P930" s="23" t="n"/>
      <c r="Q930" s="65" t="n"/>
      <c r="R930" s="65" t="n"/>
      <c r="S930" s="55" t="n"/>
      <c r="T930" s="55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</row>
    <row r="931" ht="15.75" customHeight="1" s="211">
      <c r="A931" s="55" t="n"/>
      <c r="B931" s="12" t="n"/>
      <c r="C931" s="55">
        <f>'Sales Candence'!B931</f>
        <v/>
      </c>
      <c r="D931" s="71" t="n"/>
      <c r="E931" s="71" t="n"/>
      <c r="F931" s="22" t="n"/>
      <c r="G931" s="22" t="n"/>
      <c r="H931" s="31" t="n"/>
      <c r="I931" s="23" t="n"/>
      <c r="J931" s="56" t="n"/>
      <c r="K931" s="22" t="n"/>
      <c r="L931" s="22" t="n"/>
      <c r="M931" s="22" t="n"/>
      <c r="N931" s="22" t="n"/>
      <c r="O931" s="22" t="n"/>
      <c r="P931" s="23" t="n"/>
      <c r="Q931" s="65" t="n"/>
      <c r="R931" s="65" t="n"/>
      <c r="S931" s="55" t="n"/>
      <c r="T931" s="55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</row>
    <row r="932" ht="15.75" customHeight="1" s="211">
      <c r="A932" s="55" t="n"/>
      <c r="B932" s="12" t="n"/>
      <c r="C932" s="55">
        <f>'Sales Candence'!B932</f>
        <v/>
      </c>
      <c r="D932" s="71" t="n"/>
      <c r="E932" s="71" t="n"/>
      <c r="F932" s="22" t="n"/>
      <c r="G932" s="22" t="n"/>
      <c r="H932" s="31" t="n"/>
      <c r="I932" s="23" t="n"/>
      <c r="J932" s="56" t="n"/>
      <c r="K932" s="22" t="n"/>
      <c r="L932" s="22" t="n"/>
      <c r="M932" s="22" t="n"/>
      <c r="N932" s="22" t="n"/>
      <c r="O932" s="22" t="n"/>
      <c r="P932" s="23" t="n"/>
      <c r="Q932" s="65" t="n"/>
      <c r="R932" s="65" t="n"/>
      <c r="S932" s="55" t="n"/>
      <c r="T932" s="55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</row>
    <row r="933" ht="15.75" customHeight="1" s="211">
      <c r="A933" s="55" t="n"/>
      <c r="B933" s="12" t="n"/>
      <c r="C933" s="55">
        <f>'Sales Candence'!B933</f>
        <v/>
      </c>
      <c r="D933" s="71" t="n"/>
      <c r="E933" s="71" t="n"/>
      <c r="F933" s="22" t="n"/>
      <c r="G933" s="22" t="n"/>
      <c r="H933" s="31" t="n"/>
      <c r="I933" s="23" t="n"/>
      <c r="J933" s="56" t="n"/>
      <c r="K933" s="22" t="n"/>
      <c r="L933" s="22" t="n"/>
      <c r="M933" s="22" t="n"/>
      <c r="N933" s="22" t="n"/>
      <c r="O933" s="22" t="n"/>
      <c r="P933" s="23" t="n"/>
      <c r="Q933" s="65" t="n"/>
      <c r="R933" s="65" t="n"/>
      <c r="S933" s="55" t="n"/>
      <c r="T933" s="55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</row>
    <row r="934" ht="15.75" customHeight="1" s="211">
      <c r="A934" s="55" t="n"/>
      <c r="B934" s="12" t="n"/>
      <c r="C934" s="55">
        <f>'Sales Candence'!B934</f>
        <v/>
      </c>
      <c r="D934" s="71" t="n"/>
      <c r="E934" s="71" t="n"/>
      <c r="F934" s="22" t="n"/>
      <c r="G934" s="22" t="n"/>
      <c r="H934" s="31" t="n"/>
      <c r="I934" s="23" t="n"/>
      <c r="J934" s="56" t="n"/>
      <c r="K934" s="22" t="n"/>
      <c r="L934" s="22" t="n"/>
      <c r="M934" s="22" t="n"/>
      <c r="N934" s="22" t="n"/>
      <c r="O934" s="22" t="n"/>
      <c r="P934" s="23" t="n"/>
      <c r="Q934" s="65" t="n"/>
      <c r="R934" s="65" t="n"/>
      <c r="S934" s="55" t="n"/>
      <c r="T934" s="55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</row>
    <row r="935" ht="15.75" customHeight="1" s="211">
      <c r="A935" s="55" t="n"/>
      <c r="B935" s="12" t="n"/>
      <c r="C935" s="55">
        <f>'Sales Candence'!B935</f>
        <v/>
      </c>
      <c r="D935" s="71" t="n"/>
      <c r="E935" s="71" t="n"/>
      <c r="F935" s="22" t="n"/>
      <c r="G935" s="22" t="n"/>
      <c r="H935" s="31" t="n"/>
      <c r="I935" s="23" t="n"/>
      <c r="J935" s="56" t="n"/>
      <c r="K935" s="22" t="n"/>
      <c r="L935" s="22" t="n"/>
      <c r="M935" s="22" t="n"/>
      <c r="N935" s="22" t="n"/>
      <c r="O935" s="22" t="n"/>
      <c r="P935" s="23" t="n"/>
      <c r="Q935" s="65" t="n"/>
      <c r="R935" s="65" t="n"/>
      <c r="S935" s="55" t="n"/>
      <c r="T935" s="55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</row>
    <row r="936" ht="15.75" customHeight="1" s="211">
      <c r="A936" s="55" t="n"/>
      <c r="B936" s="12" t="n"/>
      <c r="C936" s="55">
        <f>'Sales Candence'!B936</f>
        <v/>
      </c>
      <c r="D936" s="71" t="n"/>
      <c r="E936" s="71" t="n"/>
      <c r="F936" s="22" t="n"/>
      <c r="G936" s="22" t="n"/>
      <c r="H936" s="31" t="n"/>
      <c r="I936" s="23" t="n"/>
      <c r="J936" s="56" t="n"/>
      <c r="K936" s="22" t="n"/>
      <c r="L936" s="22" t="n"/>
      <c r="M936" s="22" t="n"/>
      <c r="N936" s="22" t="n"/>
      <c r="O936" s="22" t="n"/>
      <c r="P936" s="23" t="n"/>
      <c r="Q936" s="65" t="n"/>
      <c r="R936" s="65" t="n"/>
      <c r="S936" s="55" t="n"/>
      <c r="T936" s="55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</row>
    <row r="937" ht="15.75" customHeight="1" s="211">
      <c r="A937" s="55" t="n"/>
      <c r="B937" s="12" t="n"/>
      <c r="C937" s="55">
        <f>'Sales Candence'!B937</f>
        <v/>
      </c>
      <c r="D937" s="71" t="n"/>
      <c r="E937" s="71" t="n"/>
      <c r="F937" s="22" t="n"/>
      <c r="G937" s="22" t="n"/>
      <c r="H937" s="31" t="n"/>
      <c r="I937" s="23" t="n"/>
      <c r="J937" s="56" t="n"/>
      <c r="K937" s="22" t="n"/>
      <c r="L937" s="22" t="n"/>
      <c r="M937" s="22" t="n"/>
      <c r="N937" s="22" t="n"/>
      <c r="O937" s="22" t="n"/>
      <c r="P937" s="23" t="n"/>
      <c r="Q937" s="65" t="n"/>
      <c r="R937" s="65" t="n"/>
      <c r="S937" s="55" t="n"/>
      <c r="T937" s="55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</row>
    <row r="938" ht="15.75" customHeight="1" s="211">
      <c r="A938" s="55" t="n"/>
      <c r="B938" s="12" t="n"/>
      <c r="C938" s="55">
        <f>'Sales Candence'!B938</f>
        <v/>
      </c>
      <c r="D938" s="71" t="n"/>
      <c r="E938" s="71" t="n"/>
      <c r="F938" s="22" t="n"/>
      <c r="G938" s="22" t="n"/>
      <c r="H938" s="31" t="n"/>
      <c r="I938" s="23" t="n"/>
      <c r="J938" s="56" t="n"/>
      <c r="K938" s="22" t="n"/>
      <c r="L938" s="22" t="n"/>
      <c r="M938" s="22" t="n"/>
      <c r="N938" s="22" t="n"/>
      <c r="O938" s="22" t="n"/>
      <c r="P938" s="23" t="n"/>
      <c r="Q938" s="65" t="n"/>
      <c r="R938" s="65" t="n"/>
      <c r="S938" s="55" t="n"/>
      <c r="T938" s="55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</row>
    <row r="939" ht="15.75" customHeight="1" s="211">
      <c r="A939" s="55" t="n"/>
      <c r="B939" s="12" t="n"/>
      <c r="C939" s="55">
        <f>'Sales Candence'!B939</f>
        <v/>
      </c>
      <c r="D939" s="71" t="n"/>
      <c r="E939" s="71" t="n"/>
      <c r="F939" s="22" t="n"/>
      <c r="G939" s="22" t="n"/>
      <c r="H939" s="31" t="n"/>
      <c r="I939" s="23" t="n"/>
      <c r="J939" s="56" t="n"/>
      <c r="K939" s="22" t="n"/>
      <c r="L939" s="22" t="n"/>
      <c r="M939" s="22" t="n"/>
      <c r="N939" s="22" t="n"/>
      <c r="O939" s="22" t="n"/>
      <c r="P939" s="23" t="n"/>
      <c r="Q939" s="65" t="n"/>
      <c r="R939" s="65" t="n"/>
      <c r="S939" s="55" t="n"/>
      <c r="T939" s="55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</row>
    <row r="940" ht="15.75" customHeight="1" s="211">
      <c r="A940" s="55" t="n"/>
      <c r="B940" s="12" t="n"/>
      <c r="C940" s="55">
        <f>'Sales Candence'!B940</f>
        <v/>
      </c>
      <c r="D940" s="71" t="n"/>
      <c r="E940" s="71" t="n"/>
      <c r="F940" s="22" t="n"/>
      <c r="G940" s="22" t="n"/>
      <c r="H940" s="31" t="n"/>
      <c r="I940" s="23" t="n"/>
      <c r="J940" s="56" t="n"/>
      <c r="K940" s="22" t="n"/>
      <c r="L940" s="22" t="n"/>
      <c r="M940" s="22" t="n"/>
      <c r="N940" s="22" t="n"/>
      <c r="O940" s="22" t="n"/>
      <c r="P940" s="23" t="n"/>
      <c r="Q940" s="65" t="n"/>
      <c r="R940" s="65" t="n"/>
      <c r="S940" s="55" t="n"/>
      <c r="T940" s="55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</row>
    <row r="941" ht="15.75" customHeight="1" s="211">
      <c r="A941" s="55" t="n"/>
      <c r="B941" s="12" t="n"/>
      <c r="C941" s="55">
        <f>'Sales Candence'!B941</f>
        <v/>
      </c>
      <c r="D941" s="71" t="n"/>
      <c r="E941" s="71" t="n"/>
      <c r="F941" s="22" t="n"/>
      <c r="G941" s="22" t="n"/>
      <c r="H941" s="31" t="n"/>
      <c r="I941" s="23" t="n"/>
      <c r="J941" s="56" t="n"/>
      <c r="K941" s="22" t="n"/>
      <c r="L941" s="22" t="n"/>
      <c r="M941" s="22" t="n"/>
      <c r="N941" s="22" t="n"/>
      <c r="O941" s="22" t="n"/>
      <c r="P941" s="23" t="n"/>
      <c r="Q941" s="65" t="n"/>
      <c r="R941" s="65" t="n"/>
      <c r="S941" s="55" t="n"/>
      <c r="T941" s="55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</row>
    <row r="942" ht="15.75" customHeight="1" s="211">
      <c r="A942" s="55" t="n"/>
      <c r="B942" s="12" t="n"/>
      <c r="C942" s="55">
        <f>'Sales Candence'!B942</f>
        <v/>
      </c>
      <c r="D942" s="71" t="n"/>
      <c r="E942" s="71" t="n"/>
      <c r="F942" s="22" t="n"/>
      <c r="G942" s="22" t="n"/>
      <c r="H942" s="31" t="n"/>
      <c r="I942" s="23" t="n"/>
      <c r="J942" s="56" t="n"/>
      <c r="K942" s="22" t="n"/>
      <c r="L942" s="22" t="n"/>
      <c r="M942" s="22" t="n"/>
      <c r="N942" s="22" t="n"/>
      <c r="O942" s="22" t="n"/>
      <c r="P942" s="23" t="n"/>
      <c r="Q942" s="65" t="n"/>
      <c r="R942" s="65" t="n"/>
      <c r="S942" s="55" t="n"/>
      <c r="T942" s="55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</row>
    <row r="943" ht="15.75" customHeight="1" s="211">
      <c r="A943" s="55" t="n"/>
      <c r="B943" s="12" t="n"/>
      <c r="C943" s="55">
        <f>'Sales Candence'!B943</f>
        <v/>
      </c>
      <c r="D943" s="71" t="n"/>
      <c r="E943" s="71" t="n"/>
      <c r="F943" s="22" t="n"/>
      <c r="G943" s="22" t="n"/>
      <c r="H943" s="31" t="n"/>
      <c r="I943" s="23" t="n"/>
      <c r="J943" s="56" t="n"/>
      <c r="K943" s="22" t="n"/>
      <c r="L943" s="22" t="n"/>
      <c r="M943" s="22" t="n"/>
      <c r="N943" s="22" t="n"/>
      <c r="O943" s="22" t="n"/>
      <c r="P943" s="23" t="n"/>
      <c r="Q943" s="65" t="n"/>
      <c r="R943" s="65" t="n"/>
      <c r="S943" s="55" t="n"/>
      <c r="T943" s="55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</row>
    <row r="944" ht="15.75" customHeight="1" s="211">
      <c r="A944" s="55" t="n"/>
      <c r="B944" s="12" t="n"/>
      <c r="C944" s="55">
        <f>'Sales Candence'!B944</f>
        <v/>
      </c>
      <c r="D944" s="71" t="n"/>
      <c r="E944" s="71" t="n"/>
      <c r="F944" s="22" t="n"/>
      <c r="G944" s="22" t="n"/>
      <c r="H944" s="31" t="n"/>
      <c r="I944" s="23" t="n"/>
      <c r="J944" s="56" t="n"/>
      <c r="K944" s="22" t="n"/>
      <c r="L944" s="22" t="n"/>
      <c r="M944" s="22" t="n"/>
      <c r="N944" s="22" t="n"/>
      <c r="O944" s="22" t="n"/>
      <c r="P944" s="23" t="n"/>
      <c r="Q944" s="65" t="n"/>
      <c r="R944" s="65" t="n"/>
      <c r="S944" s="55" t="n"/>
      <c r="T944" s="55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</row>
    <row r="945" ht="15.75" customHeight="1" s="211">
      <c r="A945" s="55" t="n"/>
      <c r="B945" s="12" t="n"/>
      <c r="C945" s="55">
        <f>'Sales Candence'!B945</f>
        <v/>
      </c>
      <c r="D945" s="71" t="n"/>
      <c r="E945" s="71" t="n"/>
      <c r="F945" s="22" t="n"/>
      <c r="G945" s="22" t="n"/>
      <c r="H945" s="31" t="n"/>
      <c r="I945" s="23" t="n"/>
      <c r="J945" s="56" t="n"/>
      <c r="K945" s="22" t="n"/>
      <c r="L945" s="22" t="n"/>
      <c r="M945" s="22" t="n"/>
      <c r="N945" s="22" t="n"/>
      <c r="O945" s="22" t="n"/>
      <c r="P945" s="23" t="n"/>
      <c r="Q945" s="65" t="n"/>
      <c r="R945" s="65" t="n"/>
      <c r="S945" s="55" t="n"/>
      <c r="T945" s="55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</row>
    <row r="946" ht="15.75" customHeight="1" s="211">
      <c r="A946" s="55" t="n"/>
      <c r="B946" s="12" t="n"/>
      <c r="C946" s="55">
        <f>'Sales Candence'!B946</f>
        <v/>
      </c>
      <c r="D946" s="71" t="n"/>
      <c r="E946" s="71" t="n"/>
      <c r="F946" s="22" t="n"/>
      <c r="G946" s="22" t="n"/>
      <c r="H946" s="31" t="n"/>
      <c r="I946" s="23" t="n"/>
      <c r="J946" s="56" t="n"/>
      <c r="K946" s="22" t="n"/>
      <c r="L946" s="22" t="n"/>
      <c r="M946" s="22" t="n"/>
      <c r="N946" s="22" t="n"/>
      <c r="O946" s="22" t="n"/>
      <c r="P946" s="23" t="n"/>
      <c r="Q946" s="65" t="n"/>
      <c r="R946" s="65" t="n"/>
      <c r="S946" s="55" t="n"/>
      <c r="T946" s="55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</row>
    <row r="947" ht="15.75" customHeight="1" s="211">
      <c r="A947" s="55" t="n"/>
      <c r="B947" s="12" t="n"/>
      <c r="C947" s="55">
        <f>'Sales Candence'!B947</f>
        <v/>
      </c>
      <c r="D947" s="71" t="n"/>
      <c r="E947" s="71" t="n"/>
      <c r="F947" s="22" t="n"/>
      <c r="G947" s="22" t="n"/>
      <c r="H947" s="31" t="n"/>
      <c r="I947" s="23" t="n"/>
      <c r="J947" s="56" t="n"/>
      <c r="K947" s="22" t="n"/>
      <c r="L947" s="22" t="n"/>
      <c r="M947" s="22" t="n"/>
      <c r="N947" s="22" t="n"/>
      <c r="O947" s="22" t="n"/>
      <c r="P947" s="23" t="n"/>
      <c r="Q947" s="65" t="n"/>
      <c r="R947" s="65" t="n"/>
      <c r="S947" s="55" t="n"/>
      <c r="T947" s="55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</row>
    <row r="948" ht="15.75" customHeight="1" s="211">
      <c r="A948" s="55" t="n"/>
      <c r="B948" s="12" t="n"/>
      <c r="C948" s="55">
        <f>'Sales Candence'!B948</f>
        <v/>
      </c>
      <c r="D948" s="71" t="n"/>
      <c r="E948" s="71" t="n"/>
      <c r="F948" s="22" t="n"/>
      <c r="G948" s="22" t="n"/>
      <c r="H948" s="31" t="n"/>
      <c r="I948" s="23" t="n"/>
      <c r="J948" s="56" t="n"/>
      <c r="K948" s="22" t="n"/>
      <c r="L948" s="22" t="n"/>
      <c r="M948" s="22" t="n"/>
      <c r="N948" s="22" t="n"/>
      <c r="O948" s="22" t="n"/>
      <c r="P948" s="23" t="n"/>
      <c r="Q948" s="65" t="n"/>
      <c r="R948" s="65" t="n"/>
      <c r="S948" s="55" t="n"/>
      <c r="T948" s="55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</row>
    <row r="949" ht="15.75" customHeight="1" s="211">
      <c r="A949" s="55" t="n"/>
      <c r="B949" s="12" t="n"/>
      <c r="C949" s="55">
        <f>'Sales Candence'!B949</f>
        <v/>
      </c>
      <c r="D949" s="71" t="n"/>
      <c r="E949" s="71" t="n"/>
      <c r="F949" s="22" t="n"/>
      <c r="G949" s="22" t="n"/>
      <c r="H949" s="31" t="n"/>
      <c r="I949" s="23" t="n"/>
      <c r="J949" s="56" t="n"/>
      <c r="K949" s="22" t="n"/>
      <c r="L949" s="22" t="n"/>
      <c r="M949" s="22" t="n"/>
      <c r="N949" s="22" t="n"/>
      <c r="O949" s="22" t="n"/>
      <c r="P949" s="23" t="n"/>
      <c r="Q949" s="65" t="n"/>
      <c r="R949" s="65" t="n"/>
      <c r="S949" s="55" t="n"/>
      <c r="T949" s="55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</row>
    <row r="950" ht="15.75" customHeight="1" s="211">
      <c r="A950" s="55" t="n"/>
      <c r="B950" s="12" t="n"/>
      <c r="C950" s="55">
        <f>'Sales Candence'!B950</f>
        <v/>
      </c>
      <c r="D950" s="71" t="n"/>
      <c r="E950" s="71" t="n"/>
      <c r="F950" s="22" t="n"/>
      <c r="G950" s="22" t="n"/>
      <c r="H950" s="31" t="n"/>
      <c r="I950" s="23" t="n"/>
      <c r="J950" s="56" t="n"/>
      <c r="K950" s="22" t="n"/>
      <c r="L950" s="22" t="n"/>
      <c r="M950" s="22" t="n"/>
      <c r="N950" s="22" t="n"/>
      <c r="O950" s="22" t="n"/>
      <c r="P950" s="23" t="n"/>
      <c r="Q950" s="65" t="n"/>
      <c r="R950" s="65" t="n"/>
      <c r="S950" s="55" t="n"/>
      <c r="T950" s="55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</row>
    <row r="951" ht="15.75" customHeight="1" s="211">
      <c r="A951" s="55" t="n"/>
      <c r="B951" s="12" t="n"/>
      <c r="C951" s="55">
        <f>'Sales Candence'!B951</f>
        <v/>
      </c>
      <c r="D951" s="71" t="n"/>
      <c r="E951" s="71" t="n"/>
      <c r="F951" s="22" t="n"/>
      <c r="G951" s="22" t="n"/>
      <c r="H951" s="31" t="n"/>
      <c r="I951" s="23" t="n"/>
      <c r="J951" s="56" t="n"/>
      <c r="K951" s="22" t="n"/>
      <c r="L951" s="22" t="n"/>
      <c r="M951" s="22" t="n"/>
      <c r="N951" s="22" t="n"/>
      <c r="O951" s="22" t="n"/>
      <c r="P951" s="23" t="n"/>
      <c r="Q951" s="65" t="n"/>
      <c r="R951" s="65" t="n"/>
      <c r="S951" s="55" t="n"/>
      <c r="T951" s="55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</row>
    <row r="952" ht="15.75" customHeight="1" s="211">
      <c r="A952" s="55" t="n"/>
      <c r="B952" s="12" t="n"/>
      <c r="C952" s="55">
        <f>'Sales Candence'!B952</f>
        <v/>
      </c>
      <c r="D952" s="71" t="n"/>
      <c r="E952" s="71" t="n"/>
      <c r="F952" s="22" t="n"/>
      <c r="G952" s="22" t="n"/>
      <c r="H952" s="31" t="n"/>
      <c r="I952" s="23" t="n"/>
      <c r="J952" s="56" t="n"/>
      <c r="K952" s="22" t="n"/>
      <c r="L952" s="22" t="n"/>
      <c r="M952" s="22" t="n"/>
      <c r="N952" s="22" t="n"/>
      <c r="O952" s="22" t="n"/>
      <c r="P952" s="23" t="n"/>
      <c r="Q952" s="65" t="n"/>
      <c r="R952" s="65" t="n"/>
      <c r="S952" s="55" t="n"/>
      <c r="T952" s="55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</row>
    <row r="953" ht="15.75" customHeight="1" s="211">
      <c r="A953" s="55" t="n"/>
      <c r="B953" s="12" t="n"/>
      <c r="C953" s="55">
        <f>'Sales Candence'!B953</f>
        <v/>
      </c>
      <c r="D953" s="71" t="n"/>
      <c r="E953" s="71" t="n"/>
      <c r="F953" s="22" t="n"/>
      <c r="G953" s="22" t="n"/>
      <c r="H953" s="31" t="n"/>
      <c r="I953" s="23" t="n"/>
      <c r="J953" s="56" t="n"/>
      <c r="K953" s="22" t="n"/>
      <c r="L953" s="22" t="n"/>
      <c r="M953" s="22" t="n"/>
      <c r="N953" s="22" t="n"/>
      <c r="O953" s="22" t="n"/>
      <c r="P953" s="23" t="n"/>
      <c r="Q953" s="65" t="n"/>
      <c r="R953" s="65" t="n"/>
      <c r="S953" s="55" t="n"/>
      <c r="T953" s="55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</row>
    <row r="954" ht="15.75" customHeight="1" s="211">
      <c r="A954" s="55" t="n"/>
      <c r="B954" s="12" t="n"/>
      <c r="C954" s="55">
        <f>'Sales Candence'!B954</f>
        <v/>
      </c>
      <c r="D954" s="71" t="n"/>
      <c r="E954" s="71" t="n"/>
      <c r="F954" s="22" t="n"/>
      <c r="G954" s="22" t="n"/>
      <c r="H954" s="31" t="n"/>
      <c r="I954" s="23" t="n"/>
      <c r="J954" s="56" t="n"/>
      <c r="K954" s="22" t="n"/>
      <c r="L954" s="22" t="n"/>
      <c r="M954" s="22" t="n"/>
      <c r="N954" s="22" t="n"/>
      <c r="O954" s="22" t="n"/>
      <c r="P954" s="23" t="n"/>
      <c r="Q954" s="65" t="n"/>
      <c r="R954" s="65" t="n"/>
      <c r="S954" s="55" t="n"/>
      <c r="T954" s="55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</row>
    <row r="955" ht="15.75" customHeight="1" s="211">
      <c r="A955" s="55" t="n"/>
      <c r="B955" s="12" t="n"/>
      <c r="C955" s="55">
        <f>'Sales Candence'!B955</f>
        <v/>
      </c>
      <c r="D955" s="71" t="n"/>
      <c r="E955" s="71" t="n"/>
      <c r="F955" s="22" t="n"/>
      <c r="G955" s="22" t="n"/>
      <c r="H955" s="31" t="n"/>
      <c r="I955" s="23" t="n"/>
      <c r="J955" s="56" t="n"/>
      <c r="K955" s="22" t="n"/>
      <c r="L955" s="22" t="n"/>
      <c r="M955" s="22" t="n"/>
      <c r="N955" s="22" t="n"/>
      <c r="O955" s="22" t="n"/>
      <c r="P955" s="23" t="n"/>
      <c r="Q955" s="65" t="n"/>
      <c r="R955" s="65" t="n"/>
      <c r="S955" s="55" t="n"/>
      <c r="T955" s="55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</row>
    <row r="956" ht="15.75" customHeight="1" s="211">
      <c r="A956" s="55" t="n"/>
      <c r="B956" s="12" t="n"/>
      <c r="C956" s="55">
        <f>'Sales Candence'!B956</f>
        <v/>
      </c>
      <c r="D956" s="71" t="n"/>
      <c r="E956" s="71" t="n"/>
      <c r="F956" s="22" t="n"/>
      <c r="G956" s="22" t="n"/>
      <c r="H956" s="31" t="n"/>
      <c r="I956" s="23" t="n"/>
      <c r="J956" s="56" t="n"/>
      <c r="K956" s="22" t="n"/>
      <c r="L956" s="22" t="n"/>
      <c r="M956" s="22" t="n"/>
      <c r="N956" s="22" t="n"/>
      <c r="O956" s="22" t="n"/>
      <c r="P956" s="23" t="n"/>
      <c r="Q956" s="65" t="n"/>
      <c r="R956" s="65" t="n"/>
      <c r="S956" s="55" t="n"/>
      <c r="T956" s="55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</row>
    <row r="957" ht="15.75" customHeight="1" s="211">
      <c r="A957" s="55" t="n"/>
      <c r="B957" s="12" t="n"/>
      <c r="C957" s="55">
        <f>'Sales Candence'!B957</f>
        <v/>
      </c>
      <c r="D957" s="71" t="n"/>
      <c r="E957" s="71" t="n"/>
      <c r="F957" s="22" t="n"/>
      <c r="G957" s="22" t="n"/>
      <c r="H957" s="31" t="n"/>
      <c r="I957" s="23" t="n"/>
      <c r="J957" s="56" t="n"/>
      <c r="K957" s="22" t="n"/>
      <c r="L957" s="22" t="n"/>
      <c r="M957" s="22" t="n"/>
      <c r="N957" s="22" t="n"/>
      <c r="O957" s="22" t="n"/>
      <c r="P957" s="23" t="n"/>
      <c r="Q957" s="65" t="n"/>
      <c r="R957" s="65" t="n"/>
      <c r="S957" s="55" t="n"/>
      <c r="T957" s="55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</row>
    <row r="958" ht="15.75" customHeight="1" s="211">
      <c r="A958" s="55" t="n"/>
      <c r="B958" s="12" t="n"/>
      <c r="C958" s="55">
        <f>'Sales Candence'!B958</f>
        <v/>
      </c>
      <c r="D958" s="71" t="n"/>
      <c r="E958" s="71" t="n"/>
      <c r="F958" s="22" t="n"/>
      <c r="G958" s="22" t="n"/>
      <c r="H958" s="31" t="n"/>
      <c r="I958" s="23" t="n"/>
      <c r="J958" s="56" t="n"/>
      <c r="K958" s="22" t="n"/>
      <c r="L958" s="22" t="n"/>
      <c r="M958" s="22" t="n"/>
      <c r="N958" s="22" t="n"/>
      <c r="O958" s="22" t="n"/>
      <c r="P958" s="23" t="n"/>
      <c r="Q958" s="65" t="n"/>
      <c r="R958" s="65" t="n"/>
      <c r="S958" s="55" t="n"/>
      <c r="T958" s="55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</row>
    <row r="959" ht="15.75" customHeight="1" s="211">
      <c r="A959" s="55" t="n"/>
      <c r="B959" s="12" t="n"/>
      <c r="C959" s="55">
        <f>'Sales Candence'!B959</f>
        <v/>
      </c>
      <c r="D959" s="71" t="n"/>
      <c r="E959" s="71" t="n"/>
      <c r="F959" s="22" t="n"/>
      <c r="G959" s="22" t="n"/>
      <c r="H959" s="31" t="n"/>
      <c r="I959" s="23" t="n"/>
      <c r="J959" s="56" t="n"/>
      <c r="K959" s="22" t="n"/>
      <c r="L959" s="22" t="n"/>
      <c r="M959" s="22" t="n"/>
      <c r="N959" s="22" t="n"/>
      <c r="O959" s="22" t="n"/>
      <c r="P959" s="23" t="n"/>
      <c r="Q959" s="65" t="n"/>
      <c r="R959" s="65" t="n"/>
      <c r="S959" s="55" t="n"/>
      <c r="T959" s="55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</row>
    <row r="960" ht="15.75" customHeight="1" s="211">
      <c r="A960" s="55" t="n"/>
      <c r="B960" s="12" t="n"/>
      <c r="C960" s="55">
        <f>'Sales Candence'!B960</f>
        <v/>
      </c>
      <c r="D960" s="71" t="n"/>
      <c r="E960" s="71" t="n"/>
      <c r="F960" s="22" t="n"/>
      <c r="G960" s="22" t="n"/>
      <c r="H960" s="31" t="n"/>
      <c r="I960" s="23" t="n"/>
      <c r="J960" s="56" t="n"/>
      <c r="K960" s="22" t="n"/>
      <c r="L960" s="22" t="n"/>
      <c r="M960" s="22" t="n"/>
      <c r="N960" s="22" t="n"/>
      <c r="O960" s="22" t="n"/>
      <c r="P960" s="23" t="n"/>
      <c r="Q960" s="65" t="n"/>
      <c r="R960" s="65" t="n"/>
      <c r="S960" s="55" t="n"/>
      <c r="T960" s="55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</row>
    <row r="961" ht="15.75" customHeight="1" s="211">
      <c r="A961" s="55" t="n"/>
      <c r="B961" s="12" t="n"/>
      <c r="C961" s="55">
        <f>'Sales Candence'!B961</f>
        <v/>
      </c>
      <c r="D961" s="71" t="n"/>
      <c r="E961" s="71" t="n"/>
      <c r="F961" s="22" t="n"/>
      <c r="G961" s="22" t="n"/>
      <c r="H961" s="31" t="n"/>
      <c r="I961" s="23" t="n"/>
      <c r="J961" s="56" t="n"/>
      <c r="K961" s="22" t="n"/>
      <c r="L961" s="22" t="n"/>
      <c r="M961" s="22" t="n"/>
      <c r="N961" s="22" t="n"/>
      <c r="O961" s="22" t="n"/>
      <c r="P961" s="23" t="n"/>
      <c r="Q961" s="65" t="n"/>
      <c r="R961" s="65" t="n"/>
      <c r="S961" s="55" t="n"/>
      <c r="T961" s="55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</row>
    <row r="962" ht="15.75" customHeight="1" s="211">
      <c r="A962" s="55" t="n"/>
      <c r="B962" s="12" t="n"/>
      <c r="C962" s="55">
        <f>'Sales Candence'!B962</f>
        <v/>
      </c>
      <c r="D962" s="71" t="n"/>
      <c r="E962" s="71" t="n"/>
      <c r="F962" s="22" t="n"/>
      <c r="G962" s="22" t="n"/>
      <c r="H962" s="31" t="n"/>
      <c r="I962" s="23" t="n"/>
      <c r="J962" s="56" t="n"/>
      <c r="K962" s="22" t="n"/>
      <c r="L962" s="22" t="n"/>
      <c r="M962" s="22" t="n"/>
      <c r="N962" s="22" t="n"/>
      <c r="O962" s="22" t="n"/>
      <c r="P962" s="23" t="n"/>
      <c r="Q962" s="65" t="n"/>
      <c r="R962" s="65" t="n"/>
      <c r="S962" s="55" t="n"/>
      <c r="T962" s="55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</row>
    <row r="963" ht="15.75" customHeight="1" s="211">
      <c r="A963" s="55" t="n"/>
      <c r="B963" s="12" t="n"/>
      <c r="C963" s="55">
        <f>'Sales Candence'!B963</f>
        <v/>
      </c>
      <c r="D963" s="71" t="n"/>
      <c r="E963" s="71" t="n"/>
      <c r="F963" s="22" t="n"/>
      <c r="G963" s="22" t="n"/>
      <c r="H963" s="31" t="n"/>
      <c r="I963" s="23" t="n"/>
      <c r="J963" s="56" t="n"/>
      <c r="K963" s="22" t="n"/>
      <c r="L963" s="22" t="n"/>
      <c r="M963" s="22" t="n"/>
      <c r="N963" s="22" t="n"/>
      <c r="O963" s="22" t="n"/>
      <c r="P963" s="23" t="n"/>
      <c r="Q963" s="65" t="n"/>
      <c r="R963" s="65" t="n"/>
      <c r="S963" s="55" t="n"/>
      <c r="T963" s="55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</row>
    <row r="964" ht="15.75" customHeight="1" s="211">
      <c r="A964" s="55" t="n"/>
      <c r="B964" s="12" t="n"/>
      <c r="C964" s="55">
        <f>'Sales Candence'!B964</f>
        <v/>
      </c>
      <c r="D964" s="71" t="n"/>
      <c r="E964" s="71" t="n"/>
      <c r="F964" s="22" t="n"/>
      <c r="G964" s="22" t="n"/>
      <c r="H964" s="31" t="n"/>
      <c r="I964" s="23" t="n"/>
      <c r="J964" s="56" t="n"/>
      <c r="K964" s="22" t="n"/>
      <c r="L964" s="22" t="n"/>
      <c r="M964" s="22" t="n"/>
      <c r="N964" s="22" t="n"/>
      <c r="O964" s="22" t="n"/>
      <c r="P964" s="23" t="n"/>
      <c r="Q964" s="65" t="n"/>
      <c r="R964" s="65" t="n"/>
      <c r="S964" s="55" t="n"/>
      <c r="T964" s="55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</row>
    <row r="965" ht="15.75" customHeight="1" s="211">
      <c r="A965" s="55" t="n"/>
      <c r="B965" s="12" t="n"/>
      <c r="C965" s="55">
        <f>'Sales Candence'!B965</f>
        <v/>
      </c>
      <c r="D965" s="71" t="n"/>
      <c r="E965" s="71" t="n"/>
      <c r="F965" s="22" t="n"/>
      <c r="G965" s="22" t="n"/>
      <c r="H965" s="31" t="n"/>
      <c r="I965" s="23" t="n"/>
      <c r="J965" s="56" t="n"/>
      <c r="K965" s="22" t="n"/>
      <c r="L965" s="22" t="n"/>
      <c r="M965" s="22" t="n"/>
      <c r="N965" s="22" t="n"/>
      <c r="O965" s="22" t="n"/>
      <c r="P965" s="23" t="n"/>
      <c r="Q965" s="65" t="n"/>
      <c r="R965" s="65" t="n"/>
      <c r="S965" s="55" t="n"/>
      <c r="T965" s="55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</row>
    <row r="966" ht="15.75" customHeight="1" s="211">
      <c r="A966" s="55" t="n"/>
      <c r="B966" s="12" t="n"/>
      <c r="C966" s="55">
        <f>'Sales Candence'!B966</f>
        <v/>
      </c>
      <c r="D966" s="71" t="n"/>
      <c r="E966" s="71" t="n"/>
      <c r="F966" s="22" t="n"/>
      <c r="G966" s="22" t="n"/>
      <c r="H966" s="31" t="n"/>
      <c r="I966" s="23" t="n"/>
      <c r="J966" s="56" t="n"/>
      <c r="K966" s="22" t="n"/>
      <c r="L966" s="22" t="n"/>
      <c r="M966" s="22" t="n"/>
      <c r="N966" s="22" t="n"/>
      <c r="O966" s="22" t="n"/>
      <c r="P966" s="23" t="n"/>
      <c r="Q966" s="65" t="n"/>
      <c r="R966" s="65" t="n"/>
      <c r="S966" s="55" t="n"/>
      <c r="T966" s="55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</row>
    <row r="967" ht="15.75" customHeight="1" s="211">
      <c r="A967" s="55" t="n"/>
      <c r="B967" s="12" t="n"/>
      <c r="C967" s="55">
        <f>'Sales Candence'!B967</f>
        <v/>
      </c>
      <c r="D967" s="71" t="n"/>
      <c r="E967" s="71" t="n"/>
      <c r="F967" s="22" t="n"/>
      <c r="G967" s="22" t="n"/>
      <c r="H967" s="31" t="n"/>
      <c r="I967" s="23" t="n"/>
      <c r="J967" s="56" t="n"/>
      <c r="K967" s="22" t="n"/>
      <c r="L967" s="22" t="n"/>
      <c r="M967" s="22" t="n"/>
      <c r="N967" s="22" t="n"/>
      <c r="O967" s="22" t="n"/>
      <c r="P967" s="23" t="n"/>
      <c r="Q967" s="65" t="n"/>
      <c r="R967" s="65" t="n"/>
      <c r="S967" s="55" t="n"/>
      <c r="T967" s="55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</row>
    <row r="968" ht="15.75" customHeight="1" s="211">
      <c r="A968" s="55" t="n"/>
      <c r="B968" s="12" t="n"/>
      <c r="C968" s="55">
        <f>'Sales Candence'!B968</f>
        <v/>
      </c>
      <c r="D968" s="71" t="n"/>
      <c r="E968" s="71" t="n"/>
      <c r="F968" s="22" t="n"/>
      <c r="G968" s="22" t="n"/>
      <c r="H968" s="31" t="n"/>
      <c r="I968" s="23" t="n"/>
      <c r="J968" s="56" t="n"/>
      <c r="K968" s="22" t="n"/>
      <c r="L968" s="22" t="n"/>
      <c r="M968" s="22" t="n"/>
      <c r="N968" s="22" t="n"/>
      <c r="O968" s="22" t="n"/>
      <c r="P968" s="23" t="n"/>
      <c r="Q968" s="65" t="n"/>
      <c r="R968" s="65" t="n"/>
      <c r="S968" s="55" t="n"/>
      <c r="T968" s="55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</row>
    <row r="969" ht="15.75" customHeight="1" s="211">
      <c r="A969" s="55" t="n"/>
      <c r="B969" s="12" t="n"/>
      <c r="C969" s="55">
        <f>'Sales Candence'!B969</f>
        <v/>
      </c>
      <c r="D969" s="71" t="n"/>
      <c r="E969" s="71" t="n"/>
      <c r="F969" s="22" t="n"/>
      <c r="G969" s="22" t="n"/>
      <c r="H969" s="31" t="n"/>
      <c r="I969" s="23" t="n"/>
      <c r="J969" s="56" t="n"/>
      <c r="K969" s="22" t="n"/>
      <c r="L969" s="22" t="n"/>
      <c r="M969" s="22" t="n"/>
      <c r="N969" s="22" t="n"/>
      <c r="O969" s="22" t="n"/>
      <c r="P969" s="23" t="n"/>
      <c r="Q969" s="65" t="n"/>
      <c r="R969" s="65" t="n"/>
      <c r="S969" s="55" t="n"/>
      <c r="T969" s="55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</row>
    <row r="970" ht="15.75" customHeight="1" s="211">
      <c r="A970" s="55" t="n"/>
      <c r="B970" s="12" t="n"/>
      <c r="C970" s="55">
        <f>'Sales Candence'!B970</f>
        <v/>
      </c>
      <c r="D970" s="71" t="n"/>
      <c r="E970" s="71" t="n"/>
      <c r="F970" s="22" t="n"/>
      <c r="G970" s="22" t="n"/>
      <c r="H970" s="31" t="n"/>
      <c r="I970" s="23" t="n"/>
      <c r="J970" s="56" t="n"/>
      <c r="K970" s="22" t="n"/>
      <c r="L970" s="22" t="n"/>
      <c r="M970" s="22" t="n"/>
      <c r="N970" s="22" t="n"/>
      <c r="O970" s="22" t="n"/>
      <c r="P970" s="23" t="n"/>
      <c r="Q970" s="65" t="n"/>
      <c r="R970" s="65" t="n"/>
      <c r="S970" s="55" t="n"/>
      <c r="T970" s="55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</row>
    <row r="971" ht="15.75" customHeight="1" s="211">
      <c r="A971" s="55" t="n"/>
      <c r="B971" s="12" t="n"/>
      <c r="C971" s="55">
        <f>'Sales Candence'!B971</f>
        <v/>
      </c>
      <c r="D971" s="71" t="n"/>
      <c r="E971" s="71" t="n"/>
      <c r="F971" s="22" t="n"/>
      <c r="G971" s="22" t="n"/>
      <c r="H971" s="31" t="n"/>
      <c r="I971" s="23" t="n"/>
      <c r="J971" s="56" t="n"/>
      <c r="K971" s="22" t="n"/>
      <c r="L971" s="22" t="n"/>
      <c r="M971" s="22" t="n"/>
      <c r="N971" s="22" t="n"/>
      <c r="O971" s="22" t="n"/>
      <c r="P971" s="23" t="n"/>
      <c r="Q971" s="65" t="n"/>
      <c r="R971" s="65" t="n"/>
      <c r="S971" s="55" t="n"/>
      <c r="T971" s="55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</row>
    <row r="972" ht="15.75" customHeight="1" s="211">
      <c r="A972" s="55" t="n"/>
      <c r="B972" s="12" t="n"/>
      <c r="C972" s="55">
        <f>'Sales Candence'!B972</f>
        <v/>
      </c>
      <c r="D972" s="71" t="n"/>
      <c r="E972" s="71" t="n"/>
      <c r="F972" s="22" t="n"/>
      <c r="G972" s="22" t="n"/>
      <c r="H972" s="31" t="n"/>
      <c r="I972" s="23" t="n"/>
      <c r="J972" s="56" t="n"/>
      <c r="K972" s="22" t="n"/>
      <c r="L972" s="22" t="n"/>
      <c r="M972" s="22" t="n"/>
      <c r="N972" s="22" t="n"/>
      <c r="O972" s="22" t="n"/>
      <c r="P972" s="23" t="n"/>
      <c r="Q972" s="65" t="n"/>
      <c r="R972" s="65" t="n"/>
      <c r="S972" s="55" t="n"/>
      <c r="T972" s="55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</row>
    <row r="973" ht="15.75" customHeight="1" s="211">
      <c r="A973" s="55" t="n"/>
      <c r="B973" s="12" t="n"/>
      <c r="C973" s="55">
        <f>'Sales Candence'!B973</f>
        <v/>
      </c>
      <c r="D973" s="71" t="n"/>
      <c r="E973" s="71" t="n"/>
      <c r="F973" s="22" t="n"/>
      <c r="G973" s="22" t="n"/>
      <c r="H973" s="31" t="n"/>
      <c r="I973" s="23" t="n"/>
      <c r="J973" s="56" t="n"/>
      <c r="K973" s="22" t="n"/>
      <c r="L973" s="22" t="n"/>
      <c r="M973" s="22" t="n"/>
      <c r="N973" s="22" t="n"/>
      <c r="O973" s="22" t="n"/>
      <c r="P973" s="23" t="n"/>
      <c r="Q973" s="65" t="n"/>
      <c r="R973" s="65" t="n"/>
      <c r="S973" s="55" t="n"/>
      <c r="T973" s="55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</row>
    <row r="974" ht="15.75" customHeight="1" s="211">
      <c r="A974" s="55" t="n"/>
      <c r="B974" s="12" t="n"/>
      <c r="C974" s="55">
        <f>'Sales Candence'!B974</f>
        <v/>
      </c>
      <c r="D974" s="71" t="n"/>
      <c r="E974" s="71" t="n"/>
      <c r="F974" s="22" t="n"/>
      <c r="G974" s="22" t="n"/>
      <c r="H974" s="31" t="n"/>
      <c r="I974" s="23" t="n"/>
      <c r="J974" s="56" t="n"/>
      <c r="K974" s="22" t="n"/>
      <c r="L974" s="22" t="n"/>
      <c r="M974" s="22" t="n"/>
      <c r="N974" s="22" t="n"/>
      <c r="O974" s="22" t="n"/>
      <c r="P974" s="23" t="n"/>
      <c r="Q974" s="65" t="n"/>
      <c r="R974" s="65" t="n"/>
      <c r="S974" s="55" t="n"/>
      <c r="T974" s="55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</row>
    <row r="975" ht="15.75" customHeight="1" s="211">
      <c r="A975" s="55" t="n"/>
      <c r="B975" s="12" t="n"/>
      <c r="C975" s="55">
        <f>'Sales Candence'!B975</f>
        <v/>
      </c>
      <c r="D975" s="71" t="n"/>
      <c r="E975" s="71" t="n"/>
      <c r="F975" s="22" t="n"/>
      <c r="G975" s="22" t="n"/>
      <c r="H975" s="31" t="n"/>
      <c r="I975" s="23" t="n"/>
      <c r="J975" s="56" t="n"/>
      <c r="K975" s="22" t="n"/>
      <c r="L975" s="22" t="n"/>
      <c r="M975" s="22" t="n"/>
      <c r="N975" s="22" t="n"/>
      <c r="O975" s="22" t="n"/>
      <c r="P975" s="23" t="n"/>
      <c r="Q975" s="65" t="n"/>
      <c r="R975" s="65" t="n"/>
      <c r="S975" s="55" t="n"/>
      <c r="T975" s="55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</row>
    <row r="976" ht="15.75" customHeight="1" s="211">
      <c r="A976" s="55" t="n"/>
      <c r="B976" s="12" t="n"/>
      <c r="C976" s="55">
        <f>'Sales Candence'!B976</f>
        <v/>
      </c>
      <c r="D976" s="71" t="n"/>
      <c r="E976" s="71" t="n"/>
      <c r="F976" s="22" t="n"/>
      <c r="G976" s="22" t="n"/>
      <c r="H976" s="31" t="n"/>
      <c r="I976" s="23" t="n"/>
      <c r="J976" s="56" t="n"/>
      <c r="K976" s="22" t="n"/>
      <c r="L976" s="22" t="n"/>
      <c r="M976" s="22" t="n"/>
      <c r="N976" s="22" t="n"/>
      <c r="O976" s="22" t="n"/>
      <c r="P976" s="23" t="n"/>
      <c r="Q976" s="65" t="n"/>
      <c r="R976" s="65" t="n"/>
      <c r="S976" s="55" t="n"/>
      <c r="T976" s="55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</row>
    <row r="977" ht="15.75" customHeight="1" s="211">
      <c r="A977" s="55" t="n"/>
      <c r="B977" s="12" t="n"/>
      <c r="C977" s="55">
        <f>'Sales Candence'!B977</f>
        <v/>
      </c>
      <c r="D977" s="71" t="n"/>
      <c r="E977" s="71" t="n"/>
      <c r="F977" s="22" t="n"/>
      <c r="G977" s="22" t="n"/>
      <c r="H977" s="31" t="n"/>
      <c r="I977" s="23" t="n"/>
      <c r="J977" s="56" t="n"/>
      <c r="K977" s="22" t="n"/>
      <c r="L977" s="22" t="n"/>
      <c r="M977" s="22" t="n"/>
      <c r="N977" s="22" t="n"/>
      <c r="O977" s="22" t="n"/>
      <c r="P977" s="23" t="n"/>
      <c r="Q977" s="65" t="n"/>
      <c r="R977" s="65" t="n"/>
      <c r="S977" s="55" t="n"/>
      <c r="T977" s="55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</row>
    <row r="978" ht="15.75" customHeight="1" s="211">
      <c r="A978" s="55" t="n"/>
      <c r="B978" s="12" t="n"/>
      <c r="C978" s="55">
        <f>'Sales Candence'!B978</f>
        <v/>
      </c>
      <c r="D978" s="71" t="n"/>
      <c r="E978" s="71" t="n"/>
      <c r="F978" s="22" t="n"/>
      <c r="G978" s="22" t="n"/>
      <c r="H978" s="31" t="n"/>
      <c r="I978" s="23" t="n"/>
      <c r="J978" s="56" t="n"/>
      <c r="K978" s="22" t="n"/>
      <c r="L978" s="22" t="n"/>
      <c r="M978" s="22" t="n"/>
      <c r="N978" s="22" t="n"/>
      <c r="O978" s="22" t="n"/>
      <c r="P978" s="23" t="n"/>
      <c r="Q978" s="65" t="n"/>
      <c r="R978" s="65" t="n"/>
      <c r="S978" s="55" t="n"/>
      <c r="T978" s="55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</row>
    <row r="979" ht="15.75" customHeight="1" s="211">
      <c r="A979" s="55" t="n"/>
      <c r="B979" s="12" t="n"/>
      <c r="C979" s="55">
        <f>'Sales Candence'!B979</f>
        <v/>
      </c>
      <c r="D979" s="71" t="n"/>
      <c r="E979" s="71" t="n"/>
      <c r="F979" s="22" t="n"/>
      <c r="G979" s="22" t="n"/>
      <c r="H979" s="31" t="n"/>
      <c r="I979" s="23" t="n"/>
      <c r="J979" s="56" t="n"/>
      <c r="K979" s="22" t="n"/>
      <c r="L979" s="22" t="n"/>
      <c r="M979" s="22" t="n"/>
      <c r="N979" s="22" t="n"/>
      <c r="O979" s="22" t="n"/>
      <c r="P979" s="23" t="n"/>
      <c r="Q979" s="65" t="n"/>
      <c r="R979" s="65" t="n"/>
      <c r="S979" s="55" t="n"/>
      <c r="T979" s="55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</row>
    <row r="980" ht="15.75" customHeight="1" s="211">
      <c r="A980" s="55" t="n"/>
      <c r="B980" s="12" t="n"/>
      <c r="C980" s="55">
        <f>'Sales Candence'!B980</f>
        <v/>
      </c>
      <c r="D980" s="71" t="n"/>
      <c r="E980" s="71" t="n"/>
      <c r="F980" s="22" t="n"/>
      <c r="G980" s="22" t="n"/>
      <c r="H980" s="31" t="n"/>
      <c r="I980" s="23" t="n"/>
      <c r="J980" s="56" t="n"/>
      <c r="K980" s="22" t="n"/>
      <c r="L980" s="22" t="n"/>
      <c r="M980" s="22" t="n"/>
      <c r="N980" s="22" t="n"/>
      <c r="O980" s="22" t="n"/>
      <c r="P980" s="23" t="n"/>
      <c r="Q980" s="65" t="n"/>
      <c r="R980" s="65" t="n"/>
      <c r="S980" s="55" t="n"/>
      <c r="T980" s="55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</row>
    <row r="981" ht="15.75" customHeight="1" s="211">
      <c r="A981" s="55" t="n"/>
      <c r="B981" s="12" t="n"/>
      <c r="C981" s="55">
        <f>'Sales Candence'!B981</f>
        <v/>
      </c>
      <c r="D981" s="71" t="n"/>
      <c r="E981" s="71" t="n"/>
      <c r="F981" s="22" t="n"/>
      <c r="G981" s="22" t="n"/>
      <c r="H981" s="31" t="n"/>
      <c r="I981" s="23" t="n"/>
      <c r="J981" s="56" t="n"/>
      <c r="K981" s="22" t="n"/>
      <c r="L981" s="22" t="n"/>
      <c r="M981" s="22" t="n"/>
      <c r="N981" s="22" t="n"/>
      <c r="O981" s="22" t="n"/>
      <c r="P981" s="23" t="n"/>
      <c r="Q981" s="65" t="n"/>
      <c r="R981" s="65" t="n"/>
      <c r="S981" s="55" t="n"/>
      <c r="T981" s="55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</row>
    <row r="982" ht="15.75" customHeight="1" s="211">
      <c r="A982" s="55" t="n"/>
      <c r="B982" s="12" t="n"/>
      <c r="C982" s="55">
        <f>'Sales Candence'!B982</f>
        <v/>
      </c>
      <c r="D982" s="71" t="n"/>
      <c r="E982" s="71" t="n"/>
      <c r="F982" s="22" t="n"/>
      <c r="G982" s="22" t="n"/>
      <c r="H982" s="31" t="n"/>
      <c r="I982" s="23" t="n"/>
      <c r="J982" s="56" t="n"/>
      <c r="K982" s="22" t="n"/>
      <c r="L982" s="22" t="n"/>
      <c r="M982" s="22" t="n"/>
      <c r="N982" s="22" t="n"/>
      <c r="O982" s="22" t="n"/>
      <c r="P982" s="23" t="n"/>
      <c r="Q982" s="65" t="n"/>
      <c r="R982" s="65" t="n"/>
      <c r="S982" s="55" t="n"/>
      <c r="T982" s="55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</row>
    <row r="983" ht="15.75" customHeight="1" s="211">
      <c r="A983" s="55" t="n"/>
      <c r="B983" s="12" t="n"/>
      <c r="C983" s="55">
        <f>'Sales Candence'!B983</f>
        <v/>
      </c>
      <c r="D983" s="71" t="n"/>
      <c r="E983" s="71" t="n"/>
      <c r="F983" s="22" t="n"/>
      <c r="G983" s="22" t="n"/>
      <c r="H983" s="31" t="n"/>
      <c r="I983" s="23" t="n"/>
      <c r="J983" s="56" t="n"/>
      <c r="K983" s="22" t="n"/>
      <c r="L983" s="22" t="n"/>
      <c r="M983" s="22" t="n"/>
      <c r="N983" s="22" t="n"/>
      <c r="O983" s="22" t="n"/>
      <c r="P983" s="23" t="n"/>
      <c r="Q983" s="65" t="n"/>
      <c r="R983" s="65" t="n"/>
      <c r="S983" s="55" t="n"/>
      <c r="T983" s="55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</row>
    <row r="984" ht="15.75" customHeight="1" s="211">
      <c r="A984" s="55" t="n"/>
      <c r="B984" s="12" t="n"/>
      <c r="C984" s="55">
        <f>'Sales Candence'!B984</f>
        <v/>
      </c>
      <c r="D984" s="71" t="n"/>
      <c r="E984" s="71" t="n"/>
      <c r="F984" s="22" t="n"/>
      <c r="G984" s="22" t="n"/>
      <c r="H984" s="31" t="n"/>
      <c r="I984" s="23" t="n"/>
      <c r="J984" s="56" t="n"/>
      <c r="K984" s="22" t="n"/>
      <c r="L984" s="22" t="n"/>
      <c r="M984" s="22" t="n"/>
      <c r="N984" s="22" t="n"/>
      <c r="O984" s="22" t="n"/>
      <c r="P984" s="23" t="n"/>
      <c r="Q984" s="65" t="n"/>
      <c r="R984" s="65" t="n"/>
      <c r="S984" s="55" t="n"/>
      <c r="T984" s="55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</row>
    <row r="985" ht="15.75" customHeight="1" s="211">
      <c r="A985" s="55" t="n"/>
      <c r="B985" s="12" t="n"/>
      <c r="C985" s="55">
        <f>'Sales Candence'!B985</f>
        <v/>
      </c>
      <c r="D985" s="71" t="n"/>
      <c r="E985" s="71" t="n"/>
      <c r="F985" s="22" t="n"/>
      <c r="G985" s="22" t="n"/>
      <c r="H985" s="31" t="n"/>
      <c r="I985" s="23" t="n"/>
      <c r="J985" s="56" t="n"/>
      <c r="K985" s="22" t="n"/>
      <c r="L985" s="22" t="n"/>
      <c r="M985" s="22" t="n"/>
      <c r="N985" s="22" t="n"/>
      <c r="O985" s="22" t="n"/>
      <c r="P985" s="23" t="n"/>
      <c r="Q985" s="65" t="n"/>
      <c r="R985" s="65" t="n"/>
      <c r="S985" s="55" t="n"/>
      <c r="T985" s="55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</row>
    <row r="986" ht="15.75" customHeight="1" s="211">
      <c r="A986" s="55" t="n"/>
      <c r="B986" s="12" t="n"/>
      <c r="C986" s="55">
        <f>'Sales Candence'!B986</f>
        <v/>
      </c>
      <c r="D986" s="71" t="n"/>
      <c r="E986" s="71" t="n"/>
      <c r="F986" s="22" t="n"/>
      <c r="G986" s="22" t="n"/>
      <c r="H986" s="31" t="n"/>
      <c r="I986" s="23" t="n"/>
      <c r="J986" s="56" t="n"/>
      <c r="K986" s="22" t="n"/>
      <c r="L986" s="22" t="n"/>
      <c r="M986" s="22" t="n"/>
      <c r="N986" s="22" t="n"/>
      <c r="O986" s="22" t="n"/>
      <c r="P986" s="23" t="n"/>
      <c r="Q986" s="65" t="n"/>
      <c r="R986" s="65" t="n"/>
      <c r="S986" s="55" t="n"/>
      <c r="T986" s="55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</row>
    <row r="987" ht="15.75" customHeight="1" s="211">
      <c r="A987" s="55" t="n"/>
      <c r="B987" s="12" t="n"/>
      <c r="C987" s="55">
        <f>'Sales Candence'!B987</f>
        <v/>
      </c>
      <c r="D987" s="71" t="n"/>
      <c r="E987" s="71" t="n"/>
      <c r="F987" s="22" t="n"/>
      <c r="G987" s="22" t="n"/>
      <c r="H987" s="31" t="n"/>
      <c r="I987" s="23" t="n"/>
      <c r="J987" s="56" t="n"/>
      <c r="K987" s="22" t="n"/>
      <c r="L987" s="22" t="n"/>
      <c r="M987" s="22" t="n"/>
      <c r="N987" s="22" t="n"/>
      <c r="O987" s="22" t="n"/>
      <c r="P987" s="23" t="n"/>
      <c r="Q987" s="65" t="n"/>
      <c r="R987" s="65" t="n"/>
      <c r="S987" s="55" t="n"/>
      <c r="T987" s="55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</row>
    <row r="988" ht="15.75" customHeight="1" s="211">
      <c r="A988" s="55" t="n"/>
      <c r="B988" s="12" t="n"/>
      <c r="C988" s="55">
        <f>'Sales Candence'!B988</f>
        <v/>
      </c>
      <c r="D988" s="71" t="n"/>
      <c r="E988" s="71" t="n"/>
      <c r="F988" s="22" t="n"/>
      <c r="G988" s="22" t="n"/>
      <c r="H988" s="31" t="n"/>
      <c r="I988" s="23" t="n"/>
      <c r="J988" s="56" t="n"/>
      <c r="K988" s="22" t="n"/>
      <c r="L988" s="22" t="n"/>
      <c r="M988" s="22" t="n"/>
      <c r="N988" s="22" t="n"/>
      <c r="O988" s="22" t="n"/>
      <c r="P988" s="23" t="n"/>
      <c r="Q988" s="65" t="n"/>
      <c r="R988" s="65" t="n"/>
      <c r="S988" s="55" t="n"/>
      <c r="T988" s="55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</row>
    <row r="989" ht="15.75" customHeight="1" s="211">
      <c r="A989" s="55" t="n"/>
      <c r="B989" s="12" t="n"/>
      <c r="C989" s="55">
        <f>'Sales Candence'!B989</f>
        <v/>
      </c>
      <c r="D989" s="71" t="n"/>
      <c r="E989" s="71" t="n"/>
      <c r="F989" s="22" t="n"/>
      <c r="G989" s="22" t="n"/>
      <c r="H989" s="31" t="n"/>
      <c r="I989" s="23" t="n"/>
      <c r="J989" s="56" t="n"/>
      <c r="K989" s="22" t="n"/>
      <c r="L989" s="22" t="n"/>
      <c r="M989" s="22" t="n"/>
      <c r="N989" s="22" t="n"/>
      <c r="O989" s="22" t="n"/>
      <c r="P989" s="23" t="n"/>
      <c r="Q989" s="65" t="n"/>
      <c r="R989" s="65" t="n"/>
      <c r="S989" s="55" t="n"/>
      <c r="T989" s="55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</row>
    <row r="990" ht="15.75" customHeight="1" s="211">
      <c r="A990" s="55" t="n"/>
      <c r="B990" s="12" t="n"/>
      <c r="C990" s="55">
        <f>'Sales Candence'!B990</f>
        <v/>
      </c>
      <c r="D990" s="71" t="n"/>
      <c r="E990" s="71" t="n"/>
      <c r="F990" s="22" t="n"/>
      <c r="G990" s="22" t="n"/>
      <c r="H990" s="31" t="n"/>
      <c r="I990" s="23" t="n"/>
      <c r="J990" s="56" t="n"/>
      <c r="K990" s="22" t="n"/>
      <c r="L990" s="22" t="n"/>
      <c r="M990" s="22" t="n"/>
      <c r="N990" s="22" t="n"/>
      <c r="O990" s="22" t="n"/>
      <c r="P990" s="23" t="n"/>
      <c r="Q990" s="65" t="n"/>
      <c r="R990" s="65" t="n"/>
      <c r="S990" s="55" t="n"/>
      <c r="T990" s="55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</row>
    <row r="991" ht="15.75" customHeight="1" s="211">
      <c r="A991" s="55" t="n"/>
      <c r="B991" s="12" t="n"/>
      <c r="C991" s="55">
        <f>'Sales Candence'!B991</f>
        <v/>
      </c>
      <c r="D991" s="71" t="n"/>
      <c r="E991" s="71" t="n"/>
      <c r="F991" s="22" t="n"/>
      <c r="G991" s="22" t="n"/>
      <c r="H991" s="31" t="n"/>
      <c r="I991" s="23" t="n"/>
      <c r="J991" s="56" t="n"/>
      <c r="K991" s="22" t="n"/>
      <c r="L991" s="22" t="n"/>
      <c r="M991" s="22" t="n"/>
      <c r="N991" s="22" t="n"/>
      <c r="O991" s="22" t="n"/>
      <c r="P991" s="23" t="n"/>
      <c r="Q991" s="65" t="n"/>
      <c r="R991" s="65" t="n"/>
      <c r="S991" s="55" t="n"/>
      <c r="T991" s="55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</row>
    <row r="992" ht="15.75" customHeight="1" s="211">
      <c r="A992" s="55" t="n"/>
      <c r="B992" s="12" t="n"/>
      <c r="C992" s="55">
        <f>'Sales Candence'!B992</f>
        <v/>
      </c>
      <c r="D992" s="71" t="n"/>
      <c r="E992" s="71" t="n"/>
      <c r="F992" s="22" t="n"/>
      <c r="G992" s="22" t="n"/>
      <c r="H992" s="31" t="n"/>
      <c r="I992" s="23" t="n"/>
      <c r="J992" s="56" t="n"/>
      <c r="K992" s="22" t="n"/>
      <c r="L992" s="22" t="n"/>
      <c r="M992" s="22" t="n"/>
      <c r="N992" s="22" t="n"/>
      <c r="O992" s="22" t="n"/>
      <c r="P992" s="23" t="n"/>
      <c r="Q992" s="65" t="n"/>
      <c r="R992" s="65" t="n"/>
      <c r="S992" s="55" t="n"/>
      <c r="T992" s="55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</row>
    <row r="993" ht="15.75" customHeight="1" s="211">
      <c r="A993" s="55" t="n"/>
      <c r="B993" s="12" t="n"/>
      <c r="C993" s="55">
        <f>'Sales Candence'!B993</f>
        <v/>
      </c>
      <c r="D993" s="71" t="n"/>
      <c r="E993" s="71" t="n"/>
      <c r="F993" s="22" t="n"/>
      <c r="G993" s="22" t="n"/>
      <c r="H993" s="31" t="n"/>
      <c r="I993" s="23" t="n"/>
      <c r="J993" s="56" t="n"/>
      <c r="K993" s="22" t="n"/>
      <c r="L993" s="22" t="n"/>
      <c r="M993" s="22" t="n"/>
      <c r="N993" s="22" t="n"/>
      <c r="O993" s="22" t="n"/>
      <c r="P993" s="23" t="n"/>
      <c r="Q993" s="65" t="n"/>
      <c r="R993" s="65" t="n"/>
      <c r="S993" s="55" t="n"/>
      <c r="T993" s="55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</row>
    <row r="994" ht="15.75" customHeight="1" s="211">
      <c r="A994" s="55" t="n"/>
      <c r="B994" s="12" t="n"/>
      <c r="C994" s="55">
        <f>'Sales Candence'!B994</f>
        <v/>
      </c>
      <c r="D994" s="71" t="n"/>
      <c r="E994" s="71" t="n"/>
      <c r="F994" s="22" t="n"/>
      <c r="G994" s="22" t="n"/>
      <c r="H994" s="31" t="n"/>
      <c r="I994" s="23" t="n"/>
      <c r="J994" s="56" t="n"/>
      <c r="K994" s="22" t="n"/>
      <c r="L994" s="22" t="n"/>
      <c r="M994" s="22" t="n"/>
      <c r="N994" s="22" t="n"/>
      <c r="O994" s="22" t="n"/>
      <c r="P994" s="23" t="n"/>
      <c r="Q994" s="65" t="n"/>
      <c r="R994" s="65" t="n"/>
      <c r="S994" s="55" t="n"/>
      <c r="T994" s="55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</row>
    <row r="995" ht="15.75" customHeight="1" s="211">
      <c r="A995" s="55" t="n"/>
      <c r="B995" s="12" t="n"/>
      <c r="C995" s="55">
        <f>'Sales Candence'!B995</f>
        <v/>
      </c>
      <c r="D995" s="71" t="n"/>
      <c r="E995" s="71" t="n"/>
      <c r="F995" s="22" t="n"/>
      <c r="G995" s="22" t="n"/>
      <c r="H995" s="31" t="n"/>
      <c r="I995" s="23" t="n"/>
      <c r="J995" s="56" t="n"/>
      <c r="K995" s="22" t="n"/>
      <c r="L995" s="22" t="n"/>
      <c r="M995" s="22" t="n"/>
      <c r="N995" s="22" t="n"/>
      <c r="O995" s="22" t="n"/>
      <c r="P995" s="23" t="n"/>
      <c r="Q995" s="65" t="n"/>
      <c r="R995" s="65" t="n"/>
      <c r="S995" s="55" t="n"/>
      <c r="T995" s="55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</row>
    <row r="996" ht="15.75" customHeight="1" s="211">
      <c r="A996" s="55" t="n"/>
      <c r="B996" s="12" t="n"/>
      <c r="C996" s="55">
        <f>'Sales Candence'!B996</f>
        <v/>
      </c>
      <c r="D996" s="71" t="n"/>
      <c r="E996" s="71" t="n"/>
      <c r="F996" s="22" t="n"/>
      <c r="G996" s="22" t="n"/>
      <c r="H996" s="31" t="n"/>
      <c r="I996" s="23" t="n"/>
      <c r="J996" s="56" t="n"/>
      <c r="K996" s="22" t="n"/>
      <c r="L996" s="22" t="n"/>
      <c r="M996" s="22" t="n"/>
      <c r="N996" s="22" t="n"/>
      <c r="O996" s="22" t="n"/>
      <c r="P996" s="23" t="n"/>
      <c r="Q996" s="65" t="n"/>
      <c r="R996" s="65" t="n"/>
      <c r="S996" s="55" t="n"/>
      <c r="T996" s="55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</row>
    <row r="997" ht="15.75" customHeight="1" s="211">
      <c r="A997" s="55" t="n"/>
      <c r="B997" s="12" t="n"/>
      <c r="C997" s="55">
        <f>'Sales Candence'!B997</f>
        <v/>
      </c>
      <c r="D997" s="71" t="n"/>
      <c r="E997" s="71" t="n"/>
      <c r="F997" s="22" t="n"/>
      <c r="G997" s="22" t="n"/>
      <c r="H997" s="31" t="n"/>
      <c r="I997" s="23" t="n"/>
      <c r="J997" s="56" t="n"/>
      <c r="K997" s="22" t="n"/>
      <c r="L997" s="22" t="n"/>
      <c r="M997" s="22" t="n"/>
      <c r="N997" s="22" t="n"/>
      <c r="O997" s="22" t="n"/>
      <c r="P997" s="23" t="n"/>
      <c r="Q997" s="65" t="n"/>
      <c r="R997" s="65" t="n"/>
      <c r="S997" s="55" t="n"/>
      <c r="T997" s="55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</row>
    <row r="998" ht="15.75" customHeight="1" s="211">
      <c r="A998" s="55" t="n"/>
      <c r="B998" s="12" t="n"/>
      <c r="C998" s="55">
        <f>'Sales Candence'!B998</f>
        <v/>
      </c>
      <c r="D998" s="71" t="n"/>
      <c r="E998" s="71" t="n"/>
      <c r="F998" s="22" t="n"/>
      <c r="G998" s="22" t="n"/>
      <c r="H998" s="31" t="n"/>
      <c r="I998" s="23" t="n"/>
      <c r="J998" s="56" t="n"/>
      <c r="K998" s="22" t="n"/>
      <c r="L998" s="22" t="n"/>
      <c r="M998" s="22" t="n"/>
      <c r="N998" s="22" t="n"/>
      <c r="O998" s="22" t="n"/>
      <c r="P998" s="23" t="n"/>
      <c r="Q998" s="65" t="n"/>
      <c r="R998" s="65" t="n"/>
      <c r="S998" s="55" t="n"/>
      <c r="T998" s="55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</row>
    <row r="999" ht="15.75" customHeight="1" s="211">
      <c r="A999" s="55" t="n"/>
      <c r="B999" s="12" t="n"/>
      <c r="C999" s="55">
        <f>'Sales Candence'!B999</f>
        <v/>
      </c>
      <c r="D999" s="71" t="n"/>
      <c r="E999" s="71" t="n"/>
      <c r="F999" s="22" t="n"/>
      <c r="G999" s="22" t="n"/>
      <c r="H999" s="31" t="n"/>
      <c r="I999" s="23" t="n"/>
      <c r="J999" s="56" t="n"/>
      <c r="K999" s="22" t="n"/>
      <c r="L999" s="22" t="n"/>
      <c r="M999" s="22" t="n"/>
      <c r="N999" s="22" t="n"/>
      <c r="O999" s="22" t="n"/>
      <c r="P999" s="23" t="n"/>
      <c r="Q999" s="65" t="n"/>
      <c r="R999" s="65" t="n"/>
      <c r="S999" s="55" t="n"/>
      <c r="T999" s="55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</row>
    <row r="1000" ht="15.75" customHeight="1" s="211">
      <c r="A1000" s="55" t="n"/>
      <c r="B1000" s="12" t="n"/>
      <c r="C1000" s="55">
        <f>'Sales Candence'!B1000</f>
        <v/>
      </c>
      <c r="D1000" s="71" t="n"/>
      <c r="E1000" s="71" t="n"/>
      <c r="F1000" s="22" t="n"/>
      <c r="G1000" s="22" t="n"/>
      <c r="H1000" s="31" t="n"/>
      <c r="I1000" s="23" t="n"/>
      <c r="J1000" s="56" t="n"/>
      <c r="K1000" s="22" t="n"/>
      <c r="L1000" s="22" t="n"/>
      <c r="M1000" s="22" t="n"/>
      <c r="N1000" s="22" t="n"/>
      <c r="O1000" s="22" t="n"/>
      <c r="P1000" s="23" t="n"/>
      <c r="Q1000" s="65" t="n"/>
      <c r="R1000" s="65" t="n"/>
      <c r="S1000" s="55" t="n"/>
      <c r="T1000" s="55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</row>
    <row r="1001" ht="15.75" customHeight="1" s="211">
      <c r="A1001" s="55" t="n"/>
      <c r="B1001" s="12" t="n"/>
      <c r="C1001" s="55">
        <f>'Sales Candence'!B1001</f>
        <v/>
      </c>
      <c r="D1001" s="71" t="n"/>
      <c r="E1001" s="71" t="n"/>
      <c r="F1001" s="22" t="n"/>
      <c r="G1001" s="22" t="n"/>
      <c r="H1001" s="31" t="n"/>
      <c r="I1001" s="23" t="n"/>
      <c r="J1001" s="56" t="n"/>
      <c r="K1001" s="22" t="n"/>
      <c r="L1001" s="22" t="n"/>
      <c r="M1001" s="22" t="n"/>
      <c r="N1001" s="22" t="n"/>
      <c r="O1001" s="22" t="n"/>
      <c r="P1001" s="23" t="n"/>
      <c r="Q1001" s="65" t="n"/>
      <c r="R1001" s="65" t="n"/>
      <c r="S1001" s="55" t="n"/>
      <c r="T1001" s="55" t="n"/>
      <c r="U1001" s="12" t="n"/>
      <c r="V1001" s="12" t="n"/>
      <c r="W1001" s="12" t="n"/>
      <c r="X1001" s="12" t="n"/>
      <c r="Y1001" s="12" t="n"/>
      <c r="Z1001" s="12" t="n"/>
      <c r="AA1001" s="12" t="n"/>
      <c r="AB1001" s="12" t="n"/>
      <c r="AC1001" s="12" t="n"/>
      <c r="AD1001" s="12" t="n"/>
    </row>
    <row r="1002" ht="15.75" customHeight="1" s="211">
      <c r="A1002" s="55" t="n"/>
      <c r="B1002" s="12" t="n"/>
      <c r="C1002" s="55">
        <f>'Sales Candence'!B1002</f>
        <v/>
      </c>
      <c r="D1002" s="71" t="n"/>
      <c r="E1002" s="71" t="n"/>
      <c r="F1002" s="22" t="n"/>
      <c r="G1002" s="22" t="n"/>
      <c r="H1002" s="31" t="n"/>
      <c r="I1002" s="23" t="n"/>
      <c r="J1002" s="56" t="n"/>
      <c r="K1002" s="22" t="n"/>
      <c r="L1002" s="22" t="n"/>
      <c r="M1002" s="22" t="n"/>
      <c r="N1002" s="22" t="n"/>
      <c r="O1002" s="22" t="n"/>
      <c r="P1002" s="23" t="n"/>
      <c r="Q1002" s="65" t="n"/>
      <c r="R1002" s="65" t="n"/>
      <c r="S1002" s="55" t="n"/>
      <c r="T1002" s="55" t="n"/>
      <c r="U1002" s="12" t="n"/>
      <c r="V1002" s="12" t="n"/>
      <c r="W1002" s="12" t="n"/>
      <c r="X1002" s="12" t="n"/>
      <c r="Y1002" s="12" t="n"/>
      <c r="Z1002" s="12" t="n"/>
      <c r="AA1002" s="12" t="n"/>
      <c r="AB1002" s="12" t="n"/>
      <c r="AC1002" s="12" t="n"/>
      <c r="AD1002" s="12" t="n"/>
    </row>
    <row r="1003" ht="15.75" customHeight="1" s="211">
      <c r="A1003" s="55" t="n"/>
      <c r="B1003" s="12" t="n"/>
      <c r="C1003" s="55">
        <f>'Sales Candence'!B1003</f>
        <v/>
      </c>
      <c r="D1003" s="71" t="n"/>
      <c r="E1003" s="71" t="n"/>
      <c r="F1003" s="22" t="n"/>
      <c r="G1003" s="22" t="n"/>
      <c r="H1003" s="31" t="n"/>
      <c r="I1003" s="23" t="n"/>
      <c r="J1003" s="56" t="n"/>
      <c r="K1003" s="22" t="n"/>
      <c r="L1003" s="22" t="n"/>
      <c r="M1003" s="22" t="n"/>
      <c r="N1003" s="22" t="n"/>
      <c r="O1003" s="22" t="n"/>
      <c r="P1003" s="23" t="n"/>
      <c r="Q1003" s="65" t="n"/>
      <c r="R1003" s="65" t="n"/>
      <c r="S1003" s="55" t="n"/>
      <c r="T1003" s="55" t="n"/>
      <c r="U1003" s="12" t="n"/>
      <c r="V1003" s="12" t="n"/>
      <c r="W1003" s="12" t="n"/>
      <c r="X1003" s="12" t="n"/>
      <c r="Y1003" s="12" t="n"/>
      <c r="Z1003" s="12" t="n"/>
      <c r="AA1003" s="12" t="n"/>
      <c r="AB1003" s="12" t="n"/>
      <c r="AC1003" s="12" t="n"/>
      <c r="AD1003" s="12" t="n"/>
    </row>
    <row r="1004" ht="15.75" customHeight="1" s="211">
      <c r="A1004" s="55" t="n"/>
      <c r="B1004" s="12" t="n"/>
      <c r="C1004" s="55">
        <f>'Sales Candence'!B1004</f>
        <v/>
      </c>
      <c r="D1004" s="71" t="n"/>
      <c r="E1004" s="71" t="n"/>
      <c r="F1004" s="22" t="n"/>
      <c r="G1004" s="22" t="n"/>
      <c r="H1004" s="31" t="n"/>
      <c r="I1004" s="23" t="n"/>
      <c r="J1004" s="56" t="n"/>
      <c r="K1004" s="22" t="n"/>
      <c r="L1004" s="22" t="n"/>
      <c r="M1004" s="22" t="n"/>
      <c r="N1004" s="22" t="n"/>
      <c r="O1004" s="22" t="n"/>
      <c r="P1004" s="23" t="n"/>
      <c r="Q1004" s="65" t="n"/>
      <c r="R1004" s="65" t="n"/>
      <c r="S1004" s="55" t="n"/>
      <c r="T1004" s="55" t="n"/>
      <c r="U1004" s="12" t="n"/>
      <c r="V1004" s="12" t="n"/>
      <c r="W1004" s="12" t="n"/>
      <c r="X1004" s="12" t="n"/>
      <c r="Y1004" s="12" t="n"/>
      <c r="Z1004" s="12" t="n"/>
      <c r="AA1004" s="12" t="n"/>
      <c r="AB1004" s="12" t="n"/>
      <c r="AC1004" s="12" t="n"/>
      <c r="AD1004" s="12" t="n"/>
    </row>
    <row r="1005" ht="15.75" customHeight="1" s="211">
      <c r="A1005" s="55" t="n"/>
      <c r="B1005" s="12" t="n"/>
      <c r="C1005" s="55">
        <f>'Sales Candence'!B1005</f>
        <v/>
      </c>
      <c r="D1005" s="71" t="n"/>
      <c r="E1005" s="71" t="n"/>
      <c r="F1005" s="22" t="n"/>
      <c r="G1005" s="22" t="n"/>
      <c r="H1005" s="31" t="n"/>
      <c r="I1005" s="23" t="n"/>
      <c r="J1005" s="56" t="n"/>
      <c r="K1005" s="22" t="n"/>
      <c r="L1005" s="22" t="n"/>
      <c r="M1005" s="22" t="n"/>
      <c r="N1005" s="22" t="n"/>
      <c r="O1005" s="22" t="n"/>
      <c r="P1005" s="23" t="n"/>
      <c r="Q1005" s="65" t="n"/>
      <c r="R1005" s="65" t="n"/>
      <c r="S1005" s="55" t="n"/>
      <c r="T1005" s="55" t="n"/>
      <c r="U1005" s="12" t="n"/>
      <c r="V1005" s="12" t="n"/>
      <c r="W1005" s="12" t="n"/>
      <c r="X1005" s="12" t="n"/>
      <c r="Y1005" s="12" t="n"/>
      <c r="Z1005" s="12" t="n"/>
      <c r="AA1005" s="12" t="n"/>
      <c r="AB1005" s="12" t="n"/>
      <c r="AC1005" s="12" t="n"/>
      <c r="AD1005" s="12" t="n"/>
    </row>
    <row r="1006" ht="15.75" customHeight="1" s="211">
      <c r="A1006" s="55" t="n"/>
      <c r="B1006" s="12" t="n"/>
      <c r="C1006" s="55">
        <f>'Sales Candence'!B1006</f>
        <v/>
      </c>
      <c r="D1006" s="71" t="n"/>
      <c r="E1006" s="71" t="n"/>
      <c r="F1006" s="22" t="n"/>
      <c r="G1006" s="22" t="n"/>
      <c r="H1006" s="31" t="n"/>
      <c r="I1006" s="23" t="n"/>
      <c r="J1006" s="56" t="n"/>
      <c r="K1006" s="22" t="n"/>
      <c r="L1006" s="22" t="n"/>
      <c r="M1006" s="22" t="n"/>
      <c r="N1006" s="22" t="n"/>
      <c r="O1006" s="22" t="n"/>
      <c r="P1006" s="23" t="n"/>
      <c r="Q1006" s="65" t="n"/>
      <c r="R1006" s="65" t="n"/>
      <c r="S1006" s="55" t="n"/>
      <c r="T1006" s="55" t="n"/>
      <c r="U1006" s="12" t="n"/>
      <c r="V1006" s="12" t="n"/>
      <c r="W1006" s="12" t="n"/>
      <c r="X1006" s="12" t="n"/>
      <c r="Y1006" s="12" t="n"/>
      <c r="Z1006" s="12" t="n"/>
      <c r="AA1006" s="12" t="n"/>
      <c r="AB1006" s="12" t="n"/>
      <c r="AC1006" s="12" t="n"/>
      <c r="AD1006" s="12" t="n"/>
    </row>
    <row r="1007" ht="15.75" customHeight="1" s="211">
      <c r="A1007" s="55" t="n"/>
      <c r="B1007" s="12" t="n"/>
      <c r="C1007" s="55">
        <f>'Sales Candence'!B1007</f>
        <v/>
      </c>
      <c r="D1007" s="71" t="n"/>
      <c r="E1007" s="71" t="n"/>
      <c r="F1007" s="22" t="n"/>
      <c r="G1007" s="22" t="n"/>
      <c r="H1007" s="31" t="n"/>
      <c r="I1007" s="23" t="n"/>
      <c r="J1007" s="56" t="n"/>
      <c r="K1007" s="22" t="n"/>
      <c r="L1007" s="22" t="n"/>
      <c r="M1007" s="22" t="n"/>
      <c r="N1007" s="22" t="n"/>
      <c r="O1007" s="22" t="n"/>
      <c r="P1007" s="23" t="n"/>
      <c r="Q1007" s="65" t="n"/>
      <c r="R1007" s="65" t="n"/>
      <c r="S1007" s="55" t="n"/>
      <c r="T1007" s="55" t="n"/>
      <c r="U1007" s="12" t="n"/>
      <c r="V1007" s="12" t="n"/>
      <c r="W1007" s="12" t="n"/>
      <c r="X1007" s="12" t="n"/>
      <c r="Y1007" s="12" t="n"/>
      <c r="Z1007" s="12" t="n"/>
      <c r="AA1007" s="12" t="n"/>
      <c r="AB1007" s="12" t="n"/>
      <c r="AC1007" s="12" t="n"/>
      <c r="AD1007" s="12" t="n"/>
    </row>
    <row r="1008" ht="15.75" customHeight="1" s="211">
      <c r="A1008" s="55" t="n"/>
      <c r="B1008" s="12" t="n"/>
      <c r="C1008" s="55">
        <f>'Sales Candence'!B1008</f>
        <v/>
      </c>
      <c r="D1008" s="71" t="n"/>
      <c r="E1008" s="71" t="n"/>
      <c r="F1008" s="22" t="n"/>
      <c r="G1008" s="22" t="n"/>
      <c r="H1008" s="31" t="n"/>
      <c r="I1008" s="23" t="n"/>
      <c r="J1008" s="56" t="n"/>
      <c r="K1008" s="22" t="n"/>
      <c r="L1008" s="22" t="n"/>
      <c r="M1008" s="22" t="n"/>
      <c r="N1008" s="22" t="n"/>
      <c r="O1008" s="22" t="n"/>
      <c r="P1008" s="23" t="n"/>
      <c r="Q1008" s="65" t="n"/>
      <c r="R1008" s="65" t="n"/>
      <c r="S1008" s="55" t="n"/>
      <c r="T1008" s="55" t="n"/>
      <c r="U1008" s="12" t="n"/>
      <c r="V1008" s="12" t="n"/>
      <c r="W1008" s="12" t="n"/>
      <c r="X1008" s="12" t="n"/>
      <c r="Y1008" s="12" t="n"/>
      <c r="Z1008" s="12" t="n"/>
      <c r="AA1008" s="12" t="n"/>
      <c r="AB1008" s="12" t="n"/>
      <c r="AC1008" s="12" t="n"/>
      <c r="AD1008" s="12" t="n"/>
    </row>
    <row r="1009" ht="15.75" customHeight="1" s="211">
      <c r="A1009" s="55" t="n"/>
      <c r="B1009" s="12" t="n"/>
      <c r="C1009" s="55">
        <f>'Sales Candence'!B1009</f>
        <v/>
      </c>
      <c r="D1009" s="71" t="n"/>
      <c r="E1009" s="71" t="n"/>
      <c r="F1009" s="22" t="n"/>
      <c r="G1009" s="22" t="n"/>
      <c r="H1009" s="31" t="n"/>
      <c r="I1009" s="23" t="n"/>
      <c r="J1009" s="56" t="n"/>
      <c r="K1009" s="22" t="n"/>
      <c r="L1009" s="22" t="n"/>
      <c r="M1009" s="22" t="n"/>
      <c r="N1009" s="22" t="n"/>
      <c r="O1009" s="22" t="n"/>
      <c r="P1009" s="23" t="n"/>
      <c r="Q1009" s="65" t="n"/>
      <c r="R1009" s="65" t="n"/>
      <c r="S1009" s="55" t="n"/>
      <c r="T1009" s="55" t="n"/>
      <c r="U1009" s="12" t="n"/>
      <c r="V1009" s="12" t="n"/>
      <c r="W1009" s="12" t="n"/>
      <c r="X1009" s="12" t="n"/>
      <c r="Y1009" s="12" t="n"/>
      <c r="Z1009" s="12" t="n"/>
      <c r="AA1009" s="12" t="n"/>
      <c r="AB1009" s="12" t="n"/>
      <c r="AC1009" s="12" t="n"/>
      <c r="AD1009" s="12" t="n"/>
    </row>
    <row r="1010" ht="15.75" customHeight="1" s="211">
      <c r="A1010" s="55" t="n"/>
      <c r="B1010" s="12" t="n"/>
      <c r="C1010" s="55">
        <f>'Sales Candence'!B1010</f>
        <v/>
      </c>
      <c r="D1010" s="71" t="n"/>
      <c r="E1010" s="71" t="n"/>
      <c r="F1010" s="22" t="n"/>
      <c r="G1010" s="22" t="n"/>
      <c r="H1010" s="31" t="n"/>
      <c r="I1010" s="23" t="n"/>
      <c r="J1010" s="56" t="n"/>
      <c r="K1010" s="22" t="n"/>
      <c r="L1010" s="22" t="n"/>
      <c r="M1010" s="22" t="n"/>
      <c r="N1010" s="22" t="n"/>
      <c r="O1010" s="22" t="n"/>
      <c r="P1010" s="23" t="n"/>
      <c r="Q1010" s="65" t="n"/>
      <c r="R1010" s="65" t="n"/>
      <c r="S1010" s="55" t="n"/>
      <c r="T1010" s="55" t="n"/>
      <c r="U1010" s="12" t="n"/>
      <c r="V1010" s="12" t="n"/>
      <c r="W1010" s="12" t="n"/>
      <c r="X1010" s="12" t="n"/>
      <c r="Y1010" s="12" t="n"/>
      <c r="Z1010" s="12" t="n"/>
      <c r="AA1010" s="12" t="n"/>
      <c r="AB1010" s="12" t="n"/>
      <c r="AC1010" s="12" t="n"/>
      <c r="AD1010" s="12" t="n"/>
    </row>
    <row r="1011" ht="15.75" customHeight="1" s="211">
      <c r="A1011" s="55" t="n"/>
      <c r="B1011" s="12" t="n"/>
      <c r="C1011" s="55">
        <f>'Sales Candence'!B1011</f>
        <v/>
      </c>
      <c r="D1011" s="71" t="n"/>
      <c r="E1011" s="71" t="n"/>
      <c r="F1011" s="22" t="n"/>
      <c r="G1011" s="22" t="n"/>
      <c r="H1011" s="31" t="n"/>
      <c r="I1011" s="23" t="n"/>
      <c r="J1011" s="56" t="n"/>
      <c r="K1011" s="22" t="n"/>
      <c r="L1011" s="22" t="n"/>
      <c r="M1011" s="22" t="n"/>
      <c r="N1011" s="22" t="n"/>
      <c r="O1011" s="22" t="n"/>
      <c r="P1011" s="23" t="n"/>
      <c r="Q1011" s="65" t="n"/>
      <c r="R1011" s="65" t="n"/>
      <c r="S1011" s="55" t="n"/>
      <c r="T1011" s="55" t="n"/>
      <c r="U1011" s="12" t="n"/>
      <c r="V1011" s="12" t="n"/>
      <c r="W1011" s="12" t="n"/>
      <c r="X1011" s="12" t="n"/>
      <c r="Y1011" s="12" t="n"/>
      <c r="Z1011" s="12" t="n"/>
      <c r="AA1011" s="12" t="n"/>
      <c r="AB1011" s="12" t="n"/>
      <c r="AC1011" s="12" t="n"/>
      <c r="AD1011" s="12" t="n"/>
    </row>
    <row r="1012" ht="15.75" customHeight="1" s="211">
      <c r="A1012" s="55" t="n"/>
      <c r="B1012" s="12" t="n"/>
      <c r="C1012" s="55">
        <f>'Sales Candence'!B1012</f>
        <v/>
      </c>
      <c r="D1012" s="71" t="n"/>
      <c r="E1012" s="71" t="n"/>
      <c r="F1012" s="22" t="n"/>
      <c r="G1012" s="22" t="n"/>
      <c r="H1012" s="31" t="n"/>
      <c r="I1012" s="23" t="n"/>
      <c r="J1012" s="56" t="n"/>
      <c r="K1012" s="22" t="n"/>
      <c r="L1012" s="22" t="n"/>
      <c r="M1012" s="22" t="n"/>
      <c r="N1012" s="22" t="n"/>
      <c r="O1012" s="22" t="n"/>
      <c r="P1012" s="23" t="n"/>
      <c r="Q1012" s="65" t="n"/>
      <c r="R1012" s="65" t="n"/>
      <c r="S1012" s="55" t="n"/>
      <c r="T1012" s="55" t="n"/>
      <c r="U1012" s="12" t="n"/>
      <c r="V1012" s="12" t="n"/>
      <c r="W1012" s="12" t="n"/>
      <c r="X1012" s="12" t="n"/>
      <c r="Y1012" s="12" t="n"/>
      <c r="Z1012" s="12" t="n"/>
      <c r="AA1012" s="12" t="n"/>
      <c r="AB1012" s="12" t="n"/>
      <c r="AC1012" s="12" t="n"/>
      <c r="AD1012" s="12" t="n"/>
    </row>
    <row r="1013" ht="15.75" customHeight="1" s="211">
      <c r="A1013" s="55" t="n"/>
      <c r="B1013" s="12" t="n"/>
      <c r="C1013" s="55">
        <f>'Sales Candence'!B1013</f>
        <v/>
      </c>
      <c r="D1013" s="71" t="n"/>
      <c r="E1013" s="71" t="n"/>
      <c r="F1013" s="22" t="n"/>
      <c r="G1013" s="22" t="n"/>
      <c r="H1013" s="31" t="n"/>
      <c r="I1013" s="23" t="n"/>
      <c r="J1013" s="56" t="n"/>
      <c r="K1013" s="22" t="n"/>
      <c r="L1013" s="22" t="n"/>
      <c r="M1013" s="22" t="n"/>
      <c r="N1013" s="22" t="n"/>
      <c r="O1013" s="22" t="n"/>
      <c r="P1013" s="23" t="n"/>
      <c r="Q1013" s="65" t="n"/>
      <c r="R1013" s="65" t="n"/>
      <c r="S1013" s="55" t="n"/>
      <c r="T1013" s="55" t="n"/>
      <c r="U1013" s="12" t="n"/>
      <c r="V1013" s="12" t="n"/>
      <c r="W1013" s="12" t="n"/>
      <c r="X1013" s="12" t="n"/>
      <c r="Y1013" s="12" t="n"/>
      <c r="Z1013" s="12" t="n"/>
      <c r="AA1013" s="12" t="n"/>
      <c r="AB1013" s="12" t="n"/>
      <c r="AC1013" s="12" t="n"/>
      <c r="AD1013" s="12" t="n"/>
    </row>
    <row r="1014" ht="15.75" customHeight="1" s="211">
      <c r="A1014" s="55" t="n"/>
      <c r="B1014" s="12" t="n"/>
      <c r="C1014" s="55">
        <f>'Sales Candence'!B1014</f>
        <v/>
      </c>
      <c r="D1014" s="71" t="n"/>
      <c r="E1014" s="71" t="n"/>
      <c r="F1014" s="22" t="n"/>
      <c r="G1014" s="22" t="n"/>
      <c r="H1014" s="31" t="n"/>
      <c r="I1014" s="23" t="n"/>
      <c r="J1014" s="56" t="n"/>
      <c r="K1014" s="22" t="n"/>
      <c r="L1014" s="22" t="n"/>
      <c r="M1014" s="22" t="n"/>
      <c r="N1014" s="22" t="n"/>
      <c r="O1014" s="22" t="n"/>
      <c r="P1014" s="23" t="n"/>
      <c r="Q1014" s="65" t="n"/>
      <c r="R1014" s="65" t="n"/>
      <c r="S1014" s="55" t="n"/>
      <c r="T1014" s="55" t="n"/>
      <c r="U1014" s="12" t="n"/>
      <c r="V1014" s="12" t="n"/>
      <c r="W1014" s="12" t="n"/>
      <c r="X1014" s="12" t="n"/>
      <c r="Y1014" s="12" t="n"/>
      <c r="Z1014" s="12" t="n"/>
      <c r="AA1014" s="12" t="n"/>
      <c r="AB1014" s="12" t="n"/>
      <c r="AC1014" s="12" t="n"/>
      <c r="AD1014" s="12" t="n"/>
    </row>
    <row r="1015" ht="15.75" customHeight="1" s="211">
      <c r="A1015" s="55" t="n"/>
      <c r="B1015" s="12" t="n"/>
      <c r="C1015" s="55">
        <f>'Sales Candence'!B1015</f>
        <v/>
      </c>
      <c r="D1015" s="71" t="n"/>
      <c r="E1015" s="71" t="n"/>
      <c r="F1015" s="22" t="n"/>
      <c r="G1015" s="22" t="n"/>
      <c r="H1015" s="31" t="n"/>
      <c r="I1015" s="23" t="n"/>
      <c r="J1015" s="56" t="n"/>
      <c r="K1015" s="22" t="n"/>
      <c r="L1015" s="22" t="n"/>
      <c r="M1015" s="22" t="n"/>
      <c r="N1015" s="22" t="n"/>
      <c r="O1015" s="22" t="n"/>
      <c r="P1015" s="23" t="n"/>
      <c r="Q1015" s="65" t="n"/>
      <c r="R1015" s="65" t="n"/>
      <c r="S1015" s="55" t="n"/>
      <c r="T1015" s="55" t="n"/>
      <c r="U1015" s="12" t="n"/>
      <c r="V1015" s="12" t="n"/>
      <c r="W1015" s="12" t="n"/>
      <c r="X1015" s="12" t="n"/>
      <c r="Y1015" s="12" t="n"/>
      <c r="Z1015" s="12" t="n"/>
      <c r="AA1015" s="12" t="n"/>
      <c r="AB1015" s="12" t="n"/>
      <c r="AC1015" s="12" t="n"/>
      <c r="AD1015" s="12" t="n"/>
    </row>
    <row r="1016" ht="15.75" customHeight="1" s="211">
      <c r="A1016" s="55" t="n"/>
      <c r="B1016" s="12" t="n"/>
      <c r="C1016" s="55">
        <f>'Sales Candence'!B1016</f>
        <v/>
      </c>
      <c r="D1016" s="71" t="n"/>
      <c r="E1016" s="71" t="n"/>
      <c r="F1016" s="22" t="n"/>
      <c r="G1016" s="22" t="n"/>
      <c r="H1016" s="31" t="n"/>
      <c r="I1016" s="23" t="n"/>
      <c r="J1016" s="56" t="n"/>
      <c r="K1016" s="22" t="n"/>
      <c r="L1016" s="22" t="n"/>
      <c r="M1016" s="22" t="n"/>
      <c r="N1016" s="22" t="n"/>
      <c r="O1016" s="22" t="n"/>
      <c r="P1016" s="23" t="n"/>
      <c r="Q1016" s="65" t="n"/>
      <c r="R1016" s="65" t="n"/>
      <c r="S1016" s="55" t="n"/>
      <c r="T1016" s="55" t="n"/>
      <c r="U1016" s="12" t="n"/>
      <c r="V1016" s="12" t="n"/>
      <c r="W1016" s="12" t="n"/>
      <c r="X1016" s="12" t="n"/>
      <c r="Y1016" s="12" t="n"/>
      <c r="Z1016" s="12" t="n"/>
      <c r="AA1016" s="12" t="n"/>
      <c r="AB1016" s="12" t="n"/>
      <c r="AC1016" s="12" t="n"/>
      <c r="AD1016" s="12" t="n"/>
    </row>
    <row r="1017" ht="15.75" customHeight="1" s="211">
      <c r="A1017" s="55" t="n"/>
      <c r="B1017" s="12" t="n"/>
      <c r="C1017" s="55">
        <f>'Sales Candence'!B1017</f>
        <v/>
      </c>
      <c r="D1017" s="71" t="n"/>
      <c r="E1017" s="71" t="n"/>
      <c r="F1017" s="22" t="n"/>
      <c r="G1017" s="22" t="n"/>
      <c r="H1017" s="31" t="n"/>
      <c r="I1017" s="23" t="n"/>
      <c r="J1017" s="56" t="n"/>
      <c r="K1017" s="22" t="n"/>
      <c r="L1017" s="22" t="n"/>
      <c r="M1017" s="22" t="n"/>
      <c r="N1017" s="22" t="n"/>
      <c r="O1017" s="22" t="n"/>
      <c r="P1017" s="23" t="n"/>
      <c r="Q1017" s="65" t="n"/>
      <c r="R1017" s="65" t="n"/>
      <c r="S1017" s="55" t="n"/>
      <c r="T1017" s="55" t="n"/>
      <c r="U1017" s="12" t="n"/>
      <c r="V1017" s="12" t="n"/>
      <c r="W1017" s="12" t="n"/>
      <c r="X1017" s="12" t="n"/>
      <c r="Y1017" s="12" t="n"/>
      <c r="Z1017" s="12" t="n"/>
      <c r="AA1017" s="12" t="n"/>
      <c r="AB1017" s="12" t="n"/>
      <c r="AC1017" s="12" t="n"/>
      <c r="AD1017" s="12" t="n"/>
    </row>
    <row r="1018" ht="15.75" customHeight="1" s="211">
      <c r="A1018" s="55" t="n"/>
      <c r="B1018" s="12" t="n"/>
      <c r="C1018" s="55">
        <f>'Sales Candence'!B1018</f>
        <v/>
      </c>
      <c r="D1018" s="71" t="n"/>
      <c r="E1018" s="71" t="n"/>
      <c r="F1018" s="22" t="n"/>
      <c r="G1018" s="22" t="n"/>
      <c r="H1018" s="31" t="n"/>
      <c r="I1018" s="23" t="n"/>
      <c r="J1018" s="56" t="n"/>
      <c r="K1018" s="22" t="n"/>
      <c r="L1018" s="22" t="n"/>
      <c r="M1018" s="22" t="n"/>
      <c r="N1018" s="22" t="n"/>
      <c r="O1018" s="22" t="n"/>
      <c r="P1018" s="23" t="n"/>
      <c r="Q1018" s="65" t="n"/>
      <c r="R1018" s="65" t="n"/>
      <c r="S1018" s="55" t="n"/>
      <c r="T1018" s="55" t="n"/>
      <c r="U1018" s="12" t="n"/>
      <c r="V1018" s="12" t="n"/>
      <c r="W1018" s="12" t="n"/>
      <c r="X1018" s="12" t="n"/>
      <c r="Y1018" s="12" t="n"/>
      <c r="Z1018" s="12" t="n"/>
      <c r="AA1018" s="12" t="n"/>
      <c r="AB1018" s="12" t="n"/>
      <c r="AC1018" s="12" t="n"/>
      <c r="AD1018" s="12" t="n"/>
    </row>
    <row r="1019" ht="15.75" customHeight="1" s="211">
      <c r="A1019" s="55" t="n"/>
      <c r="B1019" s="12" t="n"/>
      <c r="C1019" s="55">
        <f>'Sales Candence'!B1019</f>
        <v/>
      </c>
      <c r="D1019" s="71" t="n"/>
      <c r="E1019" s="71" t="n"/>
      <c r="F1019" s="22" t="n"/>
      <c r="G1019" s="22" t="n"/>
      <c r="H1019" s="31" t="n"/>
      <c r="I1019" s="23" t="n"/>
      <c r="J1019" s="56" t="n"/>
      <c r="K1019" s="22" t="n"/>
      <c r="L1019" s="22" t="n"/>
      <c r="M1019" s="22" t="n"/>
      <c r="N1019" s="22" t="n"/>
      <c r="O1019" s="22" t="n"/>
      <c r="P1019" s="23" t="n"/>
      <c r="Q1019" s="65" t="n"/>
      <c r="R1019" s="65" t="n"/>
      <c r="S1019" s="55" t="n"/>
      <c r="T1019" s="55" t="n"/>
      <c r="U1019" s="12" t="n"/>
      <c r="V1019" s="12" t="n"/>
      <c r="W1019" s="12" t="n"/>
      <c r="X1019" s="12" t="n"/>
      <c r="Y1019" s="12" t="n"/>
      <c r="Z1019" s="12" t="n"/>
      <c r="AA1019" s="12" t="n"/>
      <c r="AB1019" s="12" t="n"/>
      <c r="AC1019" s="12" t="n"/>
      <c r="AD1019" s="12" t="n"/>
    </row>
    <row r="1020" ht="15.75" customHeight="1" s="211">
      <c r="A1020" s="55" t="n"/>
      <c r="B1020" s="12" t="n"/>
      <c r="C1020" s="55">
        <f>'Sales Candence'!B1020</f>
        <v/>
      </c>
      <c r="D1020" s="71" t="n"/>
      <c r="E1020" s="71" t="n"/>
      <c r="F1020" s="22" t="n"/>
      <c r="G1020" s="22" t="n"/>
      <c r="H1020" s="31" t="n"/>
      <c r="I1020" s="23" t="n"/>
      <c r="J1020" s="56" t="n"/>
      <c r="K1020" s="22" t="n"/>
      <c r="L1020" s="22" t="n"/>
      <c r="M1020" s="22" t="n"/>
      <c r="N1020" s="22" t="n"/>
      <c r="O1020" s="22" t="n"/>
      <c r="P1020" s="23" t="n"/>
      <c r="Q1020" s="65" t="n"/>
      <c r="R1020" s="65" t="n"/>
      <c r="S1020" s="55" t="n"/>
      <c r="T1020" s="55" t="n"/>
      <c r="U1020" s="12" t="n"/>
      <c r="V1020" s="12" t="n"/>
      <c r="W1020" s="12" t="n"/>
      <c r="X1020" s="12" t="n"/>
      <c r="Y1020" s="12" t="n"/>
      <c r="Z1020" s="12" t="n"/>
      <c r="AA1020" s="12" t="n"/>
      <c r="AB1020" s="12" t="n"/>
      <c r="AC1020" s="12" t="n"/>
      <c r="AD1020" s="12" t="n"/>
    </row>
    <row r="1021" ht="15.75" customHeight="1" s="211">
      <c r="A1021" s="55" t="n"/>
      <c r="B1021" s="12" t="n"/>
      <c r="C1021" s="55">
        <f>'Sales Candence'!B1021</f>
        <v/>
      </c>
      <c r="D1021" s="71" t="n"/>
      <c r="E1021" s="71" t="n"/>
      <c r="F1021" s="22" t="n"/>
      <c r="G1021" s="22" t="n"/>
      <c r="H1021" s="31" t="n"/>
      <c r="I1021" s="23" t="n"/>
      <c r="J1021" s="56" t="n"/>
      <c r="K1021" s="22" t="n"/>
      <c r="L1021" s="22" t="n"/>
      <c r="M1021" s="22" t="n"/>
      <c r="N1021" s="22" t="n"/>
      <c r="O1021" s="22" t="n"/>
      <c r="P1021" s="23" t="n"/>
      <c r="Q1021" s="65" t="n"/>
      <c r="R1021" s="65" t="n"/>
      <c r="S1021" s="55" t="n"/>
      <c r="T1021" s="55" t="n"/>
      <c r="U1021" s="12" t="n"/>
      <c r="V1021" s="12" t="n"/>
      <c r="W1021" s="12" t="n"/>
      <c r="X1021" s="12" t="n"/>
      <c r="Y1021" s="12" t="n"/>
      <c r="Z1021" s="12" t="n"/>
      <c r="AA1021" s="12" t="n"/>
      <c r="AB1021" s="12" t="n"/>
      <c r="AC1021" s="12" t="n"/>
      <c r="AD1021" s="12" t="n"/>
    </row>
    <row r="1022" ht="15.75" customHeight="1" s="211">
      <c r="A1022" s="55" t="n"/>
      <c r="B1022" s="12" t="n"/>
      <c r="C1022" s="55">
        <f>'Sales Candence'!B1022</f>
        <v/>
      </c>
      <c r="D1022" s="71" t="n"/>
      <c r="E1022" s="71" t="n"/>
      <c r="F1022" s="22" t="n"/>
      <c r="G1022" s="22" t="n"/>
      <c r="H1022" s="31" t="n"/>
      <c r="I1022" s="23" t="n"/>
      <c r="J1022" s="56" t="n"/>
      <c r="K1022" s="22" t="n"/>
      <c r="L1022" s="22" t="n"/>
      <c r="M1022" s="22" t="n"/>
      <c r="N1022" s="22" t="n"/>
      <c r="O1022" s="22" t="n"/>
      <c r="P1022" s="23" t="n"/>
      <c r="Q1022" s="65" t="n"/>
      <c r="R1022" s="65" t="n"/>
      <c r="S1022" s="55" t="n"/>
      <c r="T1022" s="55" t="n"/>
      <c r="U1022" s="12" t="n"/>
      <c r="V1022" s="12" t="n"/>
      <c r="W1022" s="12" t="n"/>
      <c r="X1022" s="12" t="n"/>
      <c r="Y1022" s="12" t="n"/>
      <c r="Z1022" s="12" t="n"/>
      <c r="AA1022" s="12" t="n"/>
      <c r="AB1022" s="12" t="n"/>
      <c r="AC1022" s="12" t="n"/>
      <c r="AD1022" s="12" t="n"/>
    </row>
    <row r="1023" ht="15.75" customHeight="1" s="211">
      <c r="A1023" s="55" t="n"/>
      <c r="B1023" s="12" t="n"/>
      <c r="C1023" s="55">
        <f>'Sales Candence'!B1023</f>
        <v/>
      </c>
      <c r="D1023" s="71" t="n"/>
      <c r="E1023" s="71" t="n"/>
      <c r="F1023" s="22" t="n"/>
      <c r="G1023" s="22" t="n"/>
      <c r="H1023" s="31" t="n"/>
      <c r="I1023" s="23" t="n"/>
      <c r="J1023" s="56" t="n"/>
      <c r="K1023" s="22" t="n"/>
      <c r="L1023" s="22" t="n"/>
      <c r="M1023" s="22" t="n"/>
      <c r="N1023" s="22" t="n"/>
      <c r="O1023" s="22" t="n"/>
      <c r="P1023" s="23" t="n"/>
      <c r="Q1023" s="65" t="n"/>
      <c r="R1023" s="65" t="n"/>
      <c r="S1023" s="55" t="n"/>
      <c r="T1023" s="55" t="n"/>
      <c r="U1023" s="12" t="n"/>
      <c r="V1023" s="12" t="n"/>
      <c r="W1023" s="12" t="n"/>
      <c r="X1023" s="12" t="n"/>
      <c r="Y1023" s="12" t="n"/>
      <c r="Z1023" s="12" t="n"/>
      <c r="AA1023" s="12" t="n"/>
      <c r="AB1023" s="12" t="n"/>
      <c r="AC1023" s="12" t="n"/>
      <c r="AD1023" s="12" t="n"/>
    </row>
    <row r="1024" ht="15.75" customHeight="1" s="211">
      <c r="A1024" s="55" t="n"/>
      <c r="B1024" s="12" t="n"/>
      <c r="C1024" s="55">
        <f>'Sales Candence'!B1024</f>
        <v/>
      </c>
      <c r="D1024" s="71" t="n"/>
      <c r="E1024" s="71" t="n"/>
      <c r="F1024" s="22" t="n"/>
      <c r="G1024" s="22" t="n"/>
      <c r="H1024" s="31" t="n"/>
      <c r="I1024" s="23" t="n"/>
      <c r="J1024" s="56" t="n"/>
      <c r="K1024" s="22" t="n"/>
      <c r="L1024" s="22" t="n"/>
      <c r="M1024" s="22" t="n"/>
      <c r="N1024" s="22" t="n"/>
      <c r="O1024" s="22" t="n"/>
      <c r="P1024" s="23" t="n"/>
      <c r="Q1024" s="65" t="n"/>
      <c r="R1024" s="65" t="n"/>
      <c r="S1024" s="55" t="n"/>
      <c r="T1024" s="55" t="n"/>
      <c r="U1024" s="12" t="n"/>
      <c r="V1024" s="12" t="n"/>
      <c r="W1024" s="12" t="n"/>
      <c r="X1024" s="12" t="n"/>
      <c r="Y1024" s="12" t="n"/>
      <c r="Z1024" s="12" t="n"/>
      <c r="AA1024" s="12" t="n"/>
      <c r="AB1024" s="12" t="n"/>
      <c r="AC1024" s="12" t="n"/>
      <c r="AD1024" s="12" t="n"/>
    </row>
    <row r="1025" ht="15.75" customHeight="1" s="211">
      <c r="A1025" s="55" t="n"/>
      <c r="B1025" s="12" t="n"/>
      <c r="C1025" s="55">
        <f>'Sales Candence'!B1025</f>
        <v/>
      </c>
      <c r="D1025" s="71" t="n"/>
      <c r="E1025" s="71" t="n"/>
      <c r="F1025" s="22" t="n"/>
      <c r="G1025" s="22" t="n"/>
      <c r="H1025" s="31" t="n"/>
      <c r="I1025" s="23" t="n"/>
      <c r="J1025" s="56" t="n"/>
      <c r="K1025" s="22" t="n"/>
      <c r="L1025" s="22" t="n"/>
      <c r="M1025" s="22" t="n"/>
      <c r="N1025" s="22" t="n"/>
      <c r="O1025" s="22" t="n"/>
      <c r="P1025" s="23" t="n"/>
      <c r="Q1025" s="65" t="n"/>
      <c r="R1025" s="65" t="n"/>
      <c r="S1025" s="55" t="n"/>
      <c r="T1025" s="55" t="n"/>
      <c r="U1025" s="12" t="n"/>
      <c r="V1025" s="12" t="n"/>
      <c r="W1025" s="12" t="n"/>
      <c r="X1025" s="12" t="n"/>
      <c r="Y1025" s="12" t="n"/>
      <c r="Z1025" s="12" t="n"/>
      <c r="AA1025" s="12" t="n"/>
      <c r="AB1025" s="12" t="n"/>
      <c r="AC1025" s="12" t="n"/>
      <c r="AD1025" s="12" t="n"/>
    </row>
    <row r="1026" ht="15.75" customHeight="1" s="211">
      <c r="A1026" s="55" t="n"/>
      <c r="B1026" s="12" t="n"/>
      <c r="C1026" s="55">
        <f>'Sales Candence'!B1026</f>
        <v/>
      </c>
      <c r="D1026" s="71" t="n"/>
      <c r="E1026" s="71" t="n"/>
      <c r="F1026" s="22" t="n"/>
      <c r="G1026" s="22" t="n"/>
      <c r="H1026" s="31" t="n"/>
      <c r="I1026" s="23" t="n"/>
      <c r="J1026" s="56" t="n"/>
      <c r="K1026" s="22" t="n"/>
      <c r="L1026" s="22" t="n"/>
      <c r="M1026" s="22" t="n"/>
      <c r="N1026" s="22" t="n"/>
      <c r="O1026" s="22" t="n"/>
      <c r="P1026" s="23" t="n"/>
      <c r="Q1026" s="65" t="n"/>
      <c r="R1026" s="65" t="n"/>
      <c r="S1026" s="55" t="n"/>
      <c r="T1026" s="55" t="n"/>
      <c r="U1026" s="12" t="n"/>
      <c r="V1026" s="12" t="n"/>
      <c r="W1026" s="12" t="n"/>
      <c r="X1026" s="12" t="n"/>
      <c r="Y1026" s="12" t="n"/>
      <c r="Z1026" s="12" t="n"/>
      <c r="AA1026" s="12" t="n"/>
      <c r="AB1026" s="12" t="n"/>
      <c r="AC1026" s="12" t="n"/>
      <c r="AD1026" s="12" t="n"/>
    </row>
    <row r="1027" ht="15.75" customHeight="1" s="211">
      <c r="A1027" s="55" t="n"/>
      <c r="B1027" s="12" t="n"/>
      <c r="C1027" s="55">
        <f>'Sales Candence'!B1027</f>
        <v/>
      </c>
      <c r="D1027" s="71" t="n"/>
      <c r="E1027" s="71" t="n"/>
      <c r="F1027" s="22" t="n"/>
      <c r="G1027" s="22" t="n"/>
      <c r="H1027" s="31" t="n"/>
      <c r="I1027" s="23" t="n"/>
      <c r="J1027" s="56" t="n"/>
      <c r="K1027" s="22" t="n"/>
      <c r="L1027" s="22" t="n"/>
      <c r="M1027" s="22" t="n"/>
      <c r="N1027" s="22" t="n"/>
      <c r="O1027" s="22" t="n"/>
      <c r="P1027" s="23" t="n"/>
      <c r="Q1027" s="65" t="n"/>
      <c r="R1027" s="65" t="n"/>
      <c r="S1027" s="55" t="n"/>
      <c r="T1027" s="55" t="n"/>
      <c r="U1027" s="12" t="n"/>
      <c r="V1027" s="12" t="n"/>
      <c r="W1027" s="12" t="n"/>
      <c r="X1027" s="12" t="n"/>
      <c r="Y1027" s="12" t="n"/>
      <c r="Z1027" s="12" t="n"/>
      <c r="AA1027" s="12" t="n"/>
      <c r="AB1027" s="12" t="n"/>
      <c r="AC1027" s="12" t="n"/>
      <c r="AD1027" s="12" t="n"/>
    </row>
    <row r="1028" ht="15.75" customHeight="1" s="211">
      <c r="A1028" s="55" t="n"/>
      <c r="B1028" s="12" t="n"/>
      <c r="C1028" s="55">
        <f>'Sales Candence'!B1028</f>
        <v/>
      </c>
      <c r="D1028" s="71" t="n"/>
      <c r="E1028" s="71" t="n"/>
      <c r="F1028" s="22" t="n"/>
      <c r="G1028" s="22" t="n"/>
      <c r="H1028" s="31" t="n"/>
      <c r="I1028" s="23" t="n"/>
      <c r="J1028" s="56" t="n"/>
      <c r="K1028" s="22" t="n"/>
      <c r="L1028" s="22" t="n"/>
      <c r="M1028" s="22" t="n"/>
      <c r="N1028" s="22" t="n"/>
      <c r="O1028" s="22" t="n"/>
      <c r="P1028" s="23" t="n"/>
      <c r="Q1028" s="65" t="n"/>
      <c r="R1028" s="65" t="n"/>
      <c r="S1028" s="55" t="n"/>
      <c r="T1028" s="55" t="n"/>
      <c r="U1028" s="12" t="n"/>
      <c r="V1028" s="12" t="n"/>
      <c r="W1028" s="12" t="n"/>
      <c r="X1028" s="12" t="n"/>
      <c r="Y1028" s="12" t="n"/>
      <c r="Z1028" s="12" t="n"/>
      <c r="AA1028" s="12" t="n"/>
      <c r="AB1028" s="12" t="n"/>
      <c r="AC1028" s="12" t="n"/>
      <c r="AD1028" s="12" t="n"/>
    </row>
    <row r="1029" ht="15.75" customHeight="1" s="211">
      <c r="A1029" s="55" t="n"/>
      <c r="B1029" s="12" t="n"/>
      <c r="C1029" s="55">
        <f>'Sales Candence'!B1029</f>
        <v/>
      </c>
      <c r="D1029" s="71" t="n"/>
      <c r="E1029" s="71" t="n"/>
      <c r="F1029" s="22" t="n"/>
      <c r="G1029" s="22" t="n"/>
      <c r="H1029" s="31" t="n"/>
      <c r="I1029" s="23" t="n"/>
      <c r="J1029" s="56" t="n"/>
      <c r="K1029" s="22" t="n"/>
      <c r="L1029" s="22" t="n"/>
      <c r="M1029" s="22" t="n"/>
      <c r="N1029" s="22" t="n"/>
      <c r="O1029" s="22" t="n"/>
      <c r="P1029" s="23" t="n"/>
      <c r="Q1029" s="65" t="n"/>
      <c r="R1029" s="65" t="n"/>
      <c r="S1029" s="55" t="n"/>
      <c r="T1029" s="55" t="n"/>
      <c r="U1029" s="12" t="n"/>
      <c r="V1029" s="12" t="n"/>
      <c r="W1029" s="12" t="n"/>
      <c r="X1029" s="12" t="n"/>
      <c r="Y1029" s="12" t="n"/>
      <c r="Z1029" s="12" t="n"/>
      <c r="AA1029" s="12" t="n"/>
      <c r="AB1029" s="12" t="n"/>
      <c r="AC1029" s="12" t="n"/>
      <c r="AD1029" s="12" t="n"/>
    </row>
    <row r="1030" ht="15.75" customHeight="1" s="211">
      <c r="A1030" s="55" t="n"/>
      <c r="B1030" s="12" t="n"/>
      <c r="C1030" s="55">
        <f>'Sales Candence'!B1030</f>
        <v/>
      </c>
      <c r="D1030" s="71" t="n"/>
      <c r="E1030" s="71" t="n"/>
      <c r="F1030" s="22" t="n"/>
      <c r="G1030" s="22" t="n"/>
      <c r="H1030" s="31" t="n"/>
      <c r="I1030" s="23" t="n"/>
      <c r="J1030" s="56" t="n"/>
      <c r="K1030" s="22" t="n"/>
      <c r="L1030" s="22" t="n"/>
      <c r="M1030" s="22" t="n"/>
      <c r="N1030" s="22" t="n"/>
      <c r="O1030" s="22" t="n"/>
      <c r="P1030" s="23" t="n"/>
      <c r="Q1030" s="65" t="n"/>
      <c r="R1030" s="65" t="n"/>
      <c r="S1030" s="55" t="n"/>
      <c r="T1030" s="55" t="n"/>
      <c r="U1030" s="12" t="n"/>
      <c r="V1030" s="12" t="n"/>
      <c r="W1030" s="12" t="n"/>
      <c r="X1030" s="12" t="n"/>
      <c r="Y1030" s="12" t="n"/>
      <c r="Z1030" s="12" t="n"/>
      <c r="AA1030" s="12" t="n"/>
      <c r="AB1030" s="12" t="n"/>
      <c r="AC1030" s="12" t="n"/>
      <c r="AD1030" s="12" t="n"/>
    </row>
    <row r="1031" ht="15.75" customHeight="1" s="211">
      <c r="A1031" s="55" t="n"/>
      <c r="B1031" s="12" t="n"/>
      <c r="C1031" s="55">
        <f>'Sales Candence'!B1031</f>
        <v/>
      </c>
      <c r="D1031" s="71" t="n"/>
      <c r="E1031" s="71" t="n"/>
      <c r="F1031" s="22" t="n"/>
      <c r="G1031" s="22" t="n"/>
      <c r="H1031" s="31" t="n"/>
      <c r="I1031" s="23" t="n"/>
      <c r="J1031" s="56" t="n"/>
      <c r="K1031" s="22" t="n"/>
      <c r="L1031" s="22" t="n"/>
      <c r="M1031" s="22" t="n"/>
      <c r="N1031" s="22" t="n"/>
      <c r="O1031" s="22" t="n"/>
      <c r="P1031" s="23" t="n"/>
      <c r="Q1031" s="65" t="n"/>
      <c r="R1031" s="65" t="n"/>
      <c r="S1031" s="55" t="n"/>
      <c r="T1031" s="55" t="n"/>
      <c r="U1031" s="12" t="n"/>
      <c r="V1031" s="12" t="n"/>
      <c r="W1031" s="12" t="n"/>
      <c r="X1031" s="12" t="n"/>
      <c r="Y1031" s="12" t="n"/>
      <c r="Z1031" s="12" t="n"/>
      <c r="AA1031" s="12" t="n"/>
      <c r="AB1031" s="12" t="n"/>
      <c r="AC1031" s="12" t="n"/>
      <c r="AD1031" s="12" t="n"/>
    </row>
    <row r="1032" ht="15.75" customHeight="1" s="211">
      <c r="A1032" s="55" t="n"/>
      <c r="B1032" s="12" t="n"/>
      <c r="C1032" s="55">
        <f>'Sales Candence'!B1032</f>
        <v/>
      </c>
      <c r="D1032" s="71" t="n"/>
      <c r="E1032" s="71" t="n"/>
      <c r="F1032" s="22" t="n"/>
      <c r="G1032" s="22" t="n"/>
      <c r="H1032" s="31" t="n"/>
      <c r="I1032" s="23" t="n"/>
      <c r="J1032" s="56" t="n"/>
      <c r="K1032" s="22" t="n"/>
      <c r="L1032" s="22" t="n"/>
      <c r="M1032" s="22" t="n"/>
      <c r="N1032" s="22" t="n"/>
      <c r="O1032" s="22" t="n"/>
      <c r="P1032" s="23" t="n"/>
      <c r="Q1032" s="65" t="n"/>
      <c r="R1032" s="65" t="n"/>
      <c r="S1032" s="55" t="n"/>
      <c r="T1032" s="55" t="n"/>
      <c r="U1032" s="12" t="n"/>
      <c r="V1032" s="12" t="n"/>
      <c r="W1032" s="12" t="n"/>
      <c r="X1032" s="12" t="n"/>
      <c r="Y1032" s="12" t="n"/>
      <c r="Z1032" s="12" t="n"/>
      <c r="AA1032" s="12" t="n"/>
      <c r="AB1032" s="12" t="n"/>
      <c r="AC1032" s="12" t="n"/>
      <c r="AD1032" s="12" t="n"/>
    </row>
    <row r="1033" ht="15.75" customHeight="1" s="211">
      <c r="A1033" s="55" t="n"/>
      <c r="B1033" s="12" t="n"/>
      <c r="C1033" s="55">
        <f>'Sales Candence'!B1033</f>
        <v/>
      </c>
      <c r="D1033" s="71" t="n"/>
      <c r="E1033" s="71" t="n"/>
      <c r="F1033" s="22" t="n"/>
      <c r="G1033" s="22" t="n"/>
      <c r="H1033" s="31" t="n"/>
      <c r="I1033" s="23" t="n"/>
      <c r="J1033" s="56" t="n"/>
      <c r="K1033" s="22" t="n"/>
      <c r="L1033" s="22" t="n"/>
      <c r="M1033" s="22" t="n"/>
      <c r="N1033" s="22" t="n"/>
      <c r="O1033" s="22" t="n"/>
      <c r="P1033" s="23" t="n"/>
      <c r="Q1033" s="65" t="n"/>
      <c r="R1033" s="65" t="n"/>
      <c r="S1033" s="55" t="n"/>
      <c r="T1033" s="55" t="n"/>
      <c r="U1033" s="12" t="n"/>
      <c r="V1033" s="12" t="n"/>
      <c r="W1033" s="12" t="n"/>
      <c r="X1033" s="12" t="n"/>
      <c r="Y1033" s="12" t="n"/>
      <c r="Z1033" s="12" t="n"/>
      <c r="AA1033" s="12" t="n"/>
      <c r="AB1033" s="12" t="n"/>
      <c r="AC1033" s="12" t="n"/>
      <c r="AD1033" s="12" t="n"/>
    </row>
    <row r="1034" ht="15.75" customHeight="1" s="211">
      <c r="A1034" s="55" t="n"/>
      <c r="B1034" s="12" t="n"/>
      <c r="C1034" s="55">
        <f>'Sales Candence'!B1034</f>
        <v/>
      </c>
      <c r="D1034" s="71" t="n"/>
      <c r="E1034" s="71" t="n"/>
      <c r="F1034" s="22" t="n"/>
      <c r="G1034" s="22" t="n"/>
      <c r="H1034" s="31" t="n"/>
      <c r="I1034" s="23" t="n"/>
      <c r="J1034" s="56" t="n"/>
      <c r="K1034" s="22" t="n"/>
      <c r="L1034" s="22" t="n"/>
      <c r="M1034" s="22" t="n"/>
      <c r="N1034" s="22" t="n"/>
      <c r="O1034" s="22" t="n"/>
      <c r="P1034" s="23" t="n"/>
      <c r="Q1034" s="65" t="n"/>
      <c r="R1034" s="65" t="n"/>
      <c r="S1034" s="55" t="n"/>
      <c r="T1034" s="55" t="n"/>
      <c r="U1034" s="12" t="n"/>
      <c r="V1034" s="12" t="n"/>
      <c r="W1034" s="12" t="n"/>
      <c r="X1034" s="12" t="n"/>
      <c r="Y1034" s="12" t="n"/>
      <c r="Z1034" s="12" t="n"/>
      <c r="AA1034" s="12" t="n"/>
      <c r="AB1034" s="12" t="n"/>
      <c r="AC1034" s="12" t="n"/>
      <c r="AD1034" s="12" t="n"/>
    </row>
    <row r="1035" ht="15.75" customHeight="1" s="211">
      <c r="A1035" s="55" t="n"/>
      <c r="B1035" s="12" t="n"/>
      <c r="C1035" s="55">
        <f>'Sales Candence'!B1035</f>
        <v/>
      </c>
      <c r="D1035" s="71" t="n"/>
      <c r="E1035" s="71" t="n"/>
      <c r="F1035" s="22" t="n"/>
      <c r="G1035" s="22" t="n"/>
      <c r="H1035" s="31" t="n"/>
      <c r="I1035" s="23" t="n"/>
      <c r="J1035" s="56" t="n"/>
      <c r="K1035" s="22" t="n"/>
      <c r="L1035" s="22" t="n"/>
      <c r="M1035" s="22" t="n"/>
      <c r="N1035" s="22" t="n"/>
      <c r="O1035" s="22" t="n"/>
      <c r="P1035" s="23" t="n"/>
      <c r="Q1035" s="65" t="n"/>
      <c r="R1035" s="65" t="n"/>
      <c r="S1035" s="55" t="n"/>
      <c r="T1035" s="55" t="n"/>
      <c r="U1035" s="12" t="n"/>
      <c r="V1035" s="12" t="n"/>
      <c r="W1035" s="12" t="n"/>
      <c r="X1035" s="12" t="n"/>
      <c r="Y1035" s="12" t="n"/>
      <c r="Z1035" s="12" t="n"/>
      <c r="AA1035" s="12" t="n"/>
      <c r="AB1035" s="12" t="n"/>
      <c r="AC1035" s="12" t="n"/>
      <c r="AD1035" s="12" t="n"/>
    </row>
    <row r="1036" ht="15.75" customHeight="1" s="211">
      <c r="A1036" s="55" t="n"/>
      <c r="B1036" s="12" t="n"/>
      <c r="C1036" s="55">
        <f>'Sales Candence'!B1036</f>
        <v/>
      </c>
      <c r="D1036" s="71" t="n"/>
      <c r="E1036" s="71" t="n"/>
      <c r="F1036" s="22" t="n"/>
      <c r="G1036" s="22" t="n"/>
      <c r="H1036" s="31" t="n"/>
      <c r="I1036" s="23" t="n"/>
      <c r="J1036" s="56" t="n"/>
      <c r="K1036" s="22" t="n"/>
      <c r="L1036" s="22" t="n"/>
      <c r="M1036" s="22" t="n"/>
      <c r="N1036" s="22" t="n"/>
      <c r="O1036" s="22" t="n"/>
      <c r="P1036" s="23" t="n"/>
      <c r="Q1036" s="65" t="n"/>
      <c r="R1036" s="65" t="n"/>
      <c r="S1036" s="55" t="n"/>
      <c r="T1036" s="55" t="n"/>
      <c r="U1036" s="12" t="n"/>
      <c r="V1036" s="12" t="n"/>
      <c r="W1036" s="12" t="n"/>
      <c r="X1036" s="12" t="n"/>
      <c r="Y1036" s="12" t="n"/>
      <c r="Z1036" s="12" t="n"/>
      <c r="AA1036" s="12" t="n"/>
      <c r="AB1036" s="12" t="n"/>
      <c r="AC1036" s="12" t="n"/>
      <c r="AD1036" s="12" t="n"/>
    </row>
    <row r="1037" ht="15.75" customHeight="1" s="211">
      <c r="A1037" s="55" t="n"/>
      <c r="B1037" s="12" t="n"/>
      <c r="C1037" s="55">
        <f>'Sales Candence'!B1037</f>
        <v/>
      </c>
      <c r="D1037" s="71" t="n"/>
      <c r="E1037" s="71" t="n"/>
      <c r="F1037" s="22" t="n"/>
      <c r="G1037" s="22" t="n"/>
      <c r="H1037" s="31" t="n"/>
      <c r="I1037" s="23" t="n"/>
      <c r="J1037" s="56" t="n"/>
      <c r="K1037" s="22" t="n"/>
      <c r="L1037" s="22" t="n"/>
      <c r="M1037" s="22" t="n"/>
      <c r="N1037" s="22" t="n"/>
      <c r="O1037" s="22" t="n"/>
      <c r="P1037" s="23" t="n"/>
      <c r="Q1037" s="65" t="n"/>
      <c r="R1037" s="65" t="n"/>
      <c r="S1037" s="55" t="n"/>
      <c r="T1037" s="55" t="n"/>
      <c r="U1037" s="12" t="n"/>
      <c r="V1037" s="12" t="n"/>
      <c r="W1037" s="12" t="n"/>
      <c r="X1037" s="12" t="n"/>
      <c r="Y1037" s="12" t="n"/>
      <c r="Z1037" s="12" t="n"/>
      <c r="AA1037" s="12" t="n"/>
      <c r="AB1037" s="12" t="n"/>
      <c r="AC1037" s="12" t="n"/>
      <c r="AD1037" s="12" t="n"/>
    </row>
    <row r="1038" ht="15.75" customHeight="1" s="211">
      <c r="A1038" s="55" t="n"/>
      <c r="B1038" s="12" t="n"/>
      <c r="C1038" s="55">
        <f>'Sales Candence'!B1038</f>
        <v/>
      </c>
      <c r="D1038" s="71" t="n"/>
      <c r="E1038" s="71" t="n"/>
      <c r="F1038" s="22" t="n"/>
      <c r="G1038" s="22" t="n"/>
      <c r="H1038" s="31" t="n"/>
      <c r="I1038" s="23" t="n"/>
      <c r="J1038" s="56" t="n"/>
      <c r="K1038" s="22" t="n"/>
      <c r="L1038" s="22" t="n"/>
      <c r="M1038" s="22" t="n"/>
      <c r="N1038" s="22" t="n"/>
      <c r="O1038" s="22" t="n"/>
      <c r="P1038" s="23" t="n"/>
      <c r="Q1038" s="65" t="n"/>
      <c r="R1038" s="65" t="n"/>
      <c r="S1038" s="55" t="n"/>
      <c r="T1038" s="55" t="n"/>
      <c r="U1038" s="12" t="n"/>
      <c r="V1038" s="12" t="n"/>
      <c r="W1038" s="12" t="n"/>
      <c r="X1038" s="12" t="n"/>
      <c r="Y1038" s="12" t="n"/>
      <c r="Z1038" s="12" t="n"/>
      <c r="AA1038" s="12" t="n"/>
      <c r="AB1038" s="12" t="n"/>
      <c r="AC1038" s="12" t="n"/>
      <c r="AD1038" s="12" t="n"/>
    </row>
    <row r="1039" ht="15.75" customHeight="1" s="211">
      <c r="A1039" s="55" t="n"/>
      <c r="B1039" s="12" t="n"/>
      <c r="C1039" s="55">
        <f>'Sales Candence'!B1039</f>
        <v/>
      </c>
      <c r="D1039" s="71" t="n"/>
      <c r="E1039" s="71" t="n"/>
      <c r="F1039" s="22" t="n"/>
      <c r="G1039" s="22" t="n"/>
      <c r="H1039" s="31" t="n"/>
      <c r="I1039" s="23" t="n"/>
      <c r="J1039" s="56" t="n"/>
      <c r="K1039" s="22" t="n"/>
      <c r="L1039" s="22" t="n"/>
      <c r="M1039" s="22" t="n"/>
      <c r="N1039" s="22" t="n"/>
      <c r="O1039" s="22" t="n"/>
      <c r="P1039" s="23" t="n"/>
      <c r="Q1039" s="65" t="n"/>
      <c r="R1039" s="65" t="n"/>
      <c r="S1039" s="55" t="n"/>
      <c r="T1039" s="55" t="n"/>
      <c r="U1039" s="12" t="n"/>
      <c r="V1039" s="12" t="n"/>
      <c r="W1039" s="12" t="n"/>
      <c r="X1039" s="12" t="n"/>
      <c r="Y1039" s="12" t="n"/>
      <c r="Z1039" s="12" t="n"/>
      <c r="AA1039" s="12" t="n"/>
      <c r="AB1039" s="12" t="n"/>
      <c r="AC1039" s="12" t="n"/>
      <c r="AD1039" s="12" t="n"/>
    </row>
    <row r="1040" ht="15.75" customHeight="1" s="211">
      <c r="A1040" s="55" t="n"/>
      <c r="B1040" s="12" t="n"/>
      <c r="C1040" s="55">
        <f>'Sales Candence'!B1040</f>
        <v/>
      </c>
      <c r="D1040" s="71" t="n"/>
      <c r="E1040" s="71" t="n"/>
      <c r="F1040" s="22" t="n"/>
      <c r="G1040" s="22" t="n"/>
      <c r="H1040" s="31" t="n"/>
      <c r="I1040" s="23" t="n"/>
      <c r="J1040" s="56" t="n"/>
      <c r="K1040" s="22" t="n"/>
      <c r="L1040" s="22" t="n"/>
      <c r="M1040" s="22" t="n"/>
      <c r="N1040" s="22" t="n"/>
      <c r="O1040" s="22" t="n"/>
      <c r="P1040" s="23" t="n"/>
      <c r="Q1040" s="65" t="n"/>
      <c r="R1040" s="65" t="n"/>
      <c r="S1040" s="55" t="n"/>
      <c r="T1040" s="55" t="n"/>
      <c r="U1040" s="12" t="n"/>
      <c r="V1040" s="12" t="n"/>
      <c r="W1040" s="12" t="n"/>
      <c r="X1040" s="12" t="n"/>
      <c r="Y1040" s="12" t="n"/>
      <c r="Z1040" s="12" t="n"/>
      <c r="AA1040" s="12" t="n"/>
      <c r="AB1040" s="12" t="n"/>
      <c r="AC1040" s="12" t="n"/>
      <c r="AD1040" s="12" t="n"/>
    </row>
    <row r="1041" ht="15.75" customHeight="1" s="211">
      <c r="A1041" s="55" t="n"/>
      <c r="B1041" s="12" t="n"/>
      <c r="C1041" s="55">
        <f>'Sales Candence'!B1041</f>
        <v/>
      </c>
      <c r="D1041" s="71" t="n"/>
      <c r="E1041" s="71" t="n"/>
      <c r="F1041" s="22" t="n"/>
      <c r="G1041" s="22" t="n"/>
      <c r="H1041" s="31" t="n"/>
      <c r="I1041" s="23" t="n"/>
      <c r="J1041" s="56" t="n"/>
      <c r="K1041" s="22" t="n"/>
      <c r="L1041" s="22" t="n"/>
      <c r="M1041" s="22" t="n"/>
      <c r="N1041" s="22" t="n"/>
      <c r="O1041" s="22" t="n"/>
      <c r="P1041" s="23" t="n"/>
      <c r="Q1041" s="65" t="n"/>
      <c r="R1041" s="65" t="n"/>
      <c r="S1041" s="55" t="n"/>
      <c r="T1041" s="55" t="n"/>
      <c r="U1041" s="12" t="n"/>
      <c r="V1041" s="12" t="n"/>
      <c r="W1041" s="12" t="n"/>
      <c r="X1041" s="12" t="n"/>
      <c r="Y1041" s="12" t="n"/>
      <c r="Z1041" s="12" t="n"/>
      <c r="AA1041" s="12" t="n"/>
      <c r="AB1041" s="12" t="n"/>
      <c r="AC1041" s="12" t="n"/>
      <c r="AD1041" s="12" t="n"/>
    </row>
    <row r="1042" ht="15.75" customHeight="1" s="211">
      <c r="A1042" s="55" t="n"/>
      <c r="B1042" s="12" t="n"/>
      <c r="C1042" s="55">
        <f>'Sales Candence'!B1042</f>
        <v/>
      </c>
      <c r="D1042" s="71" t="n"/>
      <c r="E1042" s="71" t="n"/>
      <c r="F1042" s="22" t="n"/>
      <c r="G1042" s="22" t="n"/>
      <c r="H1042" s="31" t="n"/>
      <c r="I1042" s="23" t="n"/>
      <c r="J1042" s="56" t="n"/>
      <c r="K1042" s="22" t="n"/>
      <c r="L1042" s="22" t="n"/>
      <c r="M1042" s="22" t="n"/>
      <c r="N1042" s="22" t="n"/>
      <c r="O1042" s="22" t="n"/>
      <c r="P1042" s="23" t="n"/>
      <c r="Q1042" s="65" t="n"/>
      <c r="R1042" s="65" t="n"/>
      <c r="S1042" s="55" t="n"/>
      <c r="T1042" s="55" t="n"/>
      <c r="U1042" s="12" t="n"/>
      <c r="V1042" s="12" t="n"/>
      <c r="W1042" s="12" t="n"/>
      <c r="X1042" s="12" t="n"/>
      <c r="Y1042" s="12" t="n"/>
      <c r="Z1042" s="12" t="n"/>
      <c r="AA1042" s="12" t="n"/>
      <c r="AB1042" s="12" t="n"/>
      <c r="AC1042" s="12" t="n"/>
      <c r="AD1042" s="12" t="n"/>
    </row>
    <row r="1043" ht="15.75" customHeight="1" s="211">
      <c r="A1043" s="55" t="n"/>
      <c r="B1043" s="12" t="n"/>
      <c r="C1043" s="55">
        <f>'Sales Candence'!B1043</f>
        <v/>
      </c>
      <c r="D1043" s="71" t="n"/>
      <c r="E1043" s="71" t="n"/>
      <c r="F1043" s="22" t="n"/>
      <c r="G1043" s="22" t="n"/>
      <c r="H1043" s="31" t="n"/>
      <c r="I1043" s="23" t="n"/>
      <c r="J1043" s="56" t="n"/>
      <c r="K1043" s="22" t="n"/>
      <c r="L1043" s="22" t="n"/>
      <c r="M1043" s="22" t="n"/>
      <c r="N1043" s="22" t="n"/>
      <c r="O1043" s="22" t="n"/>
      <c r="P1043" s="23" t="n"/>
      <c r="Q1043" s="65" t="n"/>
      <c r="R1043" s="65" t="n"/>
      <c r="S1043" s="55" t="n"/>
      <c r="T1043" s="55" t="n"/>
      <c r="U1043" s="12" t="n"/>
      <c r="V1043" s="12" t="n"/>
      <c r="W1043" s="12" t="n"/>
      <c r="X1043" s="12" t="n"/>
      <c r="Y1043" s="12" t="n"/>
      <c r="Z1043" s="12" t="n"/>
      <c r="AA1043" s="12" t="n"/>
      <c r="AB1043" s="12" t="n"/>
      <c r="AC1043" s="12" t="n"/>
      <c r="AD1043" s="12" t="n"/>
    </row>
    <row r="1044" ht="15.75" customHeight="1" s="211">
      <c r="A1044" s="55" t="n"/>
      <c r="B1044" s="12" t="n"/>
      <c r="C1044" s="55">
        <f>'Sales Candence'!B1044</f>
        <v/>
      </c>
      <c r="D1044" s="71" t="n"/>
      <c r="E1044" s="71" t="n"/>
      <c r="F1044" s="22" t="n"/>
      <c r="G1044" s="22" t="n"/>
      <c r="H1044" s="31" t="n"/>
      <c r="I1044" s="23" t="n"/>
      <c r="J1044" s="56" t="n"/>
      <c r="K1044" s="22" t="n"/>
      <c r="L1044" s="22" t="n"/>
      <c r="M1044" s="22" t="n"/>
      <c r="N1044" s="22" t="n"/>
      <c r="O1044" s="22" t="n"/>
      <c r="P1044" s="23" t="n"/>
      <c r="Q1044" s="65" t="n"/>
      <c r="R1044" s="65" t="n"/>
      <c r="S1044" s="55" t="n"/>
      <c r="T1044" s="55" t="n"/>
      <c r="U1044" s="12" t="n"/>
      <c r="V1044" s="12" t="n"/>
      <c r="W1044" s="12" t="n"/>
      <c r="X1044" s="12" t="n"/>
      <c r="Y1044" s="12" t="n"/>
      <c r="Z1044" s="12" t="n"/>
      <c r="AA1044" s="12" t="n"/>
      <c r="AB1044" s="12" t="n"/>
      <c r="AC1044" s="12" t="n"/>
      <c r="AD1044" s="12" t="n"/>
    </row>
    <row r="1045" ht="15.75" customHeight="1" s="211">
      <c r="A1045" s="55" t="n"/>
      <c r="B1045" s="12" t="n"/>
      <c r="C1045" s="55">
        <f>'Sales Candence'!B1045</f>
        <v/>
      </c>
      <c r="D1045" s="71" t="n"/>
      <c r="E1045" s="71" t="n"/>
      <c r="F1045" s="22" t="n"/>
      <c r="G1045" s="22" t="n"/>
      <c r="H1045" s="31" t="n"/>
      <c r="I1045" s="23" t="n"/>
      <c r="J1045" s="56" t="n"/>
      <c r="K1045" s="22" t="n"/>
      <c r="L1045" s="22" t="n"/>
      <c r="M1045" s="22" t="n"/>
      <c r="N1045" s="22" t="n"/>
      <c r="O1045" s="22" t="n"/>
      <c r="P1045" s="23" t="n"/>
      <c r="Q1045" s="65" t="n"/>
      <c r="R1045" s="65" t="n"/>
      <c r="S1045" s="55" t="n"/>
      <c r="T1045" s="55" t="n"/>
      <c r="U1045" s="12" t="n"/>
      <c r="V1045" s="12" t="n"/>
      <c r="W1045" s="12" t="n"/>
      <c r="X1045" s="12" t="n"/>
      <c r="Y1045" s="12" t="n"/>
      <c r="Z1045" s="12" t="n"/>
      <c r="AA1045" s="12" t="n"/>
      <c r="AB1045" s="12" t="n"/>
      <c r="AC1045" s="12" t="n"/>
      <c r="AD1045" s="12" t="n"/>
    </row>
    <row r="1046" ht="15.75" customHeight="1" s="211">
      <c r="A1046" s="55" t="n"/>
      <c r="B1046" s="12" t="n"/>
      <c r="C1046" s="55">
        <f>'Sales Candence'!B1046</f>
        <v/>
      </c>
      <c r="D1046" s="71" t="n"/>
      <c r="E1046" s="71" t="n"/>
      <c r="F1046" s="22" t="n"/>
      <c r="G1046" s="22" t="n"/>
      <c r="H1046" s="31" t="n"/>
      <c r="I1046" s="23" t="n"/>
      <c r="J1046" s="56" t="n"/>
      <c r="K1046" s="22" t="n"/>
      <c r="L1046" s="22" t="n"/>
      <c r="M1046" s="22" t="n"/>
      <c r="N1046" s="22" t="n"/>
      <c r="O1046" s="22" t="n"/>
      <c r="P1046" s="23" t="n"/>
      <c r="Q1046" s="65" t="n"/>
      <c r="R1046" s="65" t="n"/>
      <c r="S1046" s="55" t="n"/>
      <c r="T1046" s="55" t="n"/>
      <c r="U1046" s="12" t="n"/>
      <c r="V1046" s="12" t="n"/>
      <c r="W1046" s="12" t="n"/>
      <c r="X1046" s="12" t="n"/>
      <c r="Y1046" s="12" t="n"/>
      <c r="Z1046" s="12" t="n"/>
      <c r="AA1046" s="12" t="n"/>
      <c r="AB1046" s="12" t="n"/>
      <c r="AC1046" s="12" t="n"/>
      <c r="AD1046" s="12" t="n"/>
    </row>
    <row r="1047" ht="15.75" customHeight="1" s="211">
      <c r="A1047" s="55" t="n"/>
      <c r="B1047" s="12" t="n"/>
      <c r="C1047" s="55">
        <f>'Sales Candence'!B1047</f>
        <v/>
      </c>
      <c r="D1047" s="71" t="n"/>
      <c r="E1047" s="71" t="n"/>
      <c r="F1047" s="22" t="n"/>
      <c r="G1047" s="22" t="n"/>
      <c r="H1047" s="31" t="n"/>
      <c r="I1047" s="23" t="n"/>
      <c r="J1047" s="56" t="n"/>
      <c r="K1047" s="22" t="n"/>
      <c r="L1047" s="22" t="n"/>
      <c r="M1047" s="22" t="n"/>
      <c r="N1047" s="22" t="n"/>
      <c r="O1047" s="22" t="n"/>
      <c r="P1047" s="23" t="n"/>
      <c r="Q1047" s="65" t="n"/>
      <c r="R1047" s="65" t="n"/>
      <c r="S1047" s="55" t="n"/>
      <c r="T1047" s="55" t="n"/>
      <c r="U1047" s="12" t="n"/>
      <c r="V1047" s="12" t="n"/>
      <c r="W1047" s="12" t="n"/>
      <c r="X1047" s="12" t="n"/>
      <c r="Y1047" s="12" t="n"/>
      <c r="Z1047" s="12" t="n"/>
      <c r="AA1047" s="12" t="n"/>
      <c r="AB1047" s="12" t="n"/>
      <c r="AC1047" s="12" t="n"/>
      <c r="AD1047" s="12" t="n"/>
    </row>
    <row r="1048" ht="15.75" customHeight="1" s="211">
      <c r="A1048" s="55" t="n"/>
      <c r="B1048" s="12" t="n"/>
      <c r="C1048" s="55">
        <f>'Sales Candence'!B1048</f>
        <v/>
      </c>
      <c r="D1048" s="71" t="n"/>
      <c r="E1048" s="71" t="n"/>
      <c r="F1048" s="22" t="n"/>
      <c r="G1048" s="22" t="n"/>
      <c r="H1048" s="31" t="n"/>
      <c r="I1048" s="23" t="n"/>
      <c r="J1048" s="56" t="n"/>
      <c r="K1048" s="22" t="n"/>
      <c r="L1048" s="22" t="n"/>
      <c r="M1048" s="22" t="n"/>
      <c r="N1048" s="22" t="n"/>
      <c r="O1048" s="22" t="n"/>
      <c r="P1048" s="23" t="n"/>
      <c r="Q1048" s="65" t="n"/>
      <c r="R1048" s="65" t="n"/>
      <c r="S1048" s="55" t="n"/>
      <c r="T1048" s="55" t="n"/>
      <c r="U1048" s="12" t="n"/>
      <c r="V1048" s="12" t="n"/>
      <c r="W1048" s="12" t="n"/>
      <c r="X1048" s="12" t="n"/>
      <c r="Y1048" s="12" t="n"/>
      <c r="Z1048" s="12" t="n"/>
      <c r="AA1048" s="12" t="n"/>
      <c r="AB1048" s="12" t="n"/>
      <c r="AC1048" s="12" t="n"/>
      <c r="AD1048" s="12" t="n"/>
    </row>
    <row r="1049" ht="15.75" customHeight="1" s="211">
      <c r="A1049" s="55" t="n"/>
      <c r="B1049" s="12" t="n"/>
      <c r="C1049" s="55">
        <f>'Sales Candence'!B1049</f>
        <v/>
      </c>
      <c r="D1049" s="71" t="n"/>
      <c r="E1049" s="71" t="n"/>
      <c r="F1049" s="22" t="n"/>
      <c r="G1049" s="22" t="n"/>
      <c r="H1049" s="31" t="n"/>
      <c r="I1049" s="23" t="n"/>
      <c r="J1049" s="56" t="n"/>
      <c r="K1049" s="22" t="n"/>
      <c r="L1049" s="22" t="n"/>
      <c r="M1049" s="22" t="n"/>
      <c r="N1049" s="22" t="n"/>
      <c r="O1049" s="22" t="n"/>
      <c r="P1049" s="23" t="n"/>
      <c r="Q1049" s="65" t="n"/>
      <c r="R1049" s="65" t="n"/>
      <c r="S1049" s="55" t="n"/>
      <c r="T1049" s="55" t="n"/>
      <c r="U1049" s="12" t="n"/>
      <c r="V1049" s="12" t="n"/>
      <c r="W1049" s="12" t="n"/>
      <c r="X1049" s="12" t="n"/>
      <c r="Y1049" s="12" t="n"/>
      <c r="Z1049" s="12" t="n"/>
      <c r="AA1049" s="12" t="n"/>
      <c r="AB1049" s="12" t="n"/>
      <c r="AC1049" s="12" t="n"/>
      <c r="AD1049" s="12" t="n"/>
    </row>
    <row r="1050" ht="15.75" customHeight="1" s="211">
      <c r="A1050" s="55" t="n"/>
      <c r="B1050" s="12" t="n"/>
      <c r="C1050" s="55">
        <f>'Sales Candence'!B1050</f>
        <v/>
      </c>
      <c r="D1050" s="71" t="n"/>
      <c r="E1050" s="71" t="n"/>
      <c r="F1050" s="22" t="n"/>
      <c r="G1050" s="22" t="n"/>
      <c r="H1050" s="31" t="n"/>
      <c r="I1050" s="23" t="n"/>
      <c r="J1050" s="56" t="n"/>
      <c r="K1050" s="22" t="n"/>
      <c r="L1050" s="22" t="n"/>
      <c r="M1050" s="22" t="n"/>
      <c r="N1050" s="22" t="n"/>
      <c r="O1050" s="22" t="n"/>
      <c r="P1050" s="23" t="n"/>
      <c r="Q1050" s="65" t="n"/>
      <c r="R1050" s="65" t="n"/>
      <c r="S1050" s="55" t="n"/>
      <c r="T1050" s="55" t="n"/>
      <c r="U1050" s="12" t="n"/>
      <c r="V1050" s="12" t="n"/>
      <c r="W1050" s="12" t="n"/>
      <c r="X1050" s="12" t="n"/>
      <c r="Y1050" s="12" t="n"/>
      <c r="Z1050" s="12" t="n"/>
      <c r="AA1050" s="12" t="n"/>
      <c r="AB1050" s="12" t="n"/>
      <c r="AC1050" s="12" t="n"/>
      <c r="AD1050" s="12" t="n"/>
    </row>
    <row r="1051" ht="15.75" customHeight="1" s="211">
      <c r="A1051" s="55" t="n"/>
      <c r="B1051" s="12" t="n"/>
      <c r="C1051" s="55">
        <f>'Sales Candence'!B1051</f>
        <v/>
      </c>
      <c r="D1051" s="71" t="n"/>
      <c r="E1051" s="71" t="n"/>
      <c r="F1051" s="22" t="n"/>
      <c r="G1051" s="22" t="n"/>
      <c r="H1051" s="31" t="n"/>
      <c r="I1051" s="23" t="n"/>
      <c r="J1051" s="56" t="n"/>
      <c r="K1051" s="22" t="n"/>
      <c r="L1051" s="22" t="n"/>
      <c r="M1051" s="22" t="n"/>
      <c r="N1051" s="22" t="n"/>
      <c r="O1051" s="22" t="n"/>
      <c r="P1051" s="23" t="n"/>
      <c r="Q1051" s="65" t="n"/>
      <c r="R1051" s="65" t="n"/>
      <c r="S1051" s="55" t="n"/>
      <c r="T1051" s="55" t="n"/>
      <c r="U1051" s="12" t="n"/>
      <c r="V1051" s="12" t="n"/>
      <c r="W1051" s="12" t="n"/>
      <c r="X1051" s="12" t="n"/>
      <c r="Y1051" s="12" t="n"/>
      <c r="Z1051" s="12" t="n"/>
      <c r="AA1051" s="12" t="n"/>
      <c r="AB1051" s="12" t="n"/>
      <c r="AC1051" s="12" t="n"/>
      <c r="AD1051" s="12" t="n"/>
    </row>
    <row r="1052" ht="15.75" customHeight="1" s="211">
      <c r="A1052" s="55" t="n"/>
      <c r="B1052" s="12" t="n"/>
      <c r="C1052" s="55">
        <f>'Sales Candence'!B1052</f>
        <v/>
      </c>
      <c r="D1052" s="71" t="n"/>
      <c r="E1052" s="71" t="n"/>
      <c r="F1052" s="22" t="n"/>
      <c r="G1052" s="22" t="n"/>
      <c r="H1052" s="31" t="n"/>
      <c r="I1052" s="23" t="n"/>
      <c r="J1052" s="56" t="n"/>
      <c r="K1052" s="22" t="n"/>
      <c r="L1052" s="22" t="n"/>
      <c r="M1052" s="22" t="n"/>
      <c r="N1052" s="22" t="n"/>
      <c r="O1052" s="22" t="n"/>
      <c r="P1052" s="23" t="n"/>
      <c r="Q1052" s="65" t="n"/>
      <c r="R1052" s="65" t="n"/>
      <c r="S1052" s="55" t="n"/>
      <c r="T1052" s="55" t="n"/>
      <c r="U1052" s="12" t="n"/>
      <c r="V1052" s="12" t="n"/>
      <c r="W1052" s="12" t="n"/>
      <c r="X1052" s="12" t="n"/>
      <c r="Y1052" s="12" t="n"/>
      <c r="Z1052" s="12" t="n"/>
      <c r="AA1052" s="12" t="n"/>
      <c r="AB1052" s="12" t="n"/>
      <c r="AC1052" s="12" t="n"/>
      <c r="AD1052" s="12" t="n"/>
    </row>
    <row r="1053" ht="15.75" customHeight="1" s="211">
      <c r="A1053" s="55" t="n"/>
      <c r="B1053" s="12" t="n"/>
      <c r="C1053" s="55">
        <f>'Sales Candence'!B1053</f>
        <v/>
      </c>
      <c r="D1053" s="71" t="n"/>
      <c r="E1053" s="71" t="n"/>
      <c r="F1053" s="22" t="n"/>
      <c r="G1053" s="22" t="n"/>
      <c r="H1053" s="31" t="n"/>
      <c r="I1053" s="23" t="n"/>
      <c r="J1053" s="56" t="n"/>
      <c r="K1053" s="22" t="n"/>
      <c r="L1053" s="22" t="n"/>
      <c r="M1053" s="22" t="n"/>
      <c r="N1053" s="22" t="n"/>
      <c r="O1053" s="22" t="n"/>
      <c r="P1053" s="23" t="n"/>
      <c r="Q1053" s="65" t="n"/>
      <c r="R1053" s="65" t="n"/>
      <c r="S1053" s="55" t="n"/>
      <c r="T1053" s="55" t="n"/>
      <c r="U1053" s="12" t="n"/>
      <c r="V1053" s="12" t="n"/>
      <c r="W1053" s="12" t="n"/>
      <c r="X1053" s="12" t="n"/>
      <c r="Y1053" s="12" t="n"/>
      <c r="Z1053" s="12" t="n"/>
      <c r="AA1053" s="12" t="n"/>
      <c r="AB1053" s="12" t="n"/>
      <c r="AC1053" s="12" t="n"/>
      <c r="AD1053" s="12" t="n"/>
    </row>
    <row r="1054" ht="15.75" customHeight="1" s="211">
      <c r="A1054" s="55" t="n"/>
      <c r="B1054" s="12" t="n"/>
      <c r="C1054" s="55">
        <f>'Sales Candence'!B1054</f>
        <v/>
      </c>
      <c r="D1054" s="71" t="n"/>
      <c r="E1054" s="71" t="n"/>
      <c r="F1054" s="22" t="n"/>
      <c r="G1054" s="22" t="n"/>
      <c r="H1054" s="31" t="n"/>
      <c r="I1054" s="23" t="n"/>
      <c r="J1054" s="56" t="n"/>
      <c r="K1054" s="22" t="n"/>
      <c r="L1054" s="22" t="n"/>
      <c r="M1054" s="22" t="n"/>
      <c r="N1054" s="22" t="n"/>
      <c r="O1054" s="22" t="n"/>
      <c r="P1054" s="23" t="n"/>
      <c r="Q1054" s="65" t="n"/>
      <c r="R1054" s="65" t="n"/>
      <c r="S1054" s="55" t="n"/>
      <c r="T1054" s="55" t="n"/>
      <c r="U1054" s="12" t="n"/>
      <c r="V1054" s="12" t="n"/>
      <c r="W1054" s="12" t="n"/>
      <c r="X1054" s="12" t="n"/>
      <c r="Y1054" s="12" t="n"/>
      <c r="Z1054" s="12" t="n"/>
      <c r="AA1054" s="12" t="n"/>
      <c r="AB1054" s="12" t="n"/>
      <c r="AC1054" s="12" t="n"/>
      <c r="AD1054" s="12" t="n"/>
    </row>
    <row r="1055" ht="15.75" customHeight="1" s="211">
      <c r="A1055" s="55" t="n"/>
      <c r="B1055" s="12" t="n"/>
      <c r="C1055" s="55">
        <f>'Sales Candence'!B1055</f>
        <v/>
      </c>
      <c r="D1055" s="71" t="n"/>
      <c r="E1055" s="71" t="n"/>
      <c r="F1055" s="22" t="n"/>
      <c r="G1055" s="22" t="n"/>
      <c r="H1055" s="31" t="n"/>
      <c r="I1055" s="23" t="n"/>
      <c r="J1055" s="56" t="n"/>
      <c r="K1055" s="22" t="n"/>
      <c r="L1055" s="22" t="n"/>
      <c r="M1055" s="22" t="n"/>
      <c r="N1055" s="22" t="n"/>
      <c r="O1055" s="22" t="n"/>
      <c r="P1055" s="23" t="n"/>
      <c r="Q1055" s="65" t="n"/>
      <c r="R1055" s="65" t="n"/>
      <c r="S1055" s="55" t="n"/>
      <c r="T1055" s="55" t="n"/>
      <c r="U1055" s="12" t="n"/>
      <c r="V1055" s="12" t="n"/>
      <c r="W1055" s="12" t="n"/>
      <c r="X1055" s="12" t="n"/>
      <c r="Y1055" s="12" t="n"/>
      <c r="Z1055" s="12" t="n"/>
      <c r="AA1055" s="12" t="n"/>
      <c r="AB1055" s="12" t="n"/>
      <c r="AC1055" s="12" t="n"/>
      <c r="AD1055" s="12" t="n"/>
    </row>
    <row r="1056" ht="15.75" customHeight="1" s="211">
      <c r="A1056" s="55" t="n"/>
      <c r="B1056" s="12" t="n"/>
      <c r="C1056" s="55">
        <f>'Sales Candence'!B1056</f>
        <v/>
      </c>
      <c r="D1056" s="71" t="n"/>
      <c r="E1056" s="71" t="n"/>
      <c r="F1056" s="22" t="n"/>
      <c r="G1056" s="22" t="n"/>
      <c r="H1056" s="31" t="n"/>
      <c r="I1056" s="23" t="n"/>
      <c r="J1056" s="56" t="n"/>
      <c r="K1056" s="22" t="n"/>
      <c r="L1056" s="22" t="n"/>
      <c r="M1056" s="22" t="n"/>
      <c r="N1056" s="22" t="n"/>
      <c r="O1056" s="22" t="n"/>
      <c r="P1056" s="23" t="n"/>
      <c r="Q1056" s="65" t="n"/>
      <c r="R1056" s="65" t="n"/>
      <c r="S1056" s="55" t="n"/>
      <c r="T1056" s="55" t="n"/>
      <c r="U1056" s="12" t="n"/>
      <c r="V1056" s="12" t="n"/>
      <c r="W1056" s="12" t="n"/>
      <c r="X1056" s="12" t="n"/>
      <c r="Y1056" s="12" t="n"/>
      <c r="Z1056" s="12" t="n"/>
      <c r="AA1056" s="12" t="n"/>
      <c r="AB1056" s="12" t="n"/>
      <c r="AC1056" s="12" t="n"/>
      <c r="AD1056" s="12" t="n"/>
    </row>
    <row r="1057" ht="15.75" customHeight="1" s="211">
      <c r="A1057" s="55" t="n"/>
      <c r="B1057" s="12" t="n"/>
      <c r="C1057" s="55">
        <f>'Sales Candence'!B1057</f>
        <v/>
      </c>
      <c r="D1057" s="71" t="n"/>
      <c r="E1057" s="71" t="n"/>
      <c r="F1057" s="22" t="n"/>
      <c r="G1057" s="22" t="n"/>
      <c r="H1057" s="31" t="n"/>
      <c r="I1057" s="23" t="n"/>
      <c r="J1057" s="56" t="n"/>
      <c r="K1057" s="22" t="n"/>
      <c r="L1057" s="22" t="n"/>
      <c r="M1057" s="22" t="n"/>
      <c r="N1057" s="22" t="n"/>
      <c r="O1057" s="22" t="n"/>
      <c r="P1057" s="23" t="n"/>
      <c r="Q1057" s="65" t="n"/>
      <c r="R1057" s="65" t="n"/>
      <c r="S1057" s="55" t="n"/>
      <c r="T1057" s="55" t="n"/>
      <c r="U1057" s="12" t="n"/>
      <c r="V1057" s="12" t="n"/>
      <c r="W1057" s="12" t="n"/>
      <c r="X1057" s="12" t="n"/>
      <c r="Y1057" s="12" t="n"/>
      <c r="Z1057" s="12" t="n"/>
      <c r="AA1057" s="12" t="n"/>
      <c r="AB1057" s="12" t="n"/>
      <c r="AC1057" s="12" t="n"/>
      <c r="AD1057" s="12" t="n"/>
    </row>
    <row r="1058" ht="15.75" customHeight="1" s="211">
      <c r="A1058" s="55" t="n"/>
      <c r="B1058" s="12" t="n"/>
      <c r="C1058" s="55">
        <f>'Sales Candence'!B1058</f>
        <v/>
      </c>
      <c r="D1058" s="71" t="n"/>
      <c r="E1058" s="71" t="n"/>
      <c r="F1058" s="22" t="n"/>
      <c r="G1058" s="22" t="n"/>
      <c r="H1058" s="31" t="n"/>
      <c r="I1058" s="23" t="n"/>
      <c r="J1058" s="56" t="n"/>
      <c r="K1058" s="22" t="n"/>
      <c r="L1058" s="22" t="n"/>
      <c r="M1058" s="22" t="n"/>
      <c r="N1058" s="22" t="n"/>
      <c r="O1058" s="22" t="n"/>
      <c r="P1058" s="23" t="n"/>
      <c r="Q1058" s="65" t="n"/>
      <c r="R1058" s="65" t="n"/>
      <c r="S1058" s="55" t="n"/>
      <c r="T1058" s="55" t="n"/>
      <c r="U1058" s="12" t="n"/>
      <c r="V1058" s="12" t="n"/>
      <c r="W1058" s="12" t="n"/>
      <c r="X1058" s="12" t="n"/>
      <c r="Y1058" s="12" t="n"/>
      <c r="Z1058" s="12" t="n"/>
      <c r="AA1058" s="12" t="n"/>
      <c r="AB1058" s="12" t="n"/>
      <c r="AC1058" s="12" t="n"/>
      <c r="AD1058" s="12" t="n"/>
    </row>
    <row r="1059" ht="15.75" customHeight="1" s="211">
      <c r="A1059" s="55" t="n"/>
      <c r="B1059" s="12" t="n"/>
      <c r="C1059" s="55">
        <f>'Sales Candence'!B1059</f>
        <v/>
      </c>
      <c r="D1059" s="71" t="n"/>
      <c r="E1059" s="71" t="n"/>
      <c r="F1059" s="22" t="n"/>
      <c r="G1059" s="22" t="n"/>
      <c r="H1059" s="31" t="n"/>
      <c r="I1059" s="23" t="n"/>
      <c r="J1059" s="56" t="n"/>
      <c r="K1059" s="22" t="n"/>
      <c r="L1059" s="22" t="n"/>
      <c r="M1059" s="22" t="n"/>
      <c r="N1059" s="22" t="n"/>
      <c r="O1059" s="22" t="n"/>
      <c r="P1059" s="23" t="n"/>
      <c r="Q1059" s="65" t="n"/>
      <c r="R1059" s="65" t="n"/>
      <c r="S1059" s="55" t="n"/>
      <c r="T1059" s="55" t="n"/>
      <c r="U1059" s="12" t="n"/>
      <c r="V1059" s="12" t="n"/>
      <c r="W1059" s="12" t="n"/>
      <c r="X1059" s="12" t="n"/>
      <c r="Y1059" s="12" t="n"/>
      <c r="Z1059" s="12" t="n"/>
      <c r="AA1059" s="12" t="n"/>
      <c r="AB1059" s="12" t="n"/>
      <c r="AC1059" s="12" t="n"/>
      <c r="AD1059" s="12" t="n"/>
    </row>
  </sheetData>
  <conditionalFormatting sqref="I1:I1059">
    <cfRule type="colorScale" priority="1">
      <colorScale>
        <cfvo type="min"/>
        <cfvo type="percent" val="40"/>
        <cfvo type="max"/>
        <color rgb="FFF4CCCC"/>
        <color rgb="FFFFFFFF"/>
        <color rgb="FFD9EAD3"/>
      </colorScale>
    </cfRule>
  </conditionalFormatting>
  <conditionalFormatting sqref="J1:J1059">
    <cfRule type="colorScale" priority="2">
      <colorScale>
        <cfvo type="min"/>
        <cfvo type="percent" val="40"/>
        <cfvo type="max"/>
        <color rgb="FFF4CCCC"/>
        <color rgb="FFFFFFFF"/>
        <color rgb="FFD9EAD3"/>
      </colorScale>
    </cfRule>
  </conditionalFormatting>
  <conditionalFormatting sqref="K1:K1059 M1:M1059">
    <cfRule type="colorScale" priority="3">
      <colorScale>
        <cfvo type="min"/>
        <cfvo type="percent" val="10"/>
        <cfvo type="max"/>
        <color rgb="FFF4CCCC"/>
        <color rgb="FFFFFFFF"/>
        <color rgb="FFD9EAD3"/>
      </colorScale>
    </cfRule>
  </conditionalFormatting>
  <conditionalFormatting sqref="A2:R1059 S29 S62 S65">
    <cfRule type="containsBlanks" priority="4" dxfId="0">
      <formula>LEN(TRIM(A2))=0</formula>
    </cfRule>
  </conditionalFormatting>
  <conditionalFormatting sqref="L1:L1059">
    <cfRule type="colorScale" priority="5">
      <colorScale>
        <cfvo type="min"/>
        <cfvo type="percentile" val="50"/>
        <cfvo type="max"/>
        <color rgb="FFF4CCCC"/>
        <color rgb="FFFFFFFF"/>
        <color rgb="FFD9EAD3"/>
      </colorScale>
    </cfRule>
  </conditionalFormatting>
  <conditionalFormatting sqref="B2:R1059 S29 S62 S65">
    <cfRule type="notContainsBlanks" priority="6" dxfId="1">
      <formula>LEN(TRIM(B2))&gt;0</formula>
    </cfRule>
  </conditionalFormatting>
  <dataValidations count="1">
    <dataValidation sqref="E2:E81" showDropDown="0" showInputMessage="0" showErrorMessage="1" allowBlank="1" type="list">
      <formula1>"YES,NO,South End"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V1059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" customHeight="1"/>
  <cols>
    <col width="27.5" customWidth="1" style="211" min="1" max="1"/>
    <col width="13.13" customWidth="1" style="211" min="2" max="2"/>
    <col width="27.5" customWidth="1" style="211" min="3" max="3"/>
    <col outlineLevel="1" width="27.5" customWidth="1" style="211" min="4" max="4"/>
    <col outlineLevel="1" width="25.63" customWidth="1" style="211" min="5" max="5"/>
    <col outlineLevel="1" width="27.5" customWidth="1" style="211" min="6" max="9"/>
    <col outlineLevel="1" width="42.25" customWidth="1" style="211" min="10" max="10"/>
    <col width="71.75" customWidth="1" style="211" min="11" max="11"/>
    <col width="1.88" customWidth="1" style="211" min="12" max="12"/>
    <col width="27.5" customWidth="1" style="211" min="13" max="35"/>
  </cols>
  <sheetData>
    <row r="1" ht="69" customHeight="1" s="211">
      <c r="A1" s="90">
        <f>Accounts!A1</f>
        <v/>
      </c>
      <c r="B1" s="90" t="inlineStr">
        <is>
          <t>Contact Created?</t>
        </is>
      </c>
      <c r="C1" s="5">
        <f>Accounts!N1</f>
        <v/>
      </c>
      <c r="D1" s="8" t="inlineStr">
        <is>
          <t>GM Contact Info</t>
        </is>
      </c>
      <c r="E1" s="8">
        <f>Accounts!F1</f>
        <v/>
      </c>
      <c r="F1" s="8">
        <f>Accounts!Q1</f>
        <v/>
      </c>
      <c r="G1" s="8">
        <f>Accounts!R1</f>
        <v/>
      </c>
      <c r="H1" s="8">
        <f>Accounts!I1</f>
        <v/>
      </c>
      <c r="I1" s="8">
        <f>Accounts!J1</f>
        <v/>
      </c>
      <c r="J1" s="5">
        <f>Accounts!S1</f>
        <v/>
      </c>
      <c r="K1" s="91" t="inlineStr">
        <is>
          <t>SALES NOTES</t>
        </is>
      </c>
      <c r="L1" s="90" t="n"/>
      <c r="M1" s="11" t="n">
        <v>1</v>
      </c>
      <c r="N1" s="11" t="n">
        <v>2</v>
      </c>
      <c r="O1" s="11" t="n">
        <v>3</v>
      </c>
      <c r="P1" s="11" t="n">
        <v>4</v>
      </c>
      <c r="Q1" s="11" t="n">
        <v>5</v>
      </c>
      <c r="R1" s="11" t="n">
        <v>6</v>
      </c>
      <c r="S1" s="11" t="n">
        <v>7</v>
      </c>
      <c r="T1" s="11" t="n">
        <v>8</v>
      </c>
      <c r="U1" s="11" t="n">
        <v>9</v>
      </c>
      <c r="V1" s="11" t="n">
        <v>10</v>
      </c>
    </row>
    <row r="2" ht="69" customHeight="1" s="211">
      <c r="A2" s="92">
        <f>Accounts!A2</f>
        <v/>
      </c>
      <c r="B2" s="55" t="b">
        <v>1</v>
      </c>
      <c r="C2" s="93">
        <f>Accounts!N2</f>
        <v/>
      </c>
      <c r="D2" s="94" t="n"/>
      <c r="E2" s="93">
        <f>Accounts!F2</f>
        <v/>
      </c>
      <c r="F2" s="94">
        <f>Accounts!Q2</f>
        <v/>
      </c>
      <c r="G2" s="94">
        <f>Accounts!R2</f>
        <v/>
      </c>
      <c r="H2" s="94">
        <f>Accounts!I2</f>
        <v/>
      </c>
      <c r="I2" s="94">
        <f>Accounts!J2</f>
        <v/>
      </c>
      <c r="J2" s="93">
        <f>Accounts!S2</f>
        <v/>
      </c>
      <c r="K2" s="88" t="inlineStr">
        <is>
          <t>This is the section to write down notes while in calls or meetings. However, make sure to still track in hubspot.</t>
        </is>
      </c>
      <c r="L2" s="95" t="n"/>
      <c r="M2" s="55" t="b">
        <v>0</v>
      </c>
      <c r="N2" s="96" t="b">
        <v>0</v>
      </c>
      <c r="O2" s="55" t="b">
        <v>0</v>
      </c>
      <c r="P2" s="55" t="b">
        <v>0</v>
      </c>
      <c r="Q2" s="55" t="b">
        <v>0</v>
      </c>
      <c r="R2" s="55" t="b">
        <v>0</v>
      </c>
      <c r="S2" s="55" t="b">
        <v>0</v>
      </c>
      <c r="T2" s="55" t="b">
        <v>0</v>
      </c>
      <c r="U2" s="55" t="b">
        <v>0</v>
      </c>
      <c r="V2" s="55" t="b">
        <v>0</v>
      </c>
    </row>
    <row r="3" ht="69" customHeight="1" s="211">
      <c r="A3" s="92">
        <f>Accounts!A3</f>
        <v/>
      </c>
      <c r="B3" s="55" t="b">
        <v>0</v>
      </c>
      <c r="C3" s="93">
        <f>Accounts!N3</f>
        <v/>
      </c>
      <c r="D3" s="94" t="n"/>
      <c r="E3" s="93">
        <f>Accounts!F3</f>
        <v/>
      </c>
      <c r="F3" s="94">
        <f>Accounts!Q3</f>
        <v/>
      </c>
      <c r="G3" s="94">
        <f>Accounts!R3</f>
        <v/>
      </c>
      <c r="H3" s="94">
        <f>Accounts!I3</f>
        <v/>
      </c>
      <c r="I3" s="94">
        <f>Accounts!J3</f>
        <v/>
      </c>
      <c r="J3" s="93">
        <f>Accounts!S3</f>
        <v/>
      </c>
      <c r="K3" s="88" t="inlineStr">
        <is>
          <t>-&gt;&gt; Add drop downs instead of check boxes to give more information</t>
        </is>
      </c>
      <c r="L3" s="95" t="n"/>
      <c r="M3" s="55" t="b">
        <v>0</v>
      </c>
      <c r="N3" s="96" t="b">
        <v>0</v>
      </c>
      <c r="O3" s="55" t="b">
        <v>0</v>
      </c>
      <c r="P3" s="55" t="b">
        <v>0</v>
      </c>
      <c r="Q3" s="55" t="b">
        <v>0</v>
      </c>
      <c r="R3" s="55" t="b">
        <v>0</v>
      </c>
      <c r="S3" s="55" t="b">
        <v>0</v>
      </c>
      <c r="T3" s="55" t="b">
        <v>0</v>
      </c>
      <c r="U3" s="55" t="b">
        <v>0</v>
      </c>
      <c r="V3" s="55" t="b">
        <v>0</v>
      </c>
    </row>
    <row r="4" ht="69" customHeight="1" s="211">
      <c r="A4" s="92">
        <f>Accounts!A4</f>
        <v/>
      </c>
      <c r="B4" s="55" t="b">
        <v>0</v>
      </c>
      <c r="C4" s="93">
        <f>Accounts!N4</f>
        <v/>
      </c>
      <c r="D4" s="94" t="n"/>
      <c r="E4" s="93">
        <f>Accounts!F4</f>
        <v/>
      </c>
      <c r="F4" s="94">
        <f>Accounts!Q4</f>
        <v/>
      </c>
      <c r="G4" s="94">
        <f>Accounts!R4</f>
        <v/>
      </c>
      <c r="H4" s="94">
        <f>Accounts!I4</f>
        <v/>
      </c>
      <c r="I4" s="94">
        <f>Accounts!J4</f>
        <v/>
      </c>
      <c r="J4" s="93">
        <f>Accounts!S4</f>
        <v/>
      </c>
      <c r="K4" s="88" t="n"/>
      <c r="L4" s="95" t="n"/>
      <c r="M4" s="55" t="b">
        <v>0</v>
      </c>
      <c r="N4" s="96" t="b">
        <v>0</v>
      </c>
      <c r="O4" s="55" t="b">
        <v>0</v>
      </c>
      <c r="P4" s="55" t="b">
        <v>0</v>
      </c>
      <c r="Q4" s="55" t="b">
        <v>0</v>
      </c>
      <c r="R4" s="55" t="b">
        <v>0</v>
      </c>
      <c r="S4" s="55" t="b">
        <v>0</v>
      </c>
      <c r="T4" s="55" t="b">
        <v>0</v>
      </c>
      <c r="U4" s="55" t="b">
        <v>0</v>
      </c>
      <c r="V4" s="55" t="b">
        <v>0</v>
      </c>
    </row>
    <row r="5" ht="69" customHeight="1" s="211">
      <c r="A5" s="92">
        <f>Accounts!A5</f>
        <v/>
      </c>
      <c r="B5" s="55" t="b">
        <v>0</v>
      </c>
      <c r="C5" s="97">
        <f>Accounts!N5</f>
        <v/>
      </c>
      <c r="D5" s="94" t="n"/>
      <c r="E5" s="93">
        <f>Accounts!F5</f>
        <v/>
      </c>
      <c r="F5" s="94">
        <f>Accounts!Q5</f>
        <v/>
      </c>
      <c r="G5" s="94">
        <f>Accounts!R5</f>
        <v/>
      </c>
      <c r="H5" s="94">
        <f>Accounts!I5</f>
        <v/>
      </c>
      <c r="I5" s="94">
        <f>Accounts!J5</f>
        <v/>
      </c>
      <c r="J5" s="93">
        <f>Accounts!S5</f>
        <v/>
      </c>
      <c r="K5" s="88" t="n"/>
      <c r="L5" s="95" t="n"/>
      <c r="M5" s="55" t="b">
        <v>0</v>
      </c>
      <c r="N5" s="96" t="b">
        <v>0</v>
      </c>
      <c r="O5" s="55" t="b">
        <v>0</v>
      </c>
      <c r="P5" s="55" t="b">
        <v>0</v>
      </c>
      <c r="Q5" s="55" t="b">
        <v>0</v>
      </c>
      <c r="R5" s="55" t="b">
        <v>0</v>
      </c>
      <c r="S5" s="55" t="b">
        <v>0</v>
      </c>
      <c r="T5" s="55" t="b">
        <v>0</v>
      </c>
      <c r="U5" s="55" t="b">
        <v>0</v>
      </c>
      <c r="V5" s="55" t="b">
        <v>0</v>
      </c>
    </row>
    <row r="6" ht="69" customHeight="1" s="211">
      <c r="A6" s="92">
        <f>Accounts!A6</f>
        <v/>
      </c>
      <c r="B6" s="55" t="b">
        <v>0</v>
      </c>
      <c r="C6" s="97">
        <f>Accounts!N6</f>
        <v/>
      </c>
      <c r="D6" s="94" t="n"/>
      <c r="E6" s="93">
        <f>Accounts!F6</f>
        <v/>
      </c>
      <c r="F6" s="94">
        <f>Accounts!Q6</f>
        <v/>
      </c>
      <c r="G6" s="94">
        <f>Accounts!R6</f>
        <v/>
      </c>
      <c r="H6" s="94">
        <f>Accounts!I6</f>
        <v/>
      </c>
      <c r="I6" s="94">
        <f>Accounts!J6</f>
        <v/>
      </c>
      <c r="J6" s="93">
        <f>Accounts!S6</f>
        <v/>
      </c>
      <c r="K6" s="88" t="n"/>
      <c r="L6" s="95" t="n"/>
      <c r="M6" s="55" t="b">
        <v>0</v>
      </c>
      <c r="N6" s="96" t="b">
        <v>0</v>
      </c>
      <c r="O6" s="55" t="b">
        <v>0</v>
      </c>
      <c r="P6" s="55" t="b">
        <v>0</v>
      </c>
      <c r="Q6" s="55" t="b">
        <v>0</v>
      </c>
      <c r="R6" s="55" t="b">
        <v>0</v>
      </c>
      <c r="S6" s="55" t="b">
        <v>0</v>
      </c>
      <c r="T6" s="55" t="b">
        <v>0</v>
      </c>
      <c r="U6" s="55" t="b">
        <v>0</v>
      </c>
      <c r="V6" s="55" t="b">
        <v>0</v>
      </c>
    </row>
    <row r="7" ht="69" customHeight="1" s="211">
      <c r="A7" s="92">
        <f>Accounts!A7</f>
        <v/>
      </c>
      <c r="B7" s="55" t="b">
        <v>0</v>
      </c>
      <c r="C7" s="93">
        <f>Accounts!N7</f>
        <v/>
      </c>
      <c r="D7" s="94" t="n"/>
      <c r="E7" s="93">
        <f>Accounts!F7</f>
        <v/>
      </c>
      <c r="F7" s="94">
        <f>Accounts!Q7</f>
        <v/>
      </c>
      <c r="G7" s="94">
        <f>Accounts!R7</f>
        <v/>
      </c>
      <c r="H7" s="94">
        <f>Accounts!I7</f>
        <v/>
      </c>
      <c r="I7" s="94">
        <f>Accounts!J7</f>
        <v/>
      </c>
      <c r="J7" s="93">
        <f>Accounts!S7</f>
        <v/>
      </c>
      <c r="K7" s="88" t="n"/>
      <c r="L7" s="95" t="n"/>
      <c r="M7" s="55" t="b">
        <v>0</v>
      </c>
      <c r="N7" s="96" t="b">
        <v>0</v>
      </c>
      <c r="O7" s="55" t="b">
        <v>0</v>
      </c>
      <c r="P7" s="55" t="b">
        <v>0</v>
      </c>
      <c r="Q7" s="55" t="b">
        <v>0</v>
      </c>
      <c r="R7" s="55" t="b">
        <v>0</v>
      </c>
      <c r="S7" s="55" t="b">
        <v>0</v>
      </c>
      <c r="T7" s="55" t="b">
        <v>0</v>
      </c>
      <c r="U7" s="55" t="b">
        <v>0</v>
      </c>
      <c r="V7" s="55" t="b">
        <v>0</v>
      </c>
    </row>
    <row r="8" ht="69" customHeight="1" s="211">
      <c r="A8" s="92">
        <f>Accounts!A8</f>
        <v/>
      </c>
      <c r="B8" s="55" t="b">
        <v>0</v>
      </c>
      <c r="C8" s="93">
        <f>Accounts!N8</f>
        <v/>
      </c>
      <c r="D8" s="94" t="n"/>
      <c r="E8" s="93">
        <f>Accounts!F8</f>
        <v/>
      </c>
      <c r="F8" s="94">
        <f>Accounts!Q8</f>
        <v/>
      </c>
      <c r="G8" s="94">
        <f>Accounts!R8</f>
        <v/>
      </c>
      <c r="H8" s="94">
        <f>Accounts!I8</f>
        <v/>
      </c>
      <c r="I8" s="94">
        <f>Accounts!J8</f>
        <v/>
      </c>
      <c r="J8" s="93">
        <f>Accounts!S8</f>
        <v/>
      </c>
      <c r="K8" s="88" t="n"/>
      <c r="L8" s="95" t="n"/>
      <c r="M8" s="55" t="b">
        <v>0</v>
      </c>
      <c r="N8" s="96" t="b">
        <v>0</v>
      </c>
      <c r="O8" s="55" t="b">
        <v>0</v>
      </c>
      <c r="P8" s="55" t="b">
        <v>0</v>
      </c>
      <c r="Q8" s="55" t="b">
        <v>0</v>
      </c>
      <c r="R8" s="55" t="b">
        <v>0</v>
      </c>
      <c r="S8" s="55" t="b">
        <v>0</v>
      </c>
      <c r="T8" s="55" t="b">
        <v>0</v>
      </c>
      <c r="U8" s="55" t="b">
        <v>0</v>
      </c>
      <c r="V8" s="55" t="b">
        <v>0</v>
      </c>
    </row>
    <row r="9" ht="69" customHeight="1" s="211">
      <c r="A9" s="92">
        <f>Accounts!A9</f>
        <v/>
      </c>
      <c r="B9" s="55" t="b">
        <v>0</v>
      </c>
      <c r="C9" s="97">
        <f>Accounts!N9</f>
        <v/>
      </c>
      <c r="D9" s="97" t="n"/>
      <c r="E9" s="93">
        <f>Accounts!F9</f>
        <v/>
      </c>
      <c r="F9" s="97">
        <f>Accounts!Q9</f>
        <v/>
      </c>
      <c r="G9" s="94">
        <f>Accounts!R9</f>
        <v/>
      </c>
      <c r="H9" s="94">
        <f>Accounts!I9</f>
        <v/>
      </c>
      <c r="I9" s="94">
        <f>Accounts!J9</f>
        <v/>
      </c>
      <c r="J9" s="93">
        <f>Accounts!S9</f>
        <v/>
      </c>
      <c r="K9" s="88" t="n"/>
      <c r="L9" s="95" t="n"/>
      <c r="M9" s="55" t="b">
        <v>0</v>
      </c>
      <c r="N9" s="96" t="b">
        <v>0</v>
      </c>
      <c r="O9" s="55" t="b">
        <v>0</v>
      </c>
      <c r="P9" s="55" t="b">
        <v>0</v>
      </c>
      <c r="Q9" s="55" t="b">
        <v>0</v>
      </c>
      <c r="R9" s="55" t="b">
        <v>0</v>
      </c>
      <c r="S9" s="55" t="b">
        <v>0</v>
      </c>
      <c r="T9" s="55" t="b">
        <v>0</v>
      </c>
      <c r="U9" s="55" t="b">
        <v>0</v>
      </c>
      <c r="V9" s="55" t="b">
        <v>0</v>
      </c>
    </row>
    <row r="10" ht="69" customHeight="1" s="211">
      <c r="A10" s="92">
        <f>Accounts!A10</f>
        <v/>
      </c>
      <c r="B10" s="55" t="b">
        <v>0</v>
      </c>
      <c r="C10" s="97">
        <f>Accounts!N10</f>
        <v/>
      </c>
      <c r="D10" s="94" t="n"/>
      <c r="E10" s="93">
        <f>Accounts!F10</f>
        <v/>
      </c>
      <c r="F10" s="94">
        <f>Accounts!Q10</f>
        <v/>
      </c>
      <c r="G10" s="94">
        <f>Accounts!R10</f>
        <v/>
      </c>
      <c r="H10" s="94">
        <f>Accounts!I10</f>
        <v/>
      </c>
      <c r="I10" s="94">
        <f>Accounts!J10</f>
        <v/>
      </c>
      <c r="J10" s="93">
        <f>Accounts!S10</f>
        <v/>
      </c>
      <c r="K10" s="88" t="n"/>
      <c r="L10" s="95" t="n"/>
      <c r="M10" s="55" t="b">
        <v>0</v>
      </c>
      <c r="N10" s="96" t="b">
        <v>0</v>
      </c>
      <c r="O10" s="55" t="b">
        <v>0</v>
      </c>
      <c r="P10" s="55" t="b">
        <v>0</v>
      </c>
      <c r="Q10" s="55" t="b">
        <v>0</v>
      </c>
      <c r="R10" s="55" t="b">
        <v>0</v>
      </c>
      <c r="S10" s="55" t="b">
        <v>0</v>
      </c>
      <c r="T10" s="55" t="b">
        <v>0</v>
      </c>
      <c r="U10" s="55" t="b">
        <v>0</v>
      </c>
      <c r="V10" s="55" t="b">
        <v>0</v>
      </c>
    </row>
    <row r="11" ht="69" customHeight="1" s="211">
      <c r="A11" s="92">
        <f>Accounts!A11</f>
        <v/>
      </c>
      <c r="B11" s="55" t="b">
        <v>0</v>
      </c>
      <c r="C11" s="97">
        <f>Accounts!N11</f>
        <v/>
      </c>
      <c r="D11" s="97" t="n"/>
      <c r="E11" s="93">
        <f>Accounts!F11</f>
        <v/>
      </c>
      <c r="F11" s="97">
        <f>Accounts!Q11</f>
        <v/>
      </c>
      <c r="G11" s="94">
        <f>Accounts!R11</f>
        <v/>
      </c>
      <c r="H11" s="94">
        <f>Accounts!I11</f>
        <v/>
      </c>
      <c r="I11" s="94">
        <f>Accounts!J11</f>
        <v/>
      </c>
      <c r="J11" s="93">
        <f>Accounts!S11</f>
        <v/>
      </c>
      <c r="K11" s="88" t="n"/>
      <c r="L11" s="95" t="n"/>
      <c r="M11" s="55" t="b">
        <v>0</v>
      </c>
      <c r="N11" s="96" t="b">
        <v>0</v>
      </c>
      <c r="O11" s="55" t="b">
        <v>0</v>
      </c>
      <c r="P11" s="55" t="b">
        <v>0</v>
      </c>
      <c r="Q11" s="55" t="b">
        <v>0</v>
      </c>
      <c r="R11" s="55" t="b">
        <v>0</v>
      </c>
      <c r="S11" s="55" t="b">
        <v>0</v>
      </c>
      <c r="T11" s="55" t="b">
        <v>0</v>
      </c>
      <c r="U11" s="55" t="b">
        <v>0</v>
      </c>
      <c r="V11" s="55" t="b">
        <v>0</v>
      </c>
    </row>
    <row r="12" ht="69" customHeight="1" s="211">
      <c r="A12" s="92">
        <f>Accounts!A12</f>
        <v/>
      </c>
      <c r="B12" s="55" t="b">
        <v>0</v>
      </c>
      <c r="C12" s="93">
        <f>Accounts!N12</f>
        <v/>
      </c>
      <c r="D12" s="94" t="n"/>
      <c r="E12" s="93">
        <f>Accounts!F12</f>
        <v/>
      </c>
      <c r="F12" s="94">
        <f>Accounts!Q12</f>
        <v/>
      </c>
      <c r="G12" s="94">
        <f>Accounts!R12</f>
        <v/>
      </c>
      <c r="H12" s="94">
        <f>Accounts!I12</f>
        <v/>
      </c>
      <c r="I12" s="94">
        <f>Accounts!J12</f>
        <v/>
      </c>
      <c r="J12" s="93">
        <f>Accounts!S12</f>
        <v/>
      </c>
      <c r="K12" s="88" t="n"/>
      <c r="L12" s="95" t="n"/>
      <c r="M12" s="55" t="b">
        <v>0</v>
      </c>
      <c r="N12" s="96" t="b">
        <v>0</v>
      </c>
      <c r="O12" s="55" t="b">
        <v>0</v>
      </c>
      <c r="P12" s="55" t="b">
        <v>0</v>
      </c>
      <c r="Q12" s="55" t="b">
        <v>0</v>
      </c>
      <c r="R12" s="55" t="b">
        <v>0</v>
      </c>
      <c r="S12" s="55" t="b">
        <v>0</v>
      </c>
      <c r="T12" s="55" t="b">
        <v>0</v>
      </c>
      <c r="U12" s="55" t="b">
        <v>0</v>
      </c>
      <c r="V12" s="55" t="b">
        <v>0</v>
      </c>
    </row>
    <row r="13" ht="69" customHeight="1" s="211">
      <c r="A13" s="92">
        <f>Accounts!A13</f>
        <v/>
      </c>
      <c r="B13" s="55" t="b">
        <v>0</v>
      </c>
      <c r="C13" s="93">
        <f>Accounts!N13</f>
        <v/>
      </c>
      <c r="D13" s="94" t="n"/>
      <c r="E13" s="93">
        <f>Accounts!F13</f>
        <v/>
      </c>
      <c r="F13" s="94">
        <f>Accounts!Q13</f>
        <v/>
      </c>
      <c r="G13" s="94">
        <f>Accounts!R13</f>
        <v/>
      </c>
      <c r="H13" s="94">
        <f>Accounts!I13</f>
        <v/>
      </c>
      <c r="I13" s="94">
        <f>Accounts!J13</f>
        <v/>
      </c>
      <c r="J13" s="93">
        <f>Accounts!S13</f>
        <v/>
      </c>
      <c r="K13" s="88" t="n"/>
      <c r="L13" s="95" t="n"/>
      <c r="M13" s="55" t="b">
        <v>0</v>
      </c>
      <c r="N13" s="96" t="b">
        <v>0</v>
      </c>
      <c r="O13" s="55" t="b">
        <v>0</v>
      </c>
      <c r="P13" s="55" t="b">
        <v>0</v>
      </c>
      <c r="Q13" s="55" t="b">
        <v>0</v>
      </c>
      <c r="R13" s="55" t="b">
        <v>0</v>
      </c>
      <c r="S13" s="55" t="b">
        <v>0</v>
      </c>
      <c r="T13" s="55" t="b">
        <v>0</v>
      </c>
      <c r="U13" s="55" t="b">
        <v>0</v>
      </c>
      <c r="V13" s="55" t="b">
        <v>0</v>
      </c>
    </row>
    <row r="14" ht="69" customHeight="1" s="211">
      <c r="A14" s="92">
        <f>Accounts!A14</f>
        <v/>
      </c>
      <c r="B14" s="55" t="b">
        <v>0</v>
      </c>
      <c r="C14" s="97">
        <f>Accounts!N14</f>
        <v/>
      </c>
      <c r="D14" s="97" t="n"/>
      <c r="E14" s="93">
        <f>Accounts!F14</f>
        <v/>
      </c>
      <c r="F14" s="97">
        <f>Accounts!Q14</f>
        <v/>
      </c>
      <c r="G14" s="94">
        <f>Accounts!R14</f>
        <v/>
      </c>
      <c r="H14" s="94">
        <f>Accounts!I14</f>
        <v/>
      </c>
      <c r="I14" s="94">
        <f>Accounts!J14</f>
        <v/>
      </c>
      <c r="J14" s="93">
        <f>Accounts!S14</f>
        <v/>
      </c>
      <c r="K14" s="88" t="n"/>
      <c r="L14" s="95" t="n"/>
      <c r="M14" s="55" t="b">
        <v>0</v>
      </c>
      <c r="N14" s="96" t="b">
        <v>0</v>
      </c>
      <c r="O14" s="55" t="b">
        <v>0</v>
      </c>
      <c r="P14" s="55" t="b">
        <v>0</v>
      </c>
      <c r="Q14" s="55" t="b">
        <v>0</v>
      </c>
      <c r="R14" s="55" t="b">
        <v>0</v>
      </c>
      <c r="S14" s="55" t="b">
        <v>0</v>
      </c>
      <c r="T14" s="55" t="b">
        <v>0</v>
      </c>
      <c r="U14" s="55" t="b">
        <v>0</v>
      </c>
      <c r="V14" s="55" t="b">
        <v>0</v>
      </c>
    </row>
    <row r="15" ht="69" customHeight="1" s="211">
      <c r="A15" s="92">
        <f>Accounts!A15</f>
        <v/>
      </c>
      <c r="B15" s="55" t="b">
        <v>0</v>
      </c>
      <c r="C15" s="93">
        <f>Accounts!N15</f>
        <v/>
      </c>
      <c r="D15" s="94" t="n"/>
      <c r="E15" s="93">
        <f>Accounts!F15</f>
        <v/>
      </c>
      <c r="F15" s="94">
        <f>Accounts!Q15</f>
        <v/>
      </c>
      <c r="G15" s="94">
        <f>Accounts!R15</f>
        <v/>
      </c>
      <c r="H15" s="94">
        <f>Accounts!I15</f>
        <v/>
      </c>
      <c r="I15" s="94">
        <f>Accounts!J15</f>
        <v/>
      </c>
      <c r="J15" s="93">
        <f>Accounts!S15</f>
        <v/>
      </c>
      <c r="K15" s="88" t="n"/>
      <c r="L15" s="95" t="n"/>
      <c r="M15" s="55" t="b">
        <v>0</v>
      </c>
      <c r="N15" s="96" t="b">
        <v>0</v>
      </c>
      <c r="O15" s="55" t="b">
        <v>0</v>
      </c>
      <c r="P15" s="55" t="b">
        <v>0</v>
      </c>
      <c r="Q15" s="55" t="b">
        <v>0</v>
      </c>
      <c r="R15" s="55" t="b">
        <v>0</v>
      </c>
      <c r="S15" s="55" t="b">
        <v>0</v>
      </c>
      <c r="T15" s="55" t="b">
        <v>0</v>
      </c>
      <c r="U15" s="55" t="b">
        <v>0</v>
      </c>
      <c r="V15" s="55" t="b">
        <v>0</v>
      </c>
    </row>
    <row r="16" ht="69" customHeight="1" s="211">
      <c r="A16" s="92">
        <f>Accounts!A16</f>
        <v/>
      </c>
      <c r="B16" s="55" t="b">
        <v>0</v>
      </c>
      <c r="C16" s="97">
        <f>Accounts!N16</f>
        <v/>
      </c>
      <c r="D16" s="94" t="n"/>
      <c r="E16" s="94">
        <f>Accounts!F16</f>
        <v/>
      </c>
      <c r="F16" s="94">
        <f>Accounts!Q16</f>
        <v/>
      </c>
      <c r="G16" s="94">
        <f>Accounts!R16</f>
        <v/>
      </c>
      <c r="H16" s="94">
        <f>Accounts!I16</f>
        <v/>
      </c>
      <c r="I16" s="94">
        <f>Accounts!J16</f>
        <v/>
      </c>
      <c r="J16" s="94">
        <f>Accounts!S16</f>
        <v/>
      </c>
      <c r="K16" s="88" t="n"/>
      <c r="L16" s="95" t="n"/>
      <c r="M16" s="55" t="b">
        <v>0</v>
      </c>
      <c r="N16" s="96" t="b">
        <v>0</v>
      </c>
      <c r="O16" s="55" t="b">
        <v>0</v>
      </c>
      <c r="P16" s="55" t="b">
        <v>0</v>
      </c>
      <c r="Q16" s="55" t="b">
        <v>0</v>
      </c>
      <c r="R16" s="55" t="b">
        <v>0</v>
      </c>
      <c r="S16" s="55" t="b">
        <v>0</v>
      </c>
      <c r="T16" s="55" t="b">
        <v>0</v>
      </c>
      <c r="U16" s="55" t="b">
        <v>0</v>
      </c>
      <c r="V16" s="55" t="b">
        <v>0</v>
      </c>
    </row>
    <row r="17" ht="69" customHeight="1" s="211">
      <c r="A17" s="92">
        <f>Accounts!A17</f>
        <v/>
      </c>
      <c r="B17" s="55" t="b">
        <v>0</v>
      </c>
      <c r="C17" s="93">
        <f>Accounts!N17</f>
        <v/>
      </c>
      <c r="D17" s="94" t="n"/>
      <c r="E17" s="93">
        <f>Accounts!F17</f>
        <v/>
      </c>
      <c r="F17" s="94">
        <f>Accounts!Q17</f>
        <v/>
      </c>
      <c r="G17" s="94">
        <f>Accounts!R17</f>
        <v/>
      </c>
      <c r="H17" s="94">
        <f>Accounts!I17</f>
        <v/>
      </c>
      <c r="I17" s="94">
        <f>Accounts!J17</f>
        <v/>
      </c>
      <c r="J17" s="93">
        <f>Accounts!S17</f>
        <v/>
      </c>
      <c r="K17" s="88" t="n"/>
      <c r="L17" s="95" t="n"/>
      <c r="M17" s="55" t="b">
        <v>1</v>
      </c>
      <c r="N17" s="96" t="b">
        <v>0</v>
      </c>
      <c r="O17" s="55" t="b">
        <v>0</v>
      </c>
      <c r="P17" s="55" t="b">
        <v>0</v>
      </c>
      <c r="Q17" s="55" t="b">
        <v>0</v>
      </c>
      <c r="R17" s="55" t="b">
        <v>0</v>
      </c>
      <c r="S17" s="55" t="b">
        <v>0</v>
      </c>
      <c r="T17" s="55" t="b">
        <v>0</v>
      </c>
      <c r="U17" s="55" t="b">
        <v>0</v>
      </c>
      <c r="V17" s="55" t="b">
        <v>0</v>
      </c>
    </row>
    <row r="18" ht="69" customHeight="1" s="211">
      <c r="A18" s="92">
        <f>Accounts!A18</f>
        <v/>
      </c>
      <c r="B18" s="55" t="b">
        <v>0</v>
      </c>
      <c r="C18" s="93">
        <f>Accounts!N18</f>
        <v/>
      </c>
      <c r="D18" s="94" t="n"/>
      <c r="E18" s="93">
        <f>Accounts!F18</f>
        <v/>
      </c>
      <c r="F18" s="94">
        <f>Accounts!Q18</f>
        <v/>
      </c>
      <c r="G18" s="94">
        <f>Accounts!R18</f>
        <v/>
      </c>
      <c r="H18" s="94">
        <f>Accounts!I18</f>
        <v/>
      </c>
      <c r="I18" s="94">
        <f>Accounts!J18</f>
        <v/>
      </c>
      <c r="J18" s="93">
        <f>Accounts!S18</f>
        <v/>
      </c>
      <c r="K18" s="88" t="n"/>
      <c r="L18" s="95" t="n"/>
      <c r="M18" s="55" t="b">
        <v>0</v>
      </c>
      <c r="N18" s="96" t="b">
        <v>0</v>
      </c>
      <c r="O18" s="55" t="b">
        <v>0</v>
      </c>
      <c r="P18" s="55" t="b">
        <v>0</v>
      </c>
      <c r="Q18" s="55" t="b">
        <v>0</v>
      </c>
      <c r="R18" s="55" t="b">
        <v>0</v>
      </c>
      <c r="S18" s="55" t="b">
        <v>0</v>
      </c>
      <c r="T18" s="55" t="b">
        <v>0</v>
      </c>
      <c r="U18" s="55" t="b">
        <v>0</v>
      </c>
      <c r="V18" s="55" t="b">
        <v>0</v>
      </c>
    </row>
    <row r="19" ht="69" customHeight="1" s="211">
      <c r="A19" s="92">
        <f>Accounts!A19</f>
        <v/>
      </c>
      <c r="B19" s="55" t="b">
        <v>0</v>
      </c>
      <c r="C19" s="97">
        <f>Accounts!N19</f>
        <v/>
      </c>
      <c r="D19" s="97" t="n"/>
      <c r="E19" s="94">
        <f>Accounts!F19</f>
        <v/>
      </c>
      <c r="F19" s="97">
        <f>Accounts!Q19</f>
        <v/>
      </c>
      <c r="G19" s="94">
        <f>Accounts!R19</f>
        <v/>
      </c>
      <c r="H19" s="94">
        <f>Accounts!I19</f>
        <v/>
      </c>
      <c r="I19" s="94">
        <f>Accounts!J19</f>
        <v/>
      </c>
      <c r="J19" s="94">
        <f>Accounts!S19</f>
        <v/>
      </c>
      <c r="K19" s="88" t="n"/>
      <c r="L19" s="95" t="n"/>
      <c r="M19" s="55" t="b">
        <v>0</v>
      </c>
      <c r="N19" s="96" t="b">
        <v>0</v>
      </c>
      <c r="O19" s="55" t="b">
        <v>0</v>
      </c>
      <c r="P19" s="55" t="b">
        <v>0</v>
      </c>
      <c r="Q19" s="55" t="b">
        <v>0</v>
      </c>
      <c r="R19" s="55" t="b">
        <v>0</v>
      </c>
      <c r="S19" s="55" t="b">
        <v>0</v>
      </c>
      <c r="T19" s="55" t="b">
        <v>0</v>
      </c>
      <c r="U19" s="55" t="b">
        <v>0</v>
      </c>
      <c r="V19" s="55" t="b">
        <v>0</v>
      </c>
    </row>
    <row r="20" ht="69" customHeight="1" s="211">
      <c r="A20" s="92">
        <f>Accounts!A20</f>
        <v/>
      </c>
      <c r="B20" s="55" t="b">
        <v>0</v>
      </c>
      <c r="C20" s="93">
        <f>Accounts!N20</f>
        <v/>
      </c>
      <c r="D20" s="94" t="n"/>
      <c r="E20" s="94">
        <f>Accounts!F20</f>
        <v/>
      </c>
      <c r="F20" s="94">
        <f>Accounts!Q20</f>
        <v/>
      </c>
      <c r="G20" s="94">
        <f>Accounts!R20</f>
        <v/>
      </c>
      <c r="H20" s="94">
        <f>Accounts!I20</f>
        <v/>
      </c>
      <c r="I20" s="94">
        <f>Accounts!J20</f>
        <v/>
      </c>
      <c r="J20" s="93">
        <f>Accounts!S20</f>
        <v/>
      </c>
      <c r="K20" s="88" t="n"/>
      <c r="L20" s="95" t="n"/>
      <c r="M20" s="55" t="b">
        <v>0</v>
      </c>
      <c r="N20" s="96" t="b">
        <v>0</v>
      </c>
      <c r="O20" s="55" t="b">
        <v>0</v>
      </c>
      <c r="P20" s="55" t="b">
        <v>0</v>
      </c>
      <c r="Q20" s="55" t="b">
        <v>0</v>
      </c>
      <c r="R20" s="55" t="b">
        <v>0</v>
      </c>
      <c r="S20" s="55" t="b">
        <v>0</v>
      </c>
      <c r="T20" s="55" t="b">
        <v>0</v>
      </c>
      <c r="U20" s="55" t="b">
        <v>0</v>
      </c>
      <c r="V20" s="55" t="b">
        <v>0</v>
      </c>
    </row>
    <row r="21" ht="69" customHeight="1" s="211">
      <c r="A21" s="92">
        <f>Accounts!A21</f>
        <v/>
      </c>
      <c r="B21" s="55" t="b">
        <v>0</v>
      </c>
      <c r="C21" s="97">
        <f>Accounts!N21</f>
        <v/>
      </c>
      <c r="D21" s="94" t="n"/>
      <c r="E21" s="94">
        <f>Accounts!F21</f>
        <v/>
      </c>
      <c r="F21" s="94">
        <f>Accounts!Q21</f>
        <v/>
      </c>
      <c r="G21" s="94">
        <f>Accounts!R21</f>
        <v/>
      </c>
      <c r="H21" s="94">
        <f>Accounts!I21</f>
        <v/>
      </c>
      <c r="I21" s="94">
        <f>Accounts!J21</f>
        <v/>
      </c>
      <c r="J21" s="93">
        <f>Accounts!S21</f>
        <v/>
      </c>
      <c r="K21" s="88" t="n"/>
      <c r="L21" s="95" t="n"/>
      <c r="M21" s="55" t="b">
        <v>0</v>
      </c>
      <c r="N21" s="96" t="b">
        <v>0</v>
      </c>
      <c r="O21" s="55" t="b">
        <v>0</v>
      </c>
      <c r="P21" s="55" t="b">
        <v>0</v>
      </c>
      <c r="Q21" s="55" t="b">
        <v>0</v>
      </c>
      <c r="R21" s="55" t="b">
        <v>0</v>
      </c>
      <c r="S21" s="55" t="b">
        <v>0</v>
      </c>
      <c r="T21" s="55" t="b">
        <v>0</v>
      </c>
      <c r="U21" s="55" t="b">
        <v>0</v>
      </c>
      <c r="V21" s="55" t="b">
        <v>0</v>
      </c>
    </row>
    <row r="22" ht="69" customHeight="1" s="211">
      <c r="A22" s="92">
        <f>Accounts!A22</f>
        <v/>
      </c>
      <c r="B22" s="55" t="b">
        <v>0</v>
      </c>
      <c r="C22" s="94">
        <f>Accounts!N22</f>
        <v/>
      </c>
      <c r="D22" s="94" t="n"/>
      <c r="E22" s="94">
        <f>Accounts!F22</f>
        <v/>
      </c>
      <c r="F22" s="94">
        <f>Accounts!Q22</f>
        <v/>
      </c>
      <c r="G22" s="94">
        <f>Accounts!R22</f>
        <v/>
      </c>
      <c r="H22" s="94">
        <f>Accounts!I22</f>
        <v/>
      </c>
      <c r="I22" s="94">
        <f>Accounts!J22</f>
        <v/>
      </c>
      <c r="J22" s="94">
        <f>Accounts!S22</f>
        <v/>
      </c>
      <c r="K22" s="88" t="n"/>
      <c r="L22" s="95" t="n"/>
      <c r="M22" s="55" t="b">
        <v>0</v>
      </c>
      <c r="N22" s="96" t="b">
        <v>0</v>
      </c>
      <c r="O22" s="55" t="b">
        <v>0</v>
      </c>
      <c r="P22" s="55" t="b">
        <v>0</v>
      </c>
      <c r="Q22" s="55" t="b">
        <v>0</v>
      </c>
      <c r="R22" s="55" t="b">
        <v>0</v>
      </c>
      <c r="S22" s="55" t="b">
        <v>0</v>
      </c>
      <c r="T22" s="55" t="b">
        <v>0</v>
      </c>
      <c r="U22" s="55" t="b">
        <v>0</v>
      </c>
      <c r="V22" s="55" t="b">
        <v>0</v>
      </c>
    </row>
    <row r="23" ht="69" customHeight="1" s="211">
      <c r="A23" s="92">
        <f>Accounts!A23</f>
        <v/>
      </c>
      <c r="B23" s="55" t="b">
        <v>0</v>
      </c>
      <c r="C23" s="97">
        <f>Accounts!N23</f>
        <v/>
      </c>
      <c r="D23" s="97" t="n"/>
      <c r="E23" s="93">
        <f>Accounts!F23</f>
        <v/>
      </c>
      <c r="F23" s="97">
        <f>Accounts!Q23</f>
        <v/>
      </c>
      <c r="G23" s="94">
        <f>Accounts!R23</f>
        <v/>
      </c>
      <c r="H23" s="94">
        <f>Accounts!I23</f>
        <v/>
      </c>
      <c r="I23" s="94">
        <f>Accounts!J23</f>
        <v/>
      </c>
      <c r="J23" s="93">
        <f>Accounts!S23</f>
        <v/>
      </c>
      <c r="K23" s="88" t="n"/>
      <c r="L23" s="95" t="n"/>
      <c r="M23" s="55" t="b">
        <v>0</v>
      </c>
      <c r="N23" s="96" t="b">
        <v>0</v>
      </c>
      <c r="O23" s="55" t="b">
        <v>0</v>
      </c>
      <c r="P23" s="55" t="b">
        <v>0</v>
      </c>
      <c r="Q23" s="55" t="b">
        <v>0</v>
      </c>
      <c r="R23" s="55" t="b">
        <v>0</v>
      </c>
      <c r="S23" s="55" t="b">
        <v>0</v>
      </c>
      <c r="T23" s="55" t="b">
        <v>0</v>
      </c>
      <c r="U23" s="55" t="b">
        <v>0</v>
      </c>
      <c r="V23" s="55" t="b">
        <v>0</v>
      </c>
    </row>
    <row r="24" ht="69" customHeight="1" s="211">
      <c r="A24" s="92">
        <f>Accounts!A24</f>
        <v/>
      </c>
      <c r="B24" s="55" t="b">
        <v>0</v>
      </c>
      <c r="C24" s="93">
        <f>Accounts!N24</f>
        <v/>
      </c>
      <c r="D24" s="94" t="n"/>
      <c r="E24" s="93">
        <f>Accounts!F24</f>
        <v/>
      </c>
      <c r="F24" s="94">
        <f>Accounts!Q24</f>
        <v/>
      </c>
      <c r="G24" s="94">
        <f>Accounts!R24</f>
        <v/>
      </c>
      <c r="H24" s="94">
        <f>Accounts!I24</f>
        <v/>
      </c>
      <c r="I24" s="94">
        <f>Accounts!J24</f>
        <v/>
      </c>
      <c r="J24" s="93">
        <f>Accounts!S24</f>
        <v/>
      </c>
      <c r="K24" s="88" t="n"/>
      <c r="L24" s="95" t="n"/>
      <c r="M24" s="55" t="b">
        <v>0</v>
      </c>
      <c r="N24" s="96" t="b">
        <v>0</v>
      </c>
      <c r="O24" s="55" t="b">
        <v>0</v>
      </c>
      <c r="P24" s="55" t="b">
        <v>0</v>
      </c>
      <c r="Q24" s="55" t="b">
        <v>0</v>
      </c>
      <c r="R24" s="55" t="b">
        <v>0</v>
      </c>
      <c r="S24" s="55" t="b">
        <v>0</v>
      </c>
      <c r="T24" s="55" t="b">
        <v>0</v>
      </c>
      <c r="U24" s="55" t="b">
        <v>0</v>
      </c>
      <c r="V24" s="55" t="b">
        <v>0</v>
      </c>
    </row>
    <row r="25" ht="69" customHeight="1" s="211">
      <c r="A25" s="92">
        <f>Accounts!A25</f>
        <v/>
      </c>
      <c r="B25" s="55" t="b">
        <v>0</v>
      </c>
      <c r="C25" s="93">
        <f>Accounts!N25</f>
        <v/>
      </c>
      <c r="D25" s="94" t="n"/>
      <c r="E25" s="94">
        <f>Accounts!F25</f>
        <v/>
      </c>
      <c r="F25" s="94">
        <f>Accounts!Q25</f>
        <v/>
      </c>
      <c r="G25" s="94">
        <f>Accounts!R25</f>
        <v/>
      </c>
      <c r="H25" s="94">
        <f>Accounts!I25</f>
        <v/>
      </c>
      <c r="I25" s="94">
        <f>Accounts!J25</f>
        <v/>
      </c>
      <c r="J25" s="93">
        <f>Accounts!S25</f>
        <v/>
      </c>
      <c r="K25" s="88" t="n"/>
      <c r="L25" s="95" t="n"/>
      <c r="M25" s="55" t="b">
        <v>0</v>
      </c>
      <c r="N25" s="96" t="b">
        <v>0</v>
      </c>
      <c r="O25" s="55" t="b">
        <v>0</v>
      </c>
      <c r="P25" s="55" t="b">
        <v>0</v>
      </c>
      <c r="Q25" s="55" t="b">
        <v>0</v>
      </c>
      <c r="R25" s="55" t="b">
        <v>0</v>
      </c>
      <c r="S25" s="55" t="b">
        <v>0</v>
      </c>
      <c r="T25" s="55" t="b">
        <v>0</v>
      </c>
      <c r="U25" s="55" t="b">
        <v>0</v>
      </c>
      <c r="V25" s="55" t="b">
        <v>0</v>
      </c>
    </row>
    <row r="26" ht="69" customHeight="1" s="211">
      <c r="A26" s="92">
        <f>Accounts!A26</f>
        <v/>
      </c>
      <c r="B26" s="55" t="b">
        <v>0</v>
      </c>
      <c r="C26" s="93">
        <f>Accounts!N26</f>
        <v/>
      </c>
      <c r="D26" s="94" t="n"/>
      <c r="E26" s="93">
        <f>Accounts!F26</f>
        <v/>
      </c>
      <c r="F26" s="94">
        <f>Accounts!Q26</f>
        <v/>
      </c>
      <c r="G26" s="94">
        <f>Accounts!R26</f>
        <v/>
      </c>
      <c r="H26" s="94">
        <f>Accounts!I26</f>
        <v/>
      </c>
      <c r="I26" s="94">
        <f>Accounts!J26</f>
        <v/>
      </c>
      <c r="J26" s="93">
        <f>Accounts!S26</f>
        <v/>
      </c>
      <c r="K26" s="88" t="n"/>
      <c r="L26" s="95" t="n"/>
      <c r="M26" s="55" t="b">
        <v>0</v>
      </c>
      <c r="N26" s="96" t="b">
        <v>0</v>
      </c>
      <c r="O26" s="55" t="b">
        <v>0</v>
      </c>
      <c r="P26" s="55" t="b">
        <v>0</v>
      </c>
      <c r="Q26" s="55" t="b">
        <v>0</v>
      </c>
      <c r="R26" s="55" t="b">
        <v>0</v>
      </c>
      <c r="S26" s="55" t="b">
        <v>0</v>
      </c>
      <c r="T26" s="55" t="b">
        <v>0</v>
      </c>
      <c r="U26" s="55" t="b">
        <v>0</v>
      </c>
      <c r="V26" s="55" t="b">
        <v>0</v>
      </c>
    </row>
    <row r="27" ht="69" customHeight="1" s="211">
      <c r="A27" s="92">
        <f>Accounts!A27</f>
        <v/>
      </c>
      <c r="B27" s="55" t="b">
        <v>0</v>
      </c>
      <c r="C27" s="93">
        <f>Accounts!N27</f>
        <v/>
      </c>
      <c r="D27" s="94" t="n"/>
      <c r="E27" s="93">
        <f>Accounts!F27</f>
        <v/>
      </c>
      <c r="F27" s="94">
        <f>Accounts!Q27</f>
        <v/>
      </c>
      <c r="G27" s="94">
        <f>Accounts!R27</f>
        <v/>
      </c>
      <c r="H27" s="94">
        <f>Accounts!I27</f>
        <v/>
      </c>
      <c r="I27" s="94">
        <f>Accounts!J27</f>
        <v/>
      </c>
      <c r="J27" s="93">
        <f>Accounts!S27</f>
        <v/>
      </c>
      <c r="K27" s="88" t="n"/>
      <c r="L27" s="95" t="n"/>
      <c r="M27" s="55" t="b">
        <v>0</v>
      </c>
      <c r="N27" s="96" t="b">
        <v>0</v>
      </c>
      <c r="O27" s="55" t="b">
        <v>0</v>
      </c>
      <c r="P27" s="55" t="b">
        <v>0</v>
      </c>
      <c r="Q27" s="55" t="b">
        <v>0</v>
      </c>
      <c r="R27" s="55" t="b">
        <v>0</v>
      </c>
      <c r="S27" s="55" t="b">
        <v>0</v>
      </c>
      <c r="T27" s="55" t="b">
        <v>0</v>
      </c>
      <c r="U27" s="55" t="b">
        <v>0</v>
      </c>
      <c r="V27" s="55" t="b">
        <v>0</v>
      </c>
    </row>
    <row r="28" ht="69" customHeight="1" s="211">
      <c r="A28" s="92">
        <f>Accounts!A28</f>
        <v/>
      </c>
      <c r="B28" s="55" t="b">
        <v>0</v>
      </c>
      <c r="C28" s="93">
        <f>Accounts!N28</f>
        <v/>
      </c>
      <c r="D28" s="94" t="n"/>
      <c r="E28" s="93">
        <f>Accounts!F28</f>
        <v/>
      </c>
      <c r="F28" s="94">
        <f>Accounts!Q28</f>
        <v/>
      </c>
      <c r="G28" s="94">
        <f>Accounts!R28</f>
        <v/>
      </c>
      <c r="H28" s="94">
        <f>Accounts!I28</f>
        <v/>
      </c>
      <c r="I28" s="94">
        <f>Accounts!J28</f>
        <v/>
      </c>
      <c r="J28" s="93">
        <f>Accounts!S28</f>
        <v/>
      </c>
      <c r="K28" s="88" t="n"/>
      <c r="L28" s="95" t="n"/>
      <c r="M28" s="55" t="b">
        <v>0</v>
      </c>
      <c r="N28" s="96" t="b">
        <v>0</v>
      </c>
      <c r="O28" s="55" t="b">
        <v>0</v>
      </c>
      <c r="P28" s="55" t="b">
        <v>0</v>
      </c>
      <c r="Q28" s="55" t="b">
        <v>0</v>
      </c>
      <c r="R28" s="55" t="b">
        <v>0</v>
      </c>
      <c r="S28" s="55" t="b">
        <v>0</v>
      </c>
      <c r="T28" s="55" t="b">
        <v>0</v>
      </c>
      <c r="U28" s="55" t="b">
        <v>0</v>
      </c>
      <c r="V28" s="55" t="b">
        <v>0</v>
      </c>
    </row>
    <row r="29" ht="69" customHeight="1" s="211">
      <c r="A29" s="92">
        <f>Accounts!A29</f>
        <v/>
      </c>
      <c r="B29" s="55" t="b">
        <v>0</v>
      </c>
      <c r="C29" s="97">
        <f>Accounts!N29</f>
        <v/>
      </c>
      <c r="D29" s="97" t="n"/>
      <c r="E29" s="93">
        <f>Accounts!F29</f>
        <v/>
      </c>
      <c r="F29" s="97">
        <f>Accounts!Q29</f>
        <v/>
      </c>
      <c r="G29" s="94">
        <f>Accounts!R29</f>
        <v/>
      </c>
      <c r="H29" s="94">
        <f>Accounts!I29</f>
        <v/>
      </c>
      <c r="I29" s="94">
        <f>Accounts!J29</f>
        <v/>
      </c>
      <c r="J29" s="94">
        <f>Accounts!S29</f>
        <v/>
      </c>
      <c r="K29" s="88" t="n"/>
      <c r="L29" s="95" t="n"/>
      <c r="M29" s="55" t="b">
        <v>0</v>
      </c>
      <c r="N29" s="96" t="b">
        <v>0</v>
      </c>
      <c r="O29" s="55" t="b">
        <v>0</v>
      </c>
      <c r="P29" s="55" t="b">
        <v>0</v>
      </c>
      <c r="Q29" s="55" t="b">
        <v>0</v>
      </c>
      <c r="R29" s="55" t="b">
        <v>0</v>
      </c>
      <c r="S29" s="55" t="b">
        <v>0</v>
      </c>
      <c r="T29" s="55" t="b">
        <v>0</v>
      </c>
      <c r="U29" s="55" t="b">
        <v>0</v>
      </c>
      <c r="V29" s="55" t="b">
        <v>0</v>
      </c>
    </row>
    <row r="30" ht="69" customHeight="1" s="211">
      <c r="A30" s="92">
        <f>Accounts!A30</f>
        <v/>
      </c>
      <c r="B30" s="55" t="b">
        <v>0</v>
      </c>
      <c r="C30" s="93">
        <f>Accounts!N30</f>
        <v/>
      </c>
      <c r="D30" s="94" t="n"/>
      <c r="E30" s="93">
        <f>Accounts!F30</f>
        <v/>
      </c>
      <c r="F30" s="94">
        <f>Accounts!Q30</f>
        <v/>
      </c>
      <c r="G30" s="94">
        <f>Accounts!R30</f>
        <v/>
      </c>
      <c r="H30" s="94">
        <f>Accounts!I30</f>
        <v/>
      </c>
      <c r="I30" s="94">
        <f>Accounts!J30</f>
        <v/>
      </c>
      <c r="J30" s="93">
        <f>Accounts!S30</f>
        <v/>
      </c>
      <c r="K30" s="88" t="n"/>
      <c r="L30" s="95" t="n"/>
      <c r="M30" s="55" t="b">
        <v>0</v>
      </c>
      <c r="N30" s="96" t="b">
        <v>0</v>
      </c>
      <c r="O30" s="55" t="b">
        <v>0</v>
      </c>
      <c r="P30" s="55" t="b">
        <v>0</v>
      </c>
      <c r="Q30" s="55" t="b">
        <v>0</v>
      </c>
      <c r="R30" s="55" t="b">
        <v>0</v>
      </c>
      <c r="S30" s="55" t="b">
        <v>0</v>
      </c>
      <c r="T30" s="55" t="b">
        <v>0</v>
      </c>
      <c r="U30" s="55" t="b">
        <v>0</v>
      </c>
      <c r="V30" s="55" t="b">
        <v>0</v>
      </c>
    </row>
    <row r="31" ht="69" customHeight="1" s="211">
      <c r="A31" s="92">
        <f>Accounts!A31</f>
        <v/>
      </c>
      <c r="B31" s="55" t="b">
        <v>0</v>
      </c>
      <c r="C31" s="93">
        <f>Accounts!N31</f>
        <v/>
      </c>
      <c r="D31" s="94" t="n"/>
      <c r="E31" s="93">
        <f>Accounts!F31</f>
        <v/>
      </c>
      <c r="F31" s="94">
        <f>Accounts!Q31</f>
        <v/>
      </c>
      <c r="G31" s="94">
        <f>Accounts!R31</f>
        <v/>
      </c>
      <c r="H31" s="94">
        <f>Accounts!I31</f>
        <v/>
      </c>
      <c r="I31" s="94">
        <f>Accounts!J31</f>
        <v/>
      </c>
      <c r="J31" s="93">
        <f>Accounts!S31</f>
        <v/>
      </c>
      <c r="K31" s="88" t="n"/>
      <c r="L31" s="95" t="n"/>
      <c r="M31" s="55" t="b">
        <v>0</v>
      </c>
      <c r="N31" s="96" t="b">
        <v>0</v>
      </c>
      <c r="O31" s="55" t="b">
        <v>0</v>
      </c>
      <c r="P31" s="55" t="b">
        <v>0</v>
      </c>
      <c r="Q31" s="55" t="b">
        <v>0</v>
      </c>
      <c r="R31" s="55" t="b">
        <v>0</v>
      </c>
      <c r="S31" s="55" t="b">
        <v>0</v>
      </c>
      <c r="T31" s="55" t="b">
        <v>0</v>
      </c>
      <c r="U31" s="55" t="b">
        <v>0</v>
      </c>
      <c r="V31" s="55" t="b">
        <v>0</v>
      </c>
    </row>
    <row r="32" ht="69" customHeight="1" s="211">
      <c r="A32" s="92">
        <f>Accounts!A32</f>
        <v/>
      </c>
      <c r="B32" s="55" t="b">
        <v>0</v>
      </c>
      <c r="C32" s="93">
        <f>Accounts!N32</f>
        <v/>
      </c>
      <c r="D32" s="94" t="n"/>
      <c r="E32" s="93">
        <f>Accounts!F32</f>
        <v/>
      </c>
      <c r="F32" s="94">
        <f>Accounts!Q32</f>
        <v/>
      </c>
      <c r="G32" s="94">
        <f>Accounts!R32</f>
        <v/>
      </c>
      <c r="H32" s="94">
        <f>Accounts!I32</f>
        <v/>
      </c>
      <c r="I32" s="94">
        <f>Accounts!J32</f>
        <v/>
      </c>
      <c r="J32" s="93">
        <f>Accounts!S32</f>
        <v/>
      </c>
      <c r="K32" s="88" t="n"/>
      <c r="L32" s="95" t="n"/>
      <c r="M32" s="55" t="b">
        <v>0</v>
      </c>
      <c r="N32" s="96" t="b">
        <v>0</v>
      </c>
      <c r="O32" s="55" t="b">
        <v>0</v>
      </c>
      <c r="P32" s="55" t="b">
        <v>0</v>
      </c>
      <c r="Q32" s="55" t="b">
        <v>0</v>
      </c>
      <c r="R32" s="55" t="b">
        <v>0</v>
      </c>
      <c r="S32" s="55" t="b">
        <v>0</v>
      </c>
      <c r="T32" s="55" t="b">
        <v>0</v>
      </c>
      <c r="U32" s="55" t="b">
        <v>0</v>
      </c>
      <c r="V32" s="55" t="b">
        <v>0</v>
      </c>
    </row>
    <row r="33" ht="69" customHeight="1" s="211">
      <c r="A33" s="92">
        <f>Accounts!A33</f>
        <v/>
      </c>
      <c r="B33" s="55" t="b">
        <v>0</v>
      </c>
      <c r="C33" s="93">
        <f>Accounts!N33</f>
        <v/>
      </c>
      <c r="D33" s="94" t="n"/>
      <c r="E33" s="93">
        <f>Accounts!F33</f>
        <v/>
      </c>
      <c r="F33" s="94">
        <f>Accounts!Q33</f>
        <v/>
      </c>
      <c r="G33" s="94">
        <f>Accounts!R33</f>
        <v/>
      </c>
      <c r="H33" s="94">
        <f>Accounts!I33</f>
        <v/>
      </c>
      <c r="I33" s="94">
        <f>Accounts!J33</f>
        <v/>
      </c>
      <c r="J33" s="93">
        <f>Accounts!S33</f>
        <v/>
      </c>
      <c r="K33" s="88" t="n"/>
      <c r="L33" s="95" t="n"/>
      <c r="M33" s="55" t="b">
        <v>0</v>
      </c>
      <c r="N33" s="96" t="b">
        <v>0</v>
      </c>
      <c r="O33" s="55" t="b">
        <v>0</v>
      </c>
      <c r="P33" s="55" t="b">
        <v>0</v>
      </c>
      <c r="Q33" s="55" t="b">
        <v>0</v>
      </c>
      <c r="R33" s="55" t="b">
        <v>0</v>
      </c>
      <c r="S33" s="55" t="b">
        <v>0</v>
      </c>
      <c r="T33" s="55" t="b">
        <v>0</v>
      </c>
      <c r="U33" s="55" t="b">
        <v>0</v>
      </c>
      <c r="V33" s="55" t="b">
        <v>0</v>
      </c>
    </row>
    <row r="34" ht="69" customHeight="1" s="211">
      <c r="A34" s="92">
        <f>Accounts!A34</f>
        <v/>
      </c>
      <c r="B34" s="55" t="b">
        <v>0</v>
      </c>
      <c r="C34" s="94">
        <f>Accounts!N34</f>
        <v/>
      </c>
      <c r="D34" s="94" t="n"/>
      <c r="E34" s="94">
        <f>Accounts!F34</f>
        <v/>
      </c>
      <c r="F34" s="94">
        <f>Accounts!Q34</f>
        <v/>
      </c>
      <c r="G34" s="94">
        <f>Accounts!R34</f>
        <v/>
      </c>
      <c r="H34" s="94">
        <f>Accounts!I34</f>
        <v/>
      </c>
      <c r="I34" s="94">
        <f>Accounts!J34</f>
        <v/>
      </c>
      <c r="J34" s="94">
        <f>Accounts!S34</f>
        <v/>
      </c>
      <c r="K34" s="88" t="n"/>
      <c r="L34" s="95" t="n"/>
      <c r="M34" s="55" t="b">
        <v>0</v>
      </c>
      <c r="N34" s="96" t="b">
        <v>0</v>
      </c>
      <c r="O34" s="55" t="b">
        <v>0</v>
      </c>
      <c r="P34" s="55" t="b">
        <v>0</v>
      </c>
      <c r="Q34" s="55" t="b">
        <v>0</v>
      </c>
      <c r="R34" s="55" t="b">
        <v>0</v>
      </c>
      <c r="S34" s="55" t="b">
        <v>0</v>
      </c>
      <c r="T34" s="55" t="b">
        <v>0</v>
      </c>
      <c r="U34" s="55" t="b">
        <v>0</v>
      </c>
      <c r="V34" s="55" t="b">
        <v>0</v>
      </c>
    </row>
    <row r="35" ht="69" customHeight="1" s="211">
      <c r="A35" s="92">
        <f>Accounts!A35</f>
        <v/>
      </c>
      <c r="B35" s="55" t="b">
        <v>0</v>
      </c>
      <c r="C35" s="93">
        <f>Accounts!N35</f>
        <v/>
      </c>
      <c r="D35" s="94" t="n"/>
      <c r="E35" s="93">
        <f>Accounts!F35</f>
        <v/>
      </c>
      <c r="F35" s="94">
        <f>Accounts!Q35</f>
        <v/>
      </c>
      <c r="G35" s="94">
        <f>Accounts!R35</f>
        <v/>
      </c>
      <c r="H35" s="94">
        <f>Accounts!I35</f>
        <v/>
      </c>
      <c r="I35" s="94">
        <f>Accounts!J35</f>
        <v/>
      </c>
      <c r="J35" s="93">
        <f>Accounts!S35</f>
        <v/>
      </c>
      <c r="K35" s="88" t="n"/>
      <c r="L35" s="95" t="n"/>
      <c r="M35" s="55" t="b">
        <v>0</v>
      </c>
      <c r="N35" s="96" t="b">
        <v>0</v>
      </c>
      <c r="O35" s="55" t="b">
        <v>0</v>
      </c>
      <c r="P35" s="55" t="b">
        <v>0</v>
      </c>
      <c r="Q35" s="55" t="b">
        <v>0</v>
      </c>
      <c r="R35" s="55" t="b">
        <v>0</v>
      </c>
      <c r="S35" s="55" t="b">
        <v>0</v>
      </c>
      <c r="T35" s="55" t="b">
        <v>0</v>
      </c>
      <c r="U35" s="55" t="b">
        <v>0</v>
      </c>
      <c r="V35" s="55" t="b">
        <v>0</v>
      </c>
    </row>
    <row r="36" ht="69" customHeight="1" s="211">
      <c r="A36" s="92">
        <f>Accounts!A36</f>
        <v/>
      </c>
      <c r="B36" s="55" t="b">
        <v>0</v>
      </c>
      <c r="C36" s="93">
        <f>Accounts!N36</f>
        <v/>
      </c>
      <c r="D36" s="94" t="n"/>
      <c r="E36" s="93">
        <f>Accounts!F36</f>
        <v/>
      </c>
      <c r="F36" s="94">
        <f>Accounts!Q36</f>
        <v/>
      </c>
      <c r="G36" s="94">
        <f>Accounts!R36</f>
        <v/>
      </c>
      <c r="H36" s="94">
        <f>Accounts!I36</f>
        <v/>
      </c>
      <c r="I36" s="94">
        <f>Accounts!J36</f>
        <v/>
      </c>
      <c r="J36" s="93">
        <f>Accounts!S36</f>
        <v/>
      </c>
      <c r="K36" s="88" t="n"/>
      <c r="L36" s="95" t="n"/>
      <c r="M36" s="55" t="b">
        <v>0</v>
      </c>
      <c r="N36" s="96" t="b">
        <v>0</v>
      </c>
      <c r="O36" s="55" t="b">
        <v>0</v>
      </c>
      <c r="P36" s="55" t="b">
        <v>0</v>
      </c>
      <c r="Q36" s="55" t="b">
        <v>0</v>
      </c>
      <c r="R36" s="55" t="b">
        <v>0</v>
      </c>
      <c r="S36" s="55" t="b">
        <v>0</v>
      </c>
      <c r="T36" s="55" t="b">
        <v>0</v>
      </c>
      <c r="U36" s="55" t="b">
        <v>0</v>
      </c>
      <c r="V36" s="55" t="b">
        <v>0</v>
      </c>
    </row>
    <row r="37" ht="69" customHeight="1" s="211">
      <c r="A37" s="92">
        <f>Accounts!A37</f>
        <v/>
      </c>
      <c r="B37" s="55" t="b">
        <v>0</v>
      </c>
      <c r="C37" s="93">
        <f>Accounts!N37</f>
        <v/>
      </c>
      <c r="D37" s="94" t="n"/>
      <c r="E37" s="93">
        <f>Accounts!F37</f>
        <v/>
      </c>
      <c r="F37" s="94">
        <f>Accounts!Q37</f>
        <v/>
      </c>
      <c r="G37" s="94">
        <f>Accounts!R37</f>
        <v/>
      </c>
      <c r="H37" s="94">
        <f>Accounts!I37</f>
        <v/>
      </c>
      <c r="I37" s="94">
        <f>Accounts!J37</f>
        <v/>
      </c>
      <c r="J37" s="93">
        <f>Accounts!S37</f>
        <v/>
      </c>
      <c r="K37" s="88" t="n"/>
      <c r="L37" s="95" t="n"/>
      <c r="M37" s="55" t="b">
        <v>0</v>
      </c>
      <c r="N37" s="96" t="b">
        <v>0</v>
      </c>
      <c r="O37" s="55" t="b">
        <v>0</v>
      </c>
      <c r="P37" s="55" t="b">
        <v>0</v>
      </c>
      <c r="Q37" s="55" t="b">
        <v>0</v>
      </c>
      <c r="R37" s="55" t="b">
        <v>0</v>
      </c>
      <c r="S37" s="55" t="b">
        <v>0</v>
      </c>
      <c r="T37" s="55" t="b">
        <v>0</v>
      </c>
      <c r="U37" s="55" t="b">
        <v>0</v>
      </c>
      <c r="V37" s="55" t="b">
        <v>0</v>
      </c>
    </row>
    <row r="38" ht="69" customHeight="1" s="211">
      <c r="A38" s="92">
        <f>Accounts!A38</f>
        <v/>
      </c>
      <c r="B38" s="55" t="b">
        <v>0</v>
      </c>
      <c r="C38" s="93">
        <f>Accounts!N38</f>
        <v/>
      </c>
      <c r="D38" s="94" t="n"/>
      <c r="E38" s="93">
        <f>Accounts!F38</f>
        <v/>
      </c>
      <c r="F38" s="94">
        <f>Accounts!Q38</f>
        <v/>
      </c>
      <c r="G38" s="94">
        <f>Accounts!R38</f>
        <v/>
      </c>
      <c r="H38" s="94">
        <f>Accounts!I38</f>
        <v/>
      </c>
      <c r="I38" s="94">
        <f>Accounts!J38</f>
        <v/>
      </c>
      <c r="J38" s="93">
        <f>Accounts!S38</f>
        <v/>
      </c>
      <c r="K38" s="88" t="n"/>
      <c r="L38" s="95" t="n"/>
      <c r="M38" s="55" t="b">
        <v>0</v>
      </c>
      <c r="N38" s="96" t="b">
        <v>0</v>
      </c>
      <c r="O38" s="55" t="b">
        <v>0</v>
      </c>
      <c r="P38" s="55" t="b">
        <v>0</v>
      </c>
      <c r="Q38" s="55" t="b">
        <v>0</v>
      </c>
      <c r="R38" s="55" t="b">
        <v>0</v>
      </c>
      <c r="S38" s="55" t="b">
        <v>0</v>
      </c>
      <c r="T38" s="55" t="b">
        <v>0</v>
      </c>
      <c r="U38" s="55" t="b">
        <v>0</v>
      </c>
      <c r="V38" s="55" t="b">
        <v>0</v>
      </c>
    </row>
    <row r="39" ht="69" customHeight="1" s="211">
      <c r="A39" s="92">
        <f>Accounts!A39</f>
        <v/>
      </c>
      <c r="B39" s="55" t="b">
        <v>0</v>
      </c>
      <c r="C39" s="93">
        <f>Accounts!N39</f>
        <v/>
      </c>
      <c r="D39" s="94" t="n"/>
      <c r="E39" s="94">
        <f>Accounts!F39</f>
        <v/>
      </c>
      <c r="F39" s="94">
        <f>Accounts!Q39</f>
        <v/>
      </c>
      <c r="G39" s="94">
        <f>Accounts!R39</f>
        <v/>
      </c>
      <c r="H39" s="94">
        <f>Accounts!I39</f>
        <v/>
      </c>
      <c r="I39" s="94">
        <f>Accounts!J39</f>
        <v/>
      </c>
      <c r="J39" s="93">
        <f>Accounts!S39</f>
        <v/>
      </c>
      <c r="K39" s="88" t="n"/>
      <c r="L39" s="95" t="n"/>
      <c r="M39" s="55" t="b">
        <v>0</v>
      </c>
      <c r="N39" s="96" t="b">
        <v>0</v>
      </c>
      <c r="O39" s="55" t="b">
        <v>0</v>
      </c>
      <c r="P39" s="55" t="b">
        <v>0</v>
      </c>
      <c r="Q39" s="55" t="b">
        <v>0</v>
      </c>
      <c r="R39" s="55" t="b">
        <v>0</v>
      </c>
      <c r="S39" s="55" t="b">
        <v>0</v>
      </c>
      <c r="T39" s="55" t="b">
        <v>0</v>
      </c>
      <c r="U39" s="55" t="b">
        <v>0</v>
      </c>
      <c r="V39" s="55" t="b">
        <v>0</v>
      </c>
    </row>
    <row r="40" ht="69" customHeight="1" s="211">
      <c r="A40" s="92">
        <f>Accounts!A40</f>
        <v/>
      </c>
      <c r="B40" s="55" t="b">
        <v>0</v>
      </c>
      <c r="C40" s="93">
        <f>Accounts!N40</f>
        <v/>
      </c>
      <c r="D40" s="94" t="n"/>
      <c r="E40" s="94">
        <f>Accounts!F40</f>
        <v/>
      </c>
      <c r="F40" s="94">
        <f>Accounts!Q40</f>
        <v/>
      </c>
      <c r="G40" s="94">
        <f>Accounts!R40</f>
        <v/>
      </c>
      <c r="H40" s="94">
        <f>Accounts!I40</f>
        <v/>
      </c>
      <c r="I40" s="94">
        <f>Accounts!J40</f>
        <v/>
      </c>
      <c r="J40" s="93">
        <f>Accounts!S40</f>
        <v/>
      </c>
      <c r="K40" s="88" t="n"/>
      <c r="L40" s="95" t="n"/>
      <c r="M40" s="55" t="b">
        <v>0</v>
      </c>
      <c r="N40" s="96" t="b">
        <v>0</v>
      </c>
      <c r="O40" s="55" t="b">
        <v>0</v>
      </c>
      <c r="P40" s="55" t="b">
        <v>0</v>
      </c>
      <c r="Q40" s="55" t="b">
        <v>0</v>
      </c>
      <c r="R40" s="55" t="b">
        <v>0</v>
      </c>
      <c r="S40" s="55" t="b">
        <v>0</v>
      </c>
      <c r="T40" s="55" t="b">
        <v>0</v>
      </c>
      <c r="U40" s="55" t="b">
        <v>0</v>
      </c>
      <c r="V40" s="55" t="b">
        <v>0</v>
      </c>
    </row>
    <row r="41" ht="69" customHeight="1" s="211">
      <c r="A41" s="92">
        <f>Accounts!A41</f>
        <v/>
      </c>
      <c r="B41" s="55" t="b">
        <v>0</v>
      </c>
      <c r="C41" s="93">
        <f>Accounts!N41</f>
        <v/>
      </c>
      <c r="D41" s="94" t="n"/>
      <c r="E41" s="93">
        <f>Accounts!F41</f>
        <v/>
      </c>
      <c r="F41" s="94">
        <f>Accounts!Q41</f>
        <v/>
      </c>
      <c r="G41" s="94">
        <f>Accounts!R41</f>
        <v/>
      </c>
      <c r="H41" s="94">
        <f>Accounts!I41</f>
        <v/>
      </c>
      <c r="I41" s="94">
        <f>Accounts!J41</f>
        <v/>
      </c>
      <c r="J41" s="93">
        <f>Accounts!S41</f>
        <v/>
      </c>
      <c r="K41" s="88" t="n"/>
      <c r="L41" s="95" t="n"/>
      <c r="M41" s="55" t="b">
        <v>0</v>
      </c>
      <c r="N41" s="96" t="b">
        <v>0</v>
      </c>
      <c r="O41" s="55" t="b">
        <v>0</v>
      </c>
      <c r="P41" s="55" t="b">
        <v>0</v>
      </c>
      <c r="Q41" s="55" t="b">
        <v>0</v>
      </c>
      <c r="R41" s="55" t="b">
        <v>0</v>
      </c>
      <c r="S41" s="55" t="b">
        <v>0</v>
      </c>
      <c r="T41" s="55" t="b">
        <v>0</v>
      </c>
      <c r="U41" s="55" t="b">
        <v>0</v>
      </c>
      <c r="V41" s="55" t="b">
        <v>0</v>
      </c>
    </row>
    <row r="42" ht="69" customHeight="1" s="211">
      <c r="A42" s="92">
        <f>Accounts!A42</f>
        <v/>
      </c>
      <c r="B42" s="55" t="b">
        <v>0</v>
      </c>
      <c r="C42" s="97">
        <f>Accounts!N42</f>
        <v/>
      </c>
      <c r="D42" s="94" t="n"/>
      <c r="E42" s="93">
        <f>Accounts!F42</f>
        <v/>
      </c>
      <c r="F42" s="94">
        <f>Accounts!Q42</f>
        <v/>
      </c>
      <c r="G42" s="94">
        <f>Accounts!R42</f>
        <v/>
      </c>
      <c r="H42" s="94">
        <f>Accounts!I42</f>
        <v/>
      </c>
      <c r="I42" s="94">
        <f>Accounts!J42</f>
        <v/>
      </c>
      <c r="J42" s="93">
        <f>Accounts!S42</f>
        <v/>
      </c>
      <c r="K42" s="88" t="n"/>
      <c r="L42" s="95" t="n"/>
      <c r="M42" s="55" t="b">
        <v>0</v>
      </c>
      <c r="N42" s="96" t="b">
        <v>0</v>
      </c>
      <c r="O42" s="55" t="b">
        <v>0</v>
      </c>
      <c r="P42" s="55" t="b">
        <v>0</v>
      </c>
      <c r="Q42" s="55" t="b">
        <v>0</v>
      </c>
      <c r="R42" s="55" t="b">
        <v>0</v>
      </c>
      <c r="S42" s="55" t="b">
        <v>0</v>
      </c>
      <c r="T42" s="55" t="b">
        <v>0</v>
      </c>
      <c r="U42" s="55" t="b">
        <v>0</v>
      </c>
      <c r="V42" s="55" t="b">
        <v>0</v>
      </c>
    </row>
    <row r="43" ht="69" customHeight="1" s="211">
      <c r="A43" s="92">
        <f>Accounts!A43</f>
        <v/>
      </c>
      <c r="B43" s="55" t="b">
        <v>0</v>
      </c>
      <c r="C43" s="97">
        <f>Accounts!N43</f>
        <v/>
      </c>
      <c r="D43" s="94" t="n"/>
      <c r="E43" s="94">
        <f>Accounts!F43</f>
        <v/>
      </c>
      <c r="F43" s="94">
        <f>Accounts!Q43</f>
        <v/>
      </c>
      <c r="G43" s="94">
        <f>Accounts!R43</f>
        <v/>
      </c>
      <c r="H43" s="94">
        <f>Accounts!I43</f>
        <v/>
      </c>
      <c r="I43" s="94">
        <f>Accounts!J43</f>
        <v/>
      </c>
      <c r="J43" s="93">
        <f>Accounts!S43</f>
        <v/>
      </c>
      <c r="K43" s="88" t="n"/>
      <c r="L43" s="95" t="n"/>
      <c r="M43" s="55" t="b">
        <v>0</v>
      </c>
      <c r="N43" s="96" t="b">
        <v>0</v>
      </c>
      <c r="O43" s="55" t="b">
        <v>0</v>
      </c>
      <c r="P43" s="55" t="b">
        <v>0</v>
      </c>
      <c r="Q43" s="55" t="b">
        <v>0</v>
      </c>
      <c r="R43" s="55" t="b">
        <v>0</v>
      </c>
      <c r="S43" s="55" t="b">
        <v>0</v>
      </c>
      <c r="T43" s="55" t="b">
        <v>0</v>
      </c>
      <c r="U43" s="55" t="b">
        <v>0</v>
      </c>
      <c r="V43" s="55" t="b">
        <v>0</v>
      </c>
    </row>
    <row r="44" ht="69" customHeight="1" s="211">
      <c r="A44" s="92">
        <f>Accounts!A44</f>
        <v/>
      </c>
      <c r="B44" s="55" t="b">
        <v>0</v>
      </c>
      <c r="C44" s="93">
        <f>Accounts!N44</f>
        <v/>
      </c>
      <c r="D44" s="94" t="n"/>
      <c r="E44" s="93">
        <f>Accounts!F44</f>
        <v/>
      </c>
      <c r="F44" s="94">
        <f>Accounts!Q44</f>
        <v/>
      </c>
      <c r="G44" s="94">
        <f>Accounts!R44</f>
        <v/>
      </c>
      <c r="H44" s="94">
        <f>Accounts!I44</f>
        <v/>
      </c>
      <c r="I44" s="94">
        <f>Accounts!J44</f>
        <v/>
      </c>
      <c r="J44" s="93">
        <f>Accounts!S44</f>
        <v/>
      </c>
      <c r="K44" s="88" t="n"/>
      <c r="L44" s="95" t="n"/>
      <c r="M44" s="55" t="b">
        <v>0</v>
      </c>
      <c r="N44" s="96" t="b">
        <v>0</v>
      </c>
      <c r="O44" s="55" t="b">
        <v>0</v>
      </c>
      <c r="P44" s="55" t="b">
        <v>0</v>
      </c>
      <c r="Q44" s="55" t="b">
        <v>0</v>
      </c>
      <c r="R44" s="55" t="b">
        <v>0</v>
      </c>
      <c r="S44" s="55" t="b">
        <v>0</v>
      </c>
      <c r="T44" s="55" t="b">
        <v>0</v>
      </c>
      <c r="U44" s="55" t="b">
        <v>0</v>
      </c>
      <c r="V44" s="55" t="b">
        <v>0</v>
      </c>
    </row>
    <row r="45" ht="69" customHeight="1" s="211">
      <c r="A45" s="92">
        <f>Accounts!A45</f>
        <v/>
      </c>
      <c r="B45" s="55" t="b">
        <v>0</v>
      </c>
      <c r="C45" s="93">
        <f>Accounts!N45</f>
        <v/>
      </c>
      <c r="D45" s="94" t="n"/>
      <c r="E45" s="93">
        <f>Accounts!F45</f>
        <v/>
      </c>
      <c r="F45" s="94">
        <f>Accounts!Q45</f>
        <v/>
      </c>
      <c r="G45" s="94">
        <f>Accounts!R45</f>
        <v/>
      </c>
      <c r="H45" s="94">
        <f>Accounts!I45</f>
        <v/>
      </c>
      <c r="I45" s="94">
        <f>Accounts!J45</f>
        <v/>
      </c>
      <c r="J45" s="93">
        <f>Accounts!S45</f>
        <v/>
      </c>
      <c r="K45" s="88" t="n"/>
      <c r="L45" s="95" t="n"/>
      <c r="M45" s="55" t="b">
        <v>0</v>
      </c>
      <c r="N45" s="96" t="b">
        <v>0</v>
      </c>
      <c r="O45" s="55" t="b">
        <v>0</v>
      </c>
      <c r="P45" s="55" t="b">
        <v>0</v>
      </c>
      <c r="Q45" s="55" t="b">
        <v>0</v>
      </c>
      <c r="R45" s="55" t="b">
        <v>0</v>
      </c>
      <c r="S45" s="55" t="b">
        <v>0</v>
      </c>
      <c r="T45" s="55" t="b">
        <v>0</v>
      </c>
      <c r="U45" s="55" t="b">
        <v>0</v>
      </c>
      <c r="V45" s="55" t="b">
        <v>0</v>
      </c>
    </row>
    <row r="46" ht="69" customHeight="1" s="211">
      <c r="A46" s="92">
        <f>Accounts!A46</f>
        <v/>
      </c>
      <c r="B46" s="55" t="b">
        <v>0</v>
      </c>
      <c r="C46" s="93">
        <f>Accounts!N46</f>
        <v/>
      </c>
      <c r="D46" s="94" t="n"/>
      <c r="E46" s="93">
        <f>Accounts!F46</f>
        <v/>
      </c>
      <c r="F46" s="94">
        <f>Accounts!Q46</f>
        <v/>
      </c>
      <c r="G46" s="94">
        <f>Accounts!R46</f>
        <v/>
      </c>
      <c r="H46" s="94">
        <f>Accounts!I46</f>
        <v/>
      </c>
      <c r="I46" s="94">
        <f>Accounts!J46</f>
        <v/>
      </c>
      <c r="J46" s="93">
        <f>Accounts!S46</f>
        <v/>
      </c>
      <c r="K46" s="88" t="n"/>
      <c r="L46" s="95" t="n"/>
      <c r="M46" s="55" t="b">
        <v>0</v>
      </c>
      <c r="N46" s="96" t="b">
        <v>0</v>
      </c>
      <c r="O46" s="55" t="b">
        <v>0</v>
      </c>
      <c r="P46" s="55" t="b">
        <v>0</v>
      </c>
      <c r="Q46" s="55" t="b">
        <v>0</v>
      </c>
      <c r="R46" s="55" t="b">
        <v>0</v>
      </c>
      <c r="S46" s="55" t="b">
        <v>0</v>
      </c>
      <c r="T46" s="55" t="b">
        <v>0</v>
      </c>
      <c r="U46" s="55" t="b">
        <v>0</v>
      </c>
      <c r="V46" s="55" t="b">
        <v>0</v>
      </c>
    </row>
    <row r="47" ht="69" customHeight="1" s="211">
      <c r="A47" s="92">
        <f>Accounts!A47</f>
        <v/>
      </c>
      <c r="B47" s="55" t="b">
        <v>0</v>
      </c>
      <c r="C47" s="93">
        <f>Accounts!N47</f>
        <v/>
      </c>
      <c r="D47" s="94" t="n"/>
      <c r="E47" s="93">
        <f>Accounts!F47</f>
        <v/>
      </c>
      <c r="F47" s="94">
        <f>Accounts!Q47</f>
        <v/>
      </c>
      <c r="G47" s="94">
        <f>Accounts!R47</f>
        <v/>
      </c>
      <c r="H47" s="94">
        <f>Accounts!I47</f>
        <v/>
      </c>
      <c r="I47" s="94">
        <f>Accounts!J47</f>
        <v/>
      </c>
      <c r="J47" s="93">
        <f>Accounts!S47</f>
        <v/>
      </c>
      <c r="K47" s="88" t="n"/>
      <c r="L47" s="95" t="n"/>
      <c r="M47" s="55" t="b">
        <v>0</v>
      </c>
      <c r="N47" s="96" t="b">
        <v>0</v>
      </c>
      <c r="O47" s="55" t="b">
        <v>0</v>
      </c>
      <c r="P47" s="55" t="b">
        <v>0</v>
      </c>
      <c r="Q47" s="55" t="b">
        <v>0</v>
      </c>
      <c r="R47" s="55" t="b">
        <v>0</v>
      </c>
      <c r="S47" s="55" t="b">
        <v>0</v>
      </c>
      <c r="T47" s="55" t="b">
        <v>0</v>
      </c>
      <c r="U47" s="55" t="b">
        <v>0</v>
      </c>
      <c r="V47" s="55" t="b">
        <v>0</v>
      </c>
    </row>
    <row r="48" ht="69" customHeight="1" s="211">
      <c r="A48" s="92">
        <f>Accounts!A48</f>
        <v/>
      </c>
      <c r="B48" s="55" t="b">
        <v>0</v>
      </c>
      <c r="C48" s="93">
        <f>Accounts!N48</f>
        <v/>
      </c>
      <c r="D48" s="94" t="n"/>
      <c r="E48" s="94">
        <f>Accounts!F48</f>
        <v/>
      </c>
      <c r="F48" s="94">
        <f>Accounts!Q48</f>
        <v/>
      </c>
      <c r="G48" s="94">
        <f>Accounts!R48</f>
        <v/>
      </c>
      <c r="H48" s="94">
        <f>Accounts!I48</f>
        <v/>
      </c>
      <c r="I48" s="94">
        <f>Accounts!J48</f>
        <v/>
      </c>
      <c r="J48" s="93">
        <f>Accounts!S48</f>
        <v/>
      </c>
      <c r="K48" s="88" t="n"/>
      <c r="L48" s="95" t="n"/>
      <c r="M48" s="55" t="b">
        <v>0</v>
      </c>
      <c r="N48" s="96" t="b">
        <v>0</v>
      </c>
      <c r="O48" s="55" t="b">
        <v>0</v>
      </c>
      <c r="P48" s="55" t="b">
        <v>0</v>
      </c>
      <c r="Q48" s="55" t="b">
        <v>0</v>
      </c>
      <c r="R48" s="55" t="b">
        <v>0</v>
      </c>
      <c r="S48" s="55" t="b">
        <v>0</v>
      </c>
      <c r="T48" s="55" t="b">
        <v>0</v>
      </c>
      <c r="U48" s="55" t="b">
        <v>0</v>
      </c>
      <c r="V48" s="55" t="b">
        <v>0</v>
      </c>
    </row>
    <row r="49" ht="69" customHeight="1" s="211">
      <c r="A49" s="92">
        <f>Accounts!A49</f>
        <v/>
      </c>
      <c r="B49" s="55" t="b">
        <v>0</v>
      </c>
      <c r="C49" s="93">
        <f>Accounts!N49</f>
        <v/>
      </c>
      <c r="D49" s="94" t="n"/>
      <c r="E49" s="93">
        <f>Accounts!F49</f>
        <v/>
      </c>
      <c r="F49" s="94">
        <f>Accounts!Q49</f>
        <v/>
      </c>
      <c r="G49" s="94">
        <f>Accounts!R49</f>
        <v/>
      </c>
      <c r="H49" s="94">
        <f>Accounts!I49</f>
        <v/>
      </c>
      <c r="I49" s="94">
        <f>Accounts!J49</f>
        <v/>
      </c>
      <c r="J49" s="93">
        <f>Accounts!S49</f>
        <v/>
      </c>
      <c r="K49" s="88" t="n"/>
      <c r="L49" s="95" t="n"/>
      <c r="M49" s="55" t="b">
        <v>0</v>
      </c>
      <c r="N49" s="96" t="b">
        <v>0</v>
      </c>
      <c r="O49" s="55" t="b">
        <v>0</v>
      </c>
      <c r="P49" s="55" t="b">
        <v>0</v>
      </c>
      <c r="Q49" s="55" t="b">
        <v>0</v>
      </c>
      <c r="R49" s="55" t="b">
        <v>0</v>
      </c>
      <c r="S49" s="55" t="b">
        <v>0</v>
      </c>
      <c r="T49" s="55" t="b">
        <v>0</v>
      </c>
      <c r="U49" s="55" t="b">
        <v>0</v>
      </c>
      <c r="V49" s="55" t="b">
        <v>0</v>
      </c>
    </row>
    <row r="50" ht="69" customHeight="1" s="211">
      <c r="A50" s="92">
        <f>Accounts!A50</f>
        <v/>
      </c>
      <c r="B50" s="55" t="b">
        <v>0</v>
      </c>
      <c r="C50" s="97">
        <f>Accounts!N50</f>
        <v/>
      </c>
      <c r="D50" s="94" t="n"/>
      <c r="E50" s="94">
        <f>Accounts!F50</f>
        <v/>
      </c>
      <c r="F50" s="94">
        <f>Accounts!Q50</f>
        <v/>
      </c>
      <c r="G50" s="94">
        <f>Accounts!R50</f>
        <v/>
      </c>
      <c r="H50" s="94">
        <f>Accounts!I50</f>
        <v/>
      </c>
      <c r="I50" s="94">
        <f>Accounts!J50</f>
        <v/>
      </c>
      <c r="J50" s="94">
        <f>Accounts!S50</f>
        <v/>
      </c>
      <c r="K50" s="88" t="n"/>
      <c r="L50" s="95" t="n"/>
      <c r="M50" s="55" t="b">
        <v>0</v>
      </c>
      <c r="N50" s="96" t="b">
        <v>0</v>
      </c>
      <c r="O50" s="55" t="b">
        <v>0</v>
      </c>
      <c r="P50" s="55" t="b">
        <v>0</v>
      </c>
      <c r="Q50" s="55" t="b">
        <v>0</v>
      </c>
      <c r="R50" s="55" t="b">
        <v>0</v>
      </c>
      <c r="S50" s="55" t="b">
        <v>0</v>
      </c>
      <c r="T50" s="55" t="b">
        <v>0</v>
      </c>
      <c r="U50" s="55" t="b">
        <v>0</v>
      </c>
      <c r="V50" s="55" t="b">
        <v>0</v>
      </c>
    </row>
    <row r="51" ht="69" customHeight="1" s="211">
      <c r="A51" s="92">
        <f>Accounts!A51</f>
        <v/>
      </c>
      <c r="B51" s="55" t="b">
        <v>0</v>
      </c>
      <c r="C51" s="93">
        <f>Accounts!N51</f>
        <v/>
      </c>
      <c r="D51" s="94" t="n"/>
      <c r="E51" s="93">
        <f>Accounts!F51</f>
        <v/>
      </c>
      <c r="F51" s="94">
        <f>Accounts!Q51</f>
        <v/>
      </c>
      <c r="G51" s="94">
        <f>Accounts!R51</f>
        <v/>
      </c>
      <c r="H51" s="94">
        <f>Accounts!I51</f>
        <v/>
      </c>
      <c r="I51" s="94">
        <f>Accounts!J51</f>
        <v/>
      </c>
      <c r="J51" s="93">
        <f>Accounts!S51</f>
        <v/>
      </c>
      <c r="K51" s="88" t="n"/>
      <c r="L51" s="95" t="n"/>
      <c r="M51" s="55" t="b">
        <v>0</v>
      </c>
      <c r="N51" s="96" t="b">
        <v>0</v>
      </c>
      <c r="O51" s="55" t="b">
        <v>0</v>
      </c>
      <c r="P51" s="55" t="b">
        <v>0</v>
      </c>
      <c r="Q51" s="55" t="b">
        <v>0</v>
      </c>
      <c r="R51" s="55" t="b">
        <v>0</v>
      </c>
      <c r="S51" s="55" t="b">
        <v>0</v>
      </c>
      <c r="T51" s="55" t="b">
        <v>0</v>
      </c>
      <c r="U51" s="55" t="b">
        <v>0</v>
      </c>
      <c r="V51" s="55" t="b">
        <v>0</v>
      </c>
    </row>
    <row r="52" ht="69" customHeight="1" s="211">
      <c r="A52" s="92">
        <f>Accounts!A52</f>
        <v/>
      </c>
      <c r="B52" s="55" t="b">
        <v>0</v>
      </c>
      <c r="C52" s="93">
        <f>Accounts!N52</f>
        <v/>
      </c>
      <c r="D52" s="94" t="n"/>
      <c r="E52" s="93">
        <f>Accounts!F52</f>
        <v/>
      </c>
      <c r="F52" s="94">
        <f>Accounts!Q52</f>
        <v/>
      </c>
      <c r="G52" s="94">
        <f>Accounts!R52</f>
        <v/>
      </c>
      <c r="H52" s="94">
        <f>Accounts!I52</f>
        <v/>
      </c>
      <c r="I52" s="94">
        <f>Accounts!J52</f>
        <v/>
      </c>
      <c r="J52" s="93">
        <f>Accounts!S52</f>
        <v/>
      </c>
      <c r="K52" s="88" t="n"/>
      <c r="L52" s="95" t="n"/>
      <c r="M52" s="55" t="b">
        <v>0</v>
      </c>
      <c r="N52" s="96" t="b">
        <v>0</v>
      </c>
      <c r="O52" s="55" t="b">
        <v>0</v>
      </c>
      <c r="P52" s="55" t="b">
        <v>0</v>
      </c>
      <c r="Q52" s="55" t="b">
        <v>0</v>
      </c>
      <c r="R52" s="55" t="b">
        <v>0</v>
      </c>
      <c r="S52" s="55" t="b">
        <v>0</v>
      </c>
      <c r="T52" s="55" t="b">
        <v>0</v>
      </c>
      <c r="U52" s="55" t="b">
        <v>0</v>
      </c>
      <c r="V52" s="55" t="b">
        <v>0</v>
      </c>
    </row>
    <row r="53" ht="69" customHeight="1" s="211">
      <c r="A53" s="92">
        <f>Accounts!A53</f>
        <v/>
      </c>
      <c r="B53" s="55" t="b">
        <v>0</v>
      </c>
      <c r="C53" s="93">
        <f>Accounts!N53</f>
        <v/>
      </c>
      <c r="D53" s="94" t="n"/>
      <c r="E53" s="93">
        <f>Accounts!F53</f>
        <v/>
      </c>
      <c r="F53" s="94">
        <f>Accounts!Q53</f>
        <v/>
      </c>
      <c r="G53" s="94">
        <f>Accounts!R53</f>
        <v/>
      </c>
      <c r="H53" s="94">
        <f>Accounts!I53</f>
        <v/>
      </c>
      <c r="I53" s="94">
        <f>Accounts!J53</f>
        <v/>
      </c>
      <c r="J53" s="93">
        <f>Accounts!S53</f>
        <v/>
      </c>
      <c r="K53" s="88" t="n"/>
      <c r="L53" s="95" t="n"/>
      <c r="M53" s="55" t="b">
        <v>0</v>
      </c>
      <c r="N53" s="96" t="b">
        <v>0</v>
      </c>
      <c r="O53" s="55" t="b">
        <v>0</v>
      </c>
      <c r="P53" s="55" t="b">
        <v>0</v>
      </c>
      <c r="Q53" s="55" t="b">
        <v>0</v>
      </c>
      <c r="R53" s="55" t="b">
        <v>0</v>
      </c>
      <c r="S53" s="55" t="b">
        <v>0</v>
      </c>
      <c r="T53" s="55" t="b">
        <v>0</v>
      </c>
      <c r="U53" s="55" t="b">
        <v>0</v>
      </c>
      <c r="V53" s="55" t="b">
        <v>0</v>
      </c>
    </row>
    <row r="54" ht="69" customHeight="1" s="211">
      <c r="A54" s="92">
        <f>Accounts!A54</f>
        <v/>
      </c>
      <c r="B54" s="55" t="b">
        <v>0</v>
      </c>
      <c r="C54" s="93">
        <f>Accounts!N54</f>
        <v/>
      </c>
      <c r="D54" s="94" t="n"/>
      <c r="E54" s="93">
        <f>Accounts!F54</f>
        <v/>
      </c>
      <c r="F54" s="94">
        <f>Accounts!Q54</f>
        <v/>
      </c>
      <c r="G54" s="94">
        <f>Accounts!R54</f>
        <v/>
      </c>
      <c r="H54" s="94">
        <f>Accounts!I54</f>
        <v/>
      </c>
      <c r="I54" s="94">
        <f>Accounts!J54</f>
        <v/>
      </c>
      <c r="J54" s="93">
        <f>Accounts!S54</f>
        <v/>
      </c>
      <c r="K54" s="88" t="n"/>
      <c r="L54" s="95" t="n"/>
      <c r="M54" s="55" t="b">
        <v>0</v>
      </c>
      <c r="N54" s="96" t="b">
        <v>0</v>
      </c>
      <c r="O54" s="55" t="b">
        <v>0</v>
      </c>
      <c r="P54" s="55" t="b">
        <v>0</v>
      </c>
      <c r="Q54" s="55" t="b">
        <v>0</v>
      </c>
      <c r="R54" s="55" t="b">
        <v>0</v>
      </c>
      <c r="S54" s="55" t="b">
        <v>0</v>
      </c>
      <c r="T54" s="55" t="b">
        <v>0</v>
      </c>
      <c r="U54" s="55" t="b">
        <v>0</v>
      </c>
      <c r="V54" s="55" t="b">
        <v>0</v>
      </c>
    </row>
    <row r="55" ht="69" customHeight="1" s="211">
      <c r="A55" s="92">
        <f>Accounts!A55</f>
        <v/>
      </c>
      <c r="B55" s="55" t="b">
        <v>0</v>
      </c>
      <c r="C55" s="93">
        <f>Accounts!N55</f>
        <v/>
      </c>
      <c r="D55" s="94" t="n"/>
      <c r="E55" s="93">
        <f>Accounts!F55</f>
        <v/>
      </c>
      <c r="F55" s="94">
        <f>Accounts!Q55</f>
        <v/>
      </c>
      <c r="G55" s="94">
        <f>Accounts!R55</f>
        <v/>
      </c>
      <c r="H55" s="94">
        <f>Accounts!I55</f>
        <v/>
      </c>
      <c r="I55" s="94">
        <f>Accounts!J55</f>
        <v/>
      </c>
      <c r="J55" s="93">
        <f>Accounts!S55</f>
        <v/>
      </c>
      <c r="K55" s="88" t="n"/>
      <c r="L55" s="95" t="n"/>
      <c r="M55" s="55" t="b">
        <v>0</v>
      </c>
      <c r="N55" s="96" t="b">
        <v>0</v>
      </c>
      <c r="O55" s="55" t="b">
        <v>0</v>
      </c>
      <c r="P55" s="55" t="b">
        <v>0</v>
      </c>
      <c r="Q55" s="55" t="b">
        <v>0</v>
      </c>
      <c r="R55" s="55" t="b">
        <v>0</v>
      </c>
      <c r="S55" s="55" t="b">
        <v>0</v>
      </c>
      <c r="T55" s="55" t="b">
        <v>0</v>
      </c>
      <c r="U55" s="55" t="b">
        <v>0</v>
      </c>
      <c r="V55" s="55" t="b">
        <v>0</v>
      </c>
    </row>
    <row r="56" ht="69" customHeight="1" s="211">
      <c r="A56" s="92">
        <f>Accounts!A56</f>
        <v/>
      </c>
      <c r="B56" s="55" t="b">
        <v>0</v>
      </c>
      <c r="C56" s="93">
        <f>Accounts!N56</f>
        <v/>
      </c>
      <c r="D56" s="94" t="n"/>
      <c r="E56" s="93">
        <f>Accounts!F56</f>
        <v/>
      </c>
      <c r="F56" s="94">
        <f>Accounts!Q56</f>
        <v/>
      </c>
      <c r="G56" s="94">
        <f>Accounts!R56</f>
        <v/>
      </c>
      <c r="H56" s="94">
        <f>Accounts!I56</f>
        <v/>
      </c>
      <c r="I56" s="94">
        <f>Accounts!J56</f>
        <v/>
      </c>
      <c r="J56" s="93">
        <f>Accounts!S56</f>
        <v/>
      </c>
      <c r="K56" s="88" t="n"/>
      <c r="L56" s="95" t="n"/>
      <c r="M56" s="55" t="b">
        <v>0</v>
      </c>
      <c r="N56" s="96" t="b">
        <v>0</v>
      </c>
      <c r="O56" s="55" t="b">
        <v>0</v>
      </c>
      <c r="P56" s="55" t="b">
        <v>0</v>
      </c>
      <c r="Q56" s="55" t="b">
        <v>0</v>
      </c>
      <c r="R56" s="55" t="b">
        <v>0</v>
      </c>
      <c r="S56" s="55" t="b">
        <v>0</v>
      </c>
      <c r="T56" s="55" t="b">
        <v>0</v>
      </c>
      <c r="U56" s="55" t="b">
        <v>0</v>
      </c>
      <c r="V56" s="55" t="b">
        <v>0</v>
      </c>
    </row>
    <row r="57" ht="69" customHeight="1" s="211">
      <c r="A57" s="92">
        <f>Accounts!A57</f>
        <v/>
      </c>
      <c r="B57" s="55" t="b">
        <v>0</v>
      </c>
      <c r="C57" s="93">
        <f>Accounts!N57</f>
        <v/>
      </c>
      <c r="D57" s="94" t="n"/>
      <c r="E57" s="93">
        <f>Accounts!F57</f>
        <v/>
      </c>
      <c r="F57" s="94">
        <f>Accounts!Q57</f>
        <v/>
      </c>
      <c r="G57" s="94">
        <f>Accounts!R57</f>
        <v/>
      </c>
      <c r="H57" s="94">
        <f>Accounts!I57</f>
        <v/>
      </c>
      <c r="I57" s="94">
        <f>Accounts!J57</f>
        <v/>
      </c>
      <c r="J57" s="93">
        <f>Accounts!S57</f>
        <v/>
      </c>
      <c r="K57" s="88" t="n"/>
      <c r="L57" s="95" t="n"/>
      <c r="M57" s="55" t="b">
        <v>0</v>
      </c>
      <c r="N57" s="96" t="b">
        <v>0</v>
      </c>
      <c r="O57" s="55" t="b">
        <v>0</v>
      </c>
      <c r="P57" s="55" t="b">
        <v>0</v>
      </c>
      <c r="Q57" s="55" t="b">
        <v>0</v>
      </c>
      <c r="R57" s="55" t="b">
        <v>0</v>
      </c>
      <c r="S57" s="55" t="b">
        <v>0</v>
      </c>
      <c r="T57" s="55" t="b">
        <v>0</v>
      </c>
      <c r="U57" s="55" t="b">
        <v>0</v>
      </c>
      <c r="V57" s="55" t="b">
        <v>0</v>
      </c>
    </row>
    <row r="58" ht="69" customHeight="1" s="211">
      <c r="A58" s="92">
        <f>Accounts!A58</f>
        <v/>
      </c>
      <c r="B58" s="55" t="b">
        <v>0</v>
      </c>
      <c r="C58" s="93">
        <f>Accounts!N58</f>
        <v/>
      </c>
      <c r="D58" s="94" t="n"/>
      <c r="E58" s="93">
        <f>Accounts!F58</f>
        <v/>
      </c>
      <c r="F58" s="94">
        <f>Accounts!Q58</f>
        <v/>
      </c>
      <c r="G58" s="94">
        <f>Accounts!R58</f>
        <v/>
      </c>
      <c r="H58" s="94">
        <f>Accounts!I58</f>
        <v/>
      </c>
      <c r="I58" s="94">
        <f>Accounts!J58</f>
        <v/>
      </c>
      <c r="J58" s="93">
        <f>Accounts!S58</f>
        <v/>
      </c>
      <c r="K58" s="88" t="n"/>
      <c r="L58" s="95" t="n"/>
      <c r="M58" s="55" t="b">
        <v>0</v>
      </c>
      <c r="N58" s="96" t="b">
        <v>0</v>
      </c>
      <c r="O58" s="55" t="b">
        <v>0</v>
      </c>
      <c r="P58" s="55" t="b">
        <v>0</v>
      </c>
      <c r="Q58" s="55" t="b">
        <v>0</v>
      </c>
      <c r="R58" s="55" t="b">
        <v>0</v>
      </c>
      <c r="S58" s="55" t="b">
        <v>0</v>
      </c>
      <c r="T58" s="55" t="b">
        <v>0</v>
      </c>
      <c r="U58" s="55" t="b">
        <v>0</v>
      </c>
      <c r="V58" s="55" t="b">
        <v>0</v>
      </c>
    </row>
    <row r="59" ht="69" customHeight="1" s="211">
      <c r="A59" s="92">
        <f>Accounts!A59</f>
        <v/>
      </c>
      <c r="B59" s="55" t="b">
        <v>0</v>
      </c>
      <c r="C59" s="93">
        <f>Accounts!N59</f>
        <v/>
      </c>
      <c r="D59" s="94" t="n"/>
      <c r="E59" s="94">
        <f>Accounts!F59</f>
        <v/>
      </c>
      <c r="F59" s="94">
        <f>Accounts!Q59</f>
        <v/>
      </c>
      <c r="G59" s="94">
        <f>Accounts!R59</f>
        <v/>
      </c>
      <c r="H59" s="94">
        <f>Accounts!I59</f>
        <v/>
      </c>
      <c r="I59" s="94">
        <f>Accounts!J59</f>
        <v/>
      </c>
      <c r="J59" s="93">
        <f>Accounts!S59</f>
        <v/>
      </c>
      <c r="K59" s="88" t="n"/>
      <c r="L59" s="95" t="n"/>
      <c r="M59" s="55" t="b">
        <v>0</v>
      </c>
      <c r="N59" s="96" t="b">
        <v>0</v>
      </c>
      <c r="O59" s="55" t="b">
        <v>0</v>
      </c>
      <c r="P59" s="55" t="b">
        <v>0</v>
      </c>
      <c r="Q59" s="55" t="b">
        <v>0</v>
      </c>
      <c r="R59" s="55" t="b">
        <v>0</v>
      </c>
      <c r="S59" s="55" t="b">
        <v>0</v>
      </c>
      <c r="T59" s="55" t="b">
        <v>0</v>
      </c>
      <c r="U59" s="55" t="b">
        <v>0</v>
      </c>
      <c r="V59" s="55" t="b">
        <v>0</v>
      </c>
    </row>
    <row r="60" ht="69" customHeight="1" s="211">
      <c r="A60" s="92">
        <f>Accounts!A60</f>
        <v/>
      </c>
      <c r="B60" s="55" t="b">
        <v>0</v>
      </c>
      <c r="C60" s="93">
        <f>Accounts!N60</f>
        <v/>
      </c>
      <c r="D60" s="94" t="n"/>
      <c r="E60" s="93">
        <f>Accounts!F60</f>
        <v/>
      </c>
      <c r="F60" s="94">
        <f>Accounts!Q60</f>
        <v/>
      </c>
      <c r="G60" s="94">
        <f>Accounts!R60</f>
        <v/>
      </c>
      <c r="H60" s="94">
        <f>Accounts!I60</f>
        <v/>
      </c>
      <c r="I60" s="94">
        <f>Accounts!J60</f>
        <v/>
      </c>
      <c r="J60" s="93">
        <f>Accounts!S60</f>
        <v/>
      </c>
      <c r="K60" s="88" t="n"/>
      <c r="L60" s="95" t="n"/>
      <c r="M60" s="55" t="b">
        <v>0</v>
      </c>
      <c r="N60" s="96" t="b">
        <v>0</v>
      </c>
      <c r="O60" s="55" t="b">
        <v>0</v>
      </c>
      <c r="P60" s="55" t="b">
        <v>0</v>
      </c>
      <c r="Q60" s="55" t="b">
        <v>0</v>
      </c>
      <c r="R60" s="55" t="b">
        <v>0</v>
      </c>
      <c r="S60" s="55" t="b">
        <v>0</v>
      </c>
      <c r="T60" s="55" t="b">
        <v>0</v>
      </c>
      <c r="U60" s="55" t="b">
        <v>0</v>
      </c>
      <c r="V60" s="55" t="b">
        <v>0</v>
      </c>
    </row>
    <row r="61" ht="69" customHeight="1" s="211">
      <c r="A61" s="92">
        <f>Accounts!A61</f>
        <v/>
      </c>
      <c r="B61" s="55" t="b">
        <v>0</v>
      </c>
      <c r="C61" s="93">
        <f>Accounts!N61</f>
        <v/>
      </c>
      <c r="D61" s="94" t="n"/>
      <c r="E61" s="93">
        <f>Accounts!F61</f>
        <v/>
      </c>
      <c r="F61" s="94">
        <f>Accounts!Q61</f>
        <v/>
      </c>
      <c r="G61" s="94">
        <f>Accounts!R61</f>
        <v/>
      </c>
      <c r="H61" s="94">
        <f>Accounts!I61</f>
        <v/>
      </c>
      <c r="I61" s="94">
        <f>Accounts!J61</f>
        <v/>
      </c>
      <c r="J61" s="93">
        <f>Accounts!S61</f>
        <v/>
      </c>
      <c r="K61" s="88" t="n"/>
      <c r="L61" s="95" t="n"/>
      <c r="M61" s="55" t="b">
        <v>0</v>
      </c>
      <c r="N61" s="96" t="b">
        <v>0</v>
      </c>
      <c r="O61" s="55" t="b">
        <v>0</v>
      </c>
      <c r="P61" s="55" t="b">
        <v>0</v>
      </c>
      <c r="Q61" s="55" t="b">
        <v>0</v>
      </c>
      <c r="R61" s="55" t="b">
        <v>0</v>
      </c>
      <c r="S61" s="55" t="b">
        <v>0</v>
      </c>
      <c r="T61" s="55" t="b">
        <v>0</v>
      </c>
      <c r="U61" s="55" t="b">
        <v>0</v>
      </c>
      <c r="V61" s="55" t="b">
        <v>0</v>
      </c>
    </row>
    <row r="62" ht="69" customHeight="1" s="211">
      <c r="A62" s="92">
        <f>Accounts!A62</f>
        <v/>
      </c>
      <c r="B62" s="55" t="b">
        <v>0</v>
      </c>
      <c r="C62" s="93">
        <f>Accounts!N62</f>
        <v/>
      </c>
      <c r="D62" s="94" t="n"/>
      <c r="E62" s="93">
        <f>Accounts!F62</f>
        <v/>
      </c>
      <c r="F62" s="94">
        <f>Accounts!Q62</f>
        <v/>
      </c>
      <c r="G62" s="94">
        <f>Accounts!R62</f>
        <v/>
      </c>
      <c r="H62" s="94">
        <f>Accounts!I62</f>
        <v/>
      </c>
      <c r="I62" s="94">
        <f>Accounts!J62</f>
        <v/>
      </c>
      <c r="J62" s="94">
        <f>Accounts!S62</f>
        <v/>
      </c>
      <c r="K62" s="88" t="n"/>
      <c r="L62" s="95" t="n"/>
      <c r="M62" s="55" t="b">
        <v>0</v>
      </c>
      <c r="N62" s="96" t="b">
        <v>0</v>
      </c>
      <c r="O62" s="55" t="b">
        <v>0</v>
      </c>
      <c r="P62" s="55" t="b">
        <v>0</v>
      </c>
      <c r="Q62" s="55" t="b">
        <v>0</v>
      </c>
      <c r="R62" s="55" t="b">
        <v>0</v>
      </c>
      <c r="S62" s="55" t="b">
        <v>0</v>
      </c>
      <c r="T62" s="55" t="b">
        <v>0</v>
      </c>
      <c r="U62" s="55" t="b">
        <v>0</v>
      </c>
      <c r="V62" s="55" t="b">
        <v>0</v>
      </c>
    </row>
    <row r="63" ht="69" customHeight="1" s="211">
      <c r="A63" s="92">
        <f>Accounts!A63</f>
        <v/>
      </c>
      <c r="B63" s="55" t="b">
        <v>0</v>
      </c>
      <c r="C63" s="93">
        <f>Accounts!N63</f>
        <v/>
      </c>
      <c r="D63" s="94" t="n"/>
      <c r="E63" s="93">
        <f>Accounts!F63</f>
        <v/>
      </c>
      <c r="F63" s="94">
        <f>Accounts!Q63</f>
        <v/>
      </c>
      <c r="G63" s="94">
        <f>Accounts!R63</f>
        <v/>
      </c>
      <c r="H63" s="94">
        <f>Accounts!I63</f>
        <v/>
      </c>
      <c r="I63" s="94">
        <f>Accounts!J63</f>
        <v/>
      </c>
      <c r="J63" s="93">
        <f>Accounts!S63</f>
        <v/>
      </c>
      <c r="K63" s="88" t="n"/>
      <c r="L63" s="95" t="n"/>
      <c r="M63" s="55" t="b">
        <v>0</v>
      </c>
      <c r="N63" s="96" t="b">
        <v>0</v>
      </c>
      <c r="O63" s="55" t="b">
        <v>0</v>
      </c>
      <c r="P63" s="55" t="b">
        <v>0</v>
      </c>
      <c r="Q63" s="55" t="b">
        <v>0</v>
      </c>
      <c r="R63" s="55" t="b">
        <v>0</v>
      </c>
      <c r="S63" s="55" t="b">
        <v>0</v>
      </c>
      <c r="T63" s="55" t="b">
        <v>0</v>
      </c>
      <c r="U63" s="55" t="b">
        <v>0</v>
      </c>
      <c r="V63" s="55" t="b">
        <v>0</v>
      </c>
    </row>
    <row r="64" ht="69" customHeight="1" s="211">
      <c r="A64" s="92">
        <f>Accounts!A64</f>
        <v/>
      </c>
      <c r="B64" s="55" t="b">
        <v>0</v>
      </c>
      <c r="C64" s="93">
        <f>Accounts!N64</f>
        <v/>
      </c>
      <c r="D64" s="94" t="n"/>
      <c r="E64" s="94">
        <f>Accounts!F64</f>
        <v/>
      </c>
      <c r="F64" s="94">
        <f>Accounts!Q64</f>
        <v/>
      </c>
      <c r="G64" s="94">
        <f>Accounts!R64</f>
        <v/>
      </c>
      <c r="H64" s="94">
        <f>Accounts!I64</f>
        <v/>
      </c>
      <c r="I64" s="94">
        <f>Accounts!J64</f>
        <v/>
      </c>
      <c r="J64" s="93">
        <f>Accounts!S64</f>
        <v/>
      </c>
      <c r="K64" s="88" t="n"/>
      <c r="L64" s="95" t="n"/>
      <c r="M64" s="55" t="b">
        <v>0</v>
      </c>
      <c r="N64" s="96" t="b">
        <v>0</v>
      </c>
      <c r="O64" s="55" t="b">
        <v>0</v>
      </c>
      <c r="P64" s="55" t="b">
        <v>0</v>
      </c>
      <c r="Q64" s="55" t="b">
        <v>0</v>
      </c>
      <c r="R64" s="55" t="b">
        <v>0</v>
      </c>
      <c r="S64" s="55" t="b">
        <v>0</v>
      </c>
      <c r="T64" s="55" t="b">
        <v>0</v>
      </c>
      <c r="U64" s="55" t="b">
        <v>0</v>
      </c>
      <c r="V64" s="55" t="b">
        <v>0</v>
      </c>
    </row>
    <row r="65" ht="69" customHeight="1" s="211">
      <c r="A65" s="92">
        <f>Accounts!A65</f>
        <v/>
      </c>
      <c r="B65" s="55" t="b">
        <v>0</v>
      </c>
      <c r="C65" s="93">
        <f>Accounts!N65</f>
        <v/>
      </c>
      <c r="D65" s="94" t="n"/>
      <c r="E65" s="93">
        <f>Accounts!F65</f>
        <v/>
      </c>
      <c r="F65" s="94">
        <f>Accounts!Q65</f>
        <v/>
      </c>
      <c r="G65" s="94">
        <f>Accounts!R65</f>
        <v/>
      </c>
      <c r="H65" s="94">
        <f>Accounts!I65</f>
        <v/>
      </c>
      <c r="I65" s="94">
        <f>Accounts!J65</f>
        <v/>
      </c>
      <c r="J65" s="94">
        <f>Accounts!S65</f>
        <v/>
      </c>
      <c r="K65" s="88" t="n"/>
      <c r="L65" s="95" t="n"/>
      <c r="M65" s="55" t="b">
        <v>0</v>
      </c>
      <c r="N65" s="96" t="b">
        <v>0</v>
      </c>
      <c r="O65" s="55" t="b">
        <v>0</v>
      </c>
      <c r="P65" s="55" t="b">
        <v>0</v>
      </c>
      <c r="Q65" s="55" t="b">
        <v>0</v>
      </c>
      <c r="R65" s="55" t="b">
        <v>0</v>
      </c>
      <c r="S65" s="55" t="b">
        <v>0</v>
      </c>
      <c r="T65" s="55" t="b">
        <v>0</v>
      </c>
      <c r="U65" s="55" t="b">
        <v>0</v>
      </c>
      <c r="V65" s="55" t="b">
        <v>0</v>
      </c>
    </row>
    <row r="66" ht="69" customHeight="1" s="211">
      <c r="A66" s="92">
        <f>Accounts!A66</f>
        <v/>
      </c>
      <c r="B66" s="55" t="b">
        <v>0</v>
      </c>
      <c r="C66" s="93">
        <f>Accounts!N66</f>
        <v/>
      </c>
      <c r="D66" s="94" t="n"/>
      <c r="E66" s="93">
        <f>Accounts!F66</f>
        <v/>
      </c>
      <c r="F66" s="94">
        <f>Accounts!Q66</f>
        <v/>
      </c>
      <c r="G66" s="94">
        <f>Accounts!R66</f>
        <v/>
      </c>
      <c r="H66" s="94">
        <f>Accounts!I66</f>
        <v/>
      </c>
      <c r="I66" s="94">
        <f>Accounts!J66</f>
        <v/>
      </c>
      <c r="J66" s="93">
        <f>Accounts!S66</f>
        <v/>
      </c>
      <c r="K66" s="88" t="n"/>
      <c r="L66" s="95" t="n"/>
      <c r="M66" s="55" t="b">
        <v>0</v>
      </c>
      <c r="N66" s="96" t="b">
        <v>0</v>
      </c>
      <c r="O66" s="55" t="b">
        <v>0</v>
      </c>
      <c r="P66" s="55" t="b">
        <v>0</v>
      </c>
      <c r="Q66" s="55" t="b">
        <v>0</v>
      </c>
      <c r="R66" s="55" t="b">
        <v>0</v>
      </c>
      <c r="S66" s="55" t="b">
        <v>0</v>
      </c>
      <c r="T66" s="55" t="b">
        <v>0</v>
      </c>
      <c r="U66" s="55" t="b">
        <v>0</v>
      </c>
      <c r="V66" s="55" t="b">
        <v>0</v>
      </c>
    </row>
    <row r="67" ht="69" customHeight="1" s="211">
      <c r="A67" s="92">
        <f>Accounts!A67</f>
        <v/>
      </c>
      <c r="B67" s="55" t="b">
        <v>0</v>
      </c>
      <c r="C67" s="93">
        <f>Accounts!N67</f>
        <v/>
      </c>
      <c r="D67" s="94" t="n"/>
      <c r="E67" s="93">
        <f>Accounts!F67</f>
        <v/>
      </c>
      <c r="F67" s="94">
        <f>Accounts!Q67</f>
        <v/>
      </c>
      <c r="G67" s="94">
        <f>Accounts!R67</f>
        <v/>
      </c>
      <c r="H67" s="94">
        <f>Accounts!I67</f>
        <v/>
      </c>
      <c r="I67" s="94">
        <f>Accounts!J67</f>
        <v/>
      </c>
      <c r="J67" s="93">
        <f>Accounts!S67</f>
        <v/>
      </c>
      <c r="K67" s="88" t="n"/>
      <c r="L67" s="95" t="n"/>
      <c r="M67" s="55" t="b">
        <v>0</v>
      </c>
      <c r="N67" s="96" t="b">
        <v>0</v>
      </c>
      <c r="O67" s="55" t="b">
        <v>0</v>
      </c>
      <c r="P67" s="55" t="b">
        <v>0</v>
      </c>
      <c r="Q67" s="55" t="b">
        <v>0</v>
      </c>
      <c r="R67" s="55" t="b">
        <v>0</v>
      </c>
      <c r="S67" s="55" t="b">
        <v>0</v>
      </c>
      <c r="T67" s="55" t="b">
        <v>0</v>
      </c>
      <c r="U67" s="55" t="b">
        <v>0</v>
      </c>
      <c r="V67" s="55" t="b">
        <v>0</v>
      </c>
    </row>
    <row r="68" ht="69" customHeight="1" s="211">
      <c r="A68" s="92">
        <f>Accounts!A68</f>
        <v/>
      </c>
      <c r="B68" s="55" t="b">
        <v>0</v>
      </c>
      <c r="C68" s="93">
        <f>Accounts!N68</f>
        <v/>
      </c>
      <c r="D68" s="94" t="n"/>
      <c r="E68" s="93">
        <f>Accounts!F68</f>
        <v/>
      </c>
      <c r="F68" s="94">
        <f>Accounts!Q68</f>
        <v/>
      </c>
      <c r="G68" s="94">
        <f>Accounts!R68</f>
        <v/>
      </c>
      <c r="H68" s="94">
        <f>Accounts!I68</f>
        <v/>
      </c>
      <c r="I68" s="94">
        <f>Accounts!J68</f>
        <v/>
      </c>
      <c r="J68" s="93">
        <f>Accounts!S68</f>
        <v/>
      </c>
      <c r="K68" s="88" t="n"/>
      <c r="L68" s="95" t="n"/>
      <c r="M68" s="55" t="b">
        <v>0</v>
      </c>
      <c r="N68" s="96" t="b">
        <v>0</v>
      </c>
      <c r="O68" s="55" t="b">
        <v>0</v>
      </c>
      <c r="P68" s="55" t="b">
        <v>0</v>
      </c>
      <c r="Q68" s="55" t="b">
        <v>0</v>
      </c>
      <c r="R68" s="55" t="b">
        <v>0</v>
      </c>
      <c r="S68" s="55" t="b">
        <v>0</v>
      </c>
      <c r="T68" s="55" t="b">
        <v>0</v>
      </c>
      <c r="U68" s="55" t="b">
        <v>0</v>
      </c>
      <c r="V68" s="55" t="b">
        <v>0</v>
      </c>
    </row>
    <row r="69" ht="69" customHeight="1" s="211">
      <c r="A69" s="92">
        <f>Accounts!A69</f>
        <v/>
      </c>
      <c r="B69" s="55" t="b">
        <v>0</v>
      </c>
      <c r="C69" s="93">
        <f>Accounts!N69</f>
        <v/>
      </c>
      <c r="D69" s="94" t="n"/>
      <c r="E69" s="93">
        <f>Accounts!F69</f>
        <v/>
      </c>
      <c r="F69" s="94">
        <f>Accounts!Q69</f>
        <v/>
      </c>
      <c r="G69" s="94">
        <f>Accounts!R69</f>
        <v/>
      </c>
      <c r="H69" s="94">
        <f>Accounts!I69</f>
        <v/>
      </c>
      <c r="I69" s="94">
        <f>Accounts!J69</f>
        <v/>
      </c>
      <c r="J69" s="93">
        <f>Accounts!S69</f>
        <v/>
      </c>
      <c r="K69" s="88" t="n"/>
      <c r="L69" s="95" t="n"/>
      <c r="M69" s="55" t="b">
        <v>0</v>
      </c>
      <c r="N69" s="96" t="b">
        <v>0</v>
      </c>
      <c r="O69" s="55" t="b">
        <v>0</v>
      </c>
      <c r="P69" s="55" t="b">
        <v>0</v>
      </c>
      <c r="Q69" s="55" t="b">
        <v>0</v>
      </c>
      <c r="R69" s="55" t="b">
        <v>0</v>
      </c>
      <c r="S69" s="55" t="b">
        <v>0</v>
      </c>
      <c r="T69" s="55" t="b">
        <v>0</v>
      </c>
      <c r="U69" s="55" t="b">
        <v>0</v>
      </c>
      <c r="V69" s="55" t="b">
        <v>0</v>
      </c>
    </row>
    <row r="70" ht="69" customHeight="1" s="211">
      <c r="A70" s="92">
        <f>Accounts!A70</f>
        <v/>
      </c>
      <c r="B70" s="55" t="b">
        <v>0</v>
      </c>
      <c r="C70" s="93">
        <f>Accounts!N70</f>
        <v/>
      </c>
      <c r="D70" s="94" t="n"/>
      <c r="E70" s="93">
        <f>Accounts!F70</f>
        <v/>
      </c>
      <c r="F70" s="94">
        <f>Accounts!Q70</f>
        <v/>
      </c>
      <c r="G70" s="94">
        <f>Accounts!R70</f>
        <v/>
      </c>
      <c r="H70" s="94">
        <f>Accounts!I70</f>
        <v/>
      </c>
      <c r="I70" s="94">
        <f>Accounts!J70</f>
        <v/>
      </c>
      <c r="J70" s="93">
        <f>Accounts!S70</f>
        <v/>
      </c>
      <c r="K70" s="88" t="n"/>
      <c r="L70" s="95" t="n"/>
      <c r="M70" s="55" t="b">
        <v>0</v>
      </c>
      <c r="N70" s="96" t="b">
        <v>0</v>
      </c>
      <c r="O70" s="55" t="b">
        <v>0</v>
      </c>
      <c r="P70" s="55" t="b">
        <v>0</v>
      </c>
      <c r="Q70" s="55" t="b">
        <v>0</v>
      </c>
      <c r="R70" s="55" t="b">
        <v>0</v>
      </c>
      <c r="S70" s="55" t="b">
        <v>0</v>
      </c>
      <c r="T70" s="55" t="b">
        <v>0</v>
      </c>
      <c r="U70" s="55" t="b">
        <v>0</v>
      </c>
      <c r="V70" s="55" t="b">
        <v>0</v>
      </c>
    </row>
    <row r="71" ht="69" customHeight="1" s="211">
      <c r="A71" s="92">
        <f>Accounts!A71</f>
        <v/>
      </c>
      <c r="B71" s="55" t="b">
        <v>0</v>
      </c>
      <c r="C71" s="93">
        <f>Accounts!N71</f>
        <v/>
      </c>
      <c r="D71" s="94" t="n"/>
      <c r="E71" s="93">
        <f>Accounts!F71</f>
        <v/>
      </c>
      <c r="F71" s="94">
        <f>Accounts!Q71</f>
        <v/>
      </c>
      <c r="G71" s="94">
        <f>Accounts!R71</f>
        <v/>
      </c>
      <c r="H71" s="94">
        <f>Accounts!I71</f>
        <v/>
      </c>
      <c r="I71" s="94">
        <f>Accounts!J71</f>
        <v/>
      </c>
      <c r="J71" s="93">
        <f>Accounts!S71</f>
        <v/>
      </c>
      <c r="K71" s="88" t="n"/>
      <c r="L71" s="95" t="n"/>
      <c r="M71" s="55" t="b">
        <v>0</v>
      </c>
      <c r="N71" s="96" t="b">
        <v>0</v>
      </c>
      <c r="O71" s="55" t="b">
        <v>0</v>
      </c>
      <c r="P71" s="55" t="b">
        <v>0</v>
      </c>
      <c r="Q71" s="55" t="b">
        <v>0</v>
      </c>
      <c r="R71" s="55" t="b">
        <v>0</v>
      </c>
      <c r="S71" s="55" t="b">
        <v>0</v>
      </c>
      <c r="T71" s="55" t="b">
        <v>0</v>
      </c>
      <c r="U71" s="55" t="b">
        <v>0</v>
      </c>
      <c r="V71" s="55" t="b">
        <v>0</v>
      </c>
    </row>
    <row r="72" ht="69" customHeight="1" s="211">
      <c r="A72" s="92">
        <f>Accounts!A72</f>
        <v/>
      </c>
      <c r="B72" s="55" t="b">
        <v>0</v>
      </c>
      <c r="C72" s="93">
        <f>Accounts!N72</f>
        <v/>
      </c>
      <c r="D72" s="94" t="n"/>
      <c r="E72" s="93">
        <f>Accounts!F72</f>
        <v/>
      </c>
      <c r="F72" s="94">
        <f>Accounts!Q72</f>
        <v/>
      </c>
      <c r="G72" s="94">
        <f>Accounts!R72</f>
        <v/>
      </c>
      <c r="H72" s="94">
        <f>Accounts!I72</f>
        <v/>
      </c>
      <c r="I72" s="94">
        <f>Accounts!J72</f>
        <v/>
      </c>
      <c r="J72" s="93">
        <f>Accounts!S72</f>
        <v/>
      </c>
      <c r="K72" s="88" t="n"/>
      <c r="L72" s="95" t="n"/>
      <c r="M72" s="55" t="b">
        <v>0</v>
      </c>
      <c r="N72" s="96" t="b">
        <v>0</v>
      </c>
      <c r="O72" s="55" t="b">
        <v>0</v>
      </c>
      <c r="P72" s="55" t="b">
        <v>0</v>
      </c>
      <c r="Q72" s="55" t="b">
        <v>0</v>
      </c>
      <c r="R72" s="55" t="b">
        <v>0</v>
      </c>
      <c r="S72" s="55" t="b">
        <v>0</v>
      </c>
      <c r="T72" s="55" t="b">
        <v>0</v>
      </c>
      <c r="U72" s="55" t="b">
        <v>0</v>
      </c>
      <c r="V72" s="55" t="b">
        <v>0</v>
      </c>
    </row>
    <row r="73" ht="69" customHeight="1" s="211">
      <c r="A73" s="92">
        <f>Accounts!A73</f>
        <v/>
      </c>
      <c r="B73" s="55" t="b">
        <v>0</v>
      </c>
      <c r="C73" s="93">
        <f>Accounts!N73</f>
        <v/>
      </c>
      <c r="D73" s="94" t="n"/>
      <c r="E73" s="93">
        <f>Accounts!F73</f>
        <v/>
      </c>
      <c r="F73" s="94">
        <f>Accounts!Q73</f>
        <v/>
      </c>
      <c r="G73" s="94">
        <f>Accounts!R73</f>
        <v/>
      </c>
      <c r="H73" s="94">
        <f>Accounts!I73</f>
        <v/>
      </c>
      <c r="I73" s="94">
        <f>Accounts!J73</f>
        <v/>
      </c>
      <c r="J73" s="94">
        <f>Accounts!S73</f>
        <v/>
      </c>
      <c r="K73" s="88" t="n"/>
      <c r="L73" s="95" t="n"/>
      <c r="M73" s="55" t="b">
        <v>0</v>
      </c>
      <c r="N73" s="96" t="b">
        <v>0</v>
      </c>
      <c r="O73" s="55" t="b">
        <v>0</v>
      </c>
      <c r="P73" s="55" t="b">
        <v>0</v>
      </c>
      <c r="Q73" s="55" t="b">
        <v>0</v>
      </c>
      <c r="R73" s="55" t="b">
        <v>0</v>
      </c>
      <c r="S73" s="55" t="b">
        <v>0</v>
      </c>
      <c r="T73" s="55" t="b">
        <v>0</v>
      </c>
      <c r="U73" s="55" t="b">
        <v>0</v>
      </c>
      <c r="V73" s="55" t="b">
        <v>0</v>
      </c>
    </row>
    <row r="74" ht="69" customHeight="1" s="211">
      <c r="A74" s="92">
        <f>Accounts!A74</f>
        <v/>
      </c>
      <c r="B74" s="12" t="b">
        <v>0</v>
      </c>
      <c r="C74" s="93">
        <f>Accounts!N74</f>
        <v/>
      </c>
      <c r="D74" s="94" t="n"/>
      <c r="E74" s="93">
        <f>Accounts!F74</f>
        <v/>
      </c>
      <c r="F74" s="94">
        <f>Accounts!Q74</f>
        <v/>
      </c>
      <c r="G74" s="94">
        <f>Accounts!R74</f>
        <v/>
      </c>
      <c r="H74" s="94">
        <f>Accounts!I74</f>
        <v/>
      </c>
      <c r="I74" s="94">
        <f>Accounts!J74</f>
        <v/>
      </c>
      <c r="J74" s="94">
        <f>Accounts!S74</f>
        <v/>
      </c>
      <c r="K74" s="88" t="n"/>
      <c r="L74" s="95" t="n"/>
      <c r="M74" s="55" t="b">
        <v>0</v>
      </c>
      <c r="N74" s="96" t="b">
        <v>0</v>
      </c>
      <c r="O74" s="55" t="b">
        <v>0</v>
      </c>
      <c r="P74" s="55" t="b">
        <v>0</v>
      </c>
      <c r="Q74" s="55" t="b">
        <v>0</v>
      </c>
      <c r="R74" s="55" t="b">
        <v>0</v>
      </c>
      <c r="S74" s="55" t="b">
        <v>0</v>
      </c>
      <c r="T74" s="55" t="b">
        <v>0</v>
      </c>
      <c r="U74" s="55" t="b">
        <v>0</v>
      </c>
      <c r="V74" s="55" t="b">
        <v>0</v>
      </c>
    </row>
    <row r="75" ht="69" customHeight="1" s="211">
      <c r="A75" s="92">
        <f>Accounts!A75</f>
        <v/>
      </c>
      <c r="B75" s="12" t="b">
        <v>0</v>
      </c>
      <c r="C75" s="93">
        <f>Accounts!N75</f>
        <v/>
      </c>
      <c r="D75" s="94" t="n"/>
      <c r="E75" s="93">
        <f>Accounts!F75</f>
        <v/>
      </c>
      <c r="F75" s="94">
        <f>Accounts!Q75</f>
        <v/>
      </c>
      <c r="G75" s="94">
        <f>Accounts!R75</f>
        <v/>
      </c>
      <c r="H75" s="94">
        <f>Accounts!I75</f>
        <v/>
      </c>
      <c r="I75" s="94">
        <f>Accounts!J75</f>
        <v/>
      </c>
      <c r="J75" s="93">
        <f>Accounts!S75</f>
        <v/>
      </c>
      <c r="K75" s="88" t="n"/>
      <c r="L75" s="95" t="n"/>
      <c r="M75" s="55" t="b">
        <v>0</v>
      </c>
      <c r="N75" s="96" t="b">
        <v>0</v>
      </c>
      <c r="O75" s="55" t="b">
        <v>0</v>
      </c>
      <c r="P75" s="55" t="b">
        <v>0</v>
      </c>
      <c r="Q75" s="55" t="b">
        <v>0</v>
      </c>
      <c r="R75" s="55" t="b">
        <v>0</v>
      </c>
      <c r="S75" s="55" t="b">
        <v>0</v>
      </c>
      <c r="T75" s="55" t="b">
        <v>0</v>
      </c>
      <c r="U75" s="55" t="b">
        <v>0</v>
      </c>
      <c r="V75" s="55" t="b">
        <v>0</v>
      </c>
    </row>
    <row r="76" ht="69" customHeight="1" s="211">
      <c r="A76" s="92">
        <f>Accounts!A76</f>
        <v/>
      </c>
      <c r="B76" s="12" t="b">
        <v>0</v>
      </c>
      <c r="C76" s="93">
        <f>Accounts!N77</f>
        <v/>
      </c>
      <c r="D76" s="94" t="n"/>
      <c r="E76" s="93">
        <f>Accounts!F76</f>
        <v/>
      </c>
      <c r="F76" s="94">
        <f>Accounts!Q76</f>
        <v/>
      </c>
      <c r="G76" s="94">
        <f>Accounts!R76</f>
        <v/>
      </c>
      <c r="H76" s="94">
        <f>Accounts!I76</f>
        <v/>
      </c>
      <c r="I76" s="94">
        <f>Accounts!J76</f>
        <v/>
      </c>
      <c r="J76" s="93">
        <f>Accounts!S76</f>
        <v/>
      </c>
      <c r="K76" s="88" t="n"/>
      <c r="L76" s="95" t="n"/>
      <c r="M76" s="55" t="b">
        <v>0</v>
      </c>
      <c r="N76" s="96" t="b">
        <v>0</v>
      </c>
      <c r="O76" s="55" t="b">
        <v>0</v>
      </c>
      <c r="P76" s="55" t="b">
        <v>0</v>
      </c>
      <c r="Q76" s="55" t="b">
        <v>0</v>
      </c>
      <c r="R76" s="55" t="b">
        <v>0</v>
      </c>
      <c r="S76" s="55" t="b">
        <v>0</v>
      </c>
      <c r="T76" s="55" t="b">
        <v>0</v>
      </c>
      <c r="U76" s="55" t="b">
        <v>0</v>
      </c>
      <c r="V76" s="55" t="b">
        <v>0</v>
      </c>
    </row>
    <row r="77" ht="69" customHeight="1" s="211">
      <c r="A77" s="92">
        <f>Accounts!A77</f>
        <v/>
      </c>
      <c r="B77" s="12" t="b">
        <v>0</v>
      </c>
      <c r="C77" s="93">
        <f>#REF!</f>
        <v/>
      </c>
      <c r="D77" s="94" t="n"/>
      <c r="E77" s="93">
        <f>Accounts!F77</f>
        <v/>
      </c>
      <c r="F77" s="94">
        <f>Accounts!Q77</f>
        <v/>
      </c>
      <c r="G77" s="94">
        <f>Accounts!R77</f>
        <v/>
      </c>
      <c r="H77" s="94">
        <f>Accounts!I77</f>
        <v/>
      </c>
      <c r="I77" s="94">
        <f>Accounts!J77</f>
        <v/>
      </c>
      <c r="J77" s="93">
        <f>Accounts!S77</f>
        <v/>
      </c>
      <c r="K77" s="88" t="n"/>
      <c r="L77" s="95" t="n"/>
      <c r="M77" s="55" t="b">
        <v>0</v>
      </c>
      <c r="N77" s="96" t="b">
        <v>0</v>
      </c>
      <c r="O77" s="55" t="b">
        <v>0</v>
      </c>
      <c r="P77" s="55" t="b">
        <v>0</v>
      </c>
      <c r="Q77" s="55" t="b">
        <v>0</v>
      </c>
      <c r="R77" s="55" t="b">
        <v>0</v>
      </c>
      <c r="S77" s="55" t="b">
        <v>0</v>
      </c>
      <c r="T77" s="55" t="b">
        <v>0</v>
      </c>
      <c r="U77" s="55" t="b">
        <v>0</v>
      </c>
      <c r="V77" s="55" t="b">
        <v>0</v>
      </c>
    </row>
    <row r="78" ht="69" customHeight="1" s="211">
      <c r="A78" s="92">
        <f>Accounts!A78</f>
        <v/>
      </c>
      <c r="B78" s="12" t="b">
        <v>0</v>
      </c>
      <c r="C78" s="93">
        <f>Accounts!N78</f>
        <v/>
      </c>
      <c r="D78" s="94" t="n"/>
      <c r="E78" s="93">
        <f>Accounts!F78</f>
        <v/>
      </c>
      <c r="F78" s="94">
        <f>Accounts!Q78</f>
        <v/>
      </c>
      <c r="G78" s="94">
        <f>Accounts!R78</f>
        <v/>
      </c>
      <c r="H78" s="94">
        <f>Accounts!I78</f>
        <v/>
      </c>
      <c r="I78" s="94">
        <f>Accounts!J78</f>
        <v/>
      </c>
      <c r="J78" s="93">
        <f>Accounts!S78</f>
        <v/>
      </c>
      <c r="K78" s="88" t="n"/>
      <c r="L78" s="95" t="n"/>
      <c r="M78" s="55" t="b">
        <v>0</v>
      </c>
      <c r="N78" s="96" t="b">
        <v>0</v>
      </c>
      <c r="O78" s="55" t="b">
        <v>0</v>
      </c>
      <c r="P78" s="55" t="b">
        <v>0</v>
      </c>
      <c r="Q78" s="55" t="b">
        <v>0</v>
      </c>
      <c r="R78" s="55" t="b">
        <v>0</v>
      </c>
      <c r="S78" s="55" t="b">
        <v>0</v>
      </c>
      <c r="T78" s="55" t="b">
        <v>0</v>
      </c>
      <c r="U78" s="55" t="b">
        <v>0</v>
      </c>
      <c r="V78" s="55" t="b">
        <v>0</v>
      </c>
    </row>
    <row r="79" ht="69" customHeight="1" s="211">
      <c r="A79" s="92">
        <f>Accounts!A79</f>
        <v/>
      </c>
      <c r="B79" s="12" t="b">
        <v>0</v>
      </c>
      <c r="C79" s="93">
        <f>Accounts!N79</f>
        <v/>
      </c>
      <c r="D79" s="94" t="n"/>
      <c r="E79" s="93">
        <f>Accounts!F79</f>
        <v/>
      </c>
      <c r="F79" s="94">
        <f>Accounts!Q79</f>
        <v/>
      </c>
      <c r="G79" s="94">
        <f>Accounts!R79</f>
        <v/>
      </c>
      <c r="H79" s="94">
        <f>Accounts!I79</f>
        <v/>
      </c>
      <c r="I79" s="94">
        <f>Accounts!J79</f>
        <v/>
      </c>
      <c r="J79" s="93">
        <f>Accounts!S79</f>
        <v/>
      </c>
      <c r="K79" s="88" t="n"/>
      <c r="L79" s="95" t="n"/>
      <c r="M79" s="55" t="b">
        <v>0</v>
      </c>
      <c r="N79" s="96" t="b">
        <v>0</v>
      </c>
      <c r="O79" s="55" t="b">
        <v>0</v>
      </c>
      <c r="P79" s="55" t="b">
        <v>0</v>
      </c>
      <c r="Q79" s="55" t="b">
        <v>0</v>
      </c>
      <c r="R79" s="55" t="b">
        <v>0</v>
      </c>
      <c r="S79" s="55" t="b">
        <v>0</v>
      </c>
      <c r="T79" s="55" t="b">
        <v>0</v>
      </c>
      <c r="U79" s="55" t="b">
        <v>0</v>
      </c>
      <c r="V79" s="55" t="b">
        <v>0</v>
      </c>
    </row>
    <row r="80" ht="69" customHeight="1" s="211">
      <c r="A80" s="92">
        <f>Accounts!A80</f>
        <v/>
      </c>
      <c r="B80" s="12" t="b">
        <v>0</v>
      </c>
      <c r="C80" s="93">
        <f>Accounts!N80</f>
        <v/>
      </c>
      <c r="D80" s="94" t="n"/>
      <c r="E80" s="93">
        <f>Accounts!F80</f>
        <v/>
      </c>
      <c r="F80" s="94">
        <f>Accounts!Q80</f>
        <v/>
      </c>
      <c r="G80" s="94">
        <f>Accounts!R80</f>
        <v/>
      </c>
      <c r="H80" s="94">
        <f>Accounts!I80</f>
        <v/>
      </c>
      <c r="I80" s="94">
        <f>Accounts!J80</f>
        <v/>
      </c>
      <c r="J80" s="93">
        <f>Accounts!S80</f>
        <v/>
      </c>
      <c r="K80" s="88" t="n"/>
      <c r="L80" s="95" t="n"/>
      <c r="M80" s="55" t="b">
        <v>0</v>
      </c>
      <c r="N80" s="96" t="b">
        <v>0</v>
      </c>
      <c r="O80" s="55" t="b">
        <v>0</v>
      </c>
      <c r="P80" s="55" t="b">
        <v>0</v>
      </c>
      <c r="Q80" s="55" t="b">
        <v>0</v>
      </c>
      <c r="R80" s="55" t="b">
        <v>0</v>
      </c>
      <c r="S80" s="55" t="b">
        <v>0</v>
      </c>
      <c r="T80" s="55" t="b">
        <v>0</v>
      </c>
      <c r="U80" s="55" t="b">
        <v>0</v>
      </c>
      <c r="V80" s="55" t="b">
        <v>0</v>
      </c>
    </row>
    <row r="81" ht="69" customHeight="1" s="211">
      <c r="A81" s="92">
        <f>Accounts!A81</f>
        <v/>
      </c>
      <c r="B81" s="12" t="b">
        <v>0</v>
      </c>
      <c r="C81" s="93">
        <f>Accounts!N81</f>
        <v/>
      </c>
      <c r="D81" s="94" t="n"/>
      <c r="E81" s="93">
        <f>Accounts!F81</f>
        <v/>
      </c>
      <c r="F81" s="94">
        <f>Accounts!Q81</f>
        <v/>
      </c>
      <c r="G81" s="94">
        <f>Accounts!R81</f>
        <v/>
      </c>
      <c r="H81" s="94">
        <f>Accounts!I81</f>
        <v/>
      </c>
      <c r="I81" s="94">
        <f>Accounts!J81</f>
        <v/>
      </c>
      <c r="J81" s="93">
        <f>Accounts!S81</f>
        <v/>
      </c>
      <c r="K81" s="88" t="n"/>
      <c r="L81" s="95" t="n"/>
      <c r="M81" s="55" t="b">
        <v>0</v>
      </c>
      <c r="N81" s="96" t="b">
        <v>0</v>
      </c>
      <c r="O81" s="55" t="b">
        <v>0</v>
      </c>
      <c r="P81" s="55" t="b">
        <v>0</v>
      </c>
      <c r="Q81" s="55" t="b">
        <v>0</v>
      </c>
      <c r="R81" s="55" t="b">
        <v>0</v>
      </c>
      <c r="S81" s="55" t="b">
        <v>0</v>
      </c>
      <c r="T81" s="55" t="b">
        <v>0</v>
      </c>
      <c r="U81" s="55" t="b">
        <v>0</v>
      </c>
      <c r="V81" s="55" t="b">
        <v>0</v>
      </c>
    </row>
    <row r="82" ht="69" customHeight="1" s="211">
      <c r="A82" s="92">
        <f>Accounts!A82</f>
        <v/>
      </c>
      <c r="B82" s="12" t="b">
        <v>0</v>
      </c>
      <c r="C82" s="93">
        <f>Accounts!N82</f>
        <v/>
      </c>
      <c r="D82" s="94" t="n"/>
      <c r="E82" s="93">
        <f>Accounts!F82</f>
        <v/>
      </c>
      <c r="F82" s="94">
        <f>Accounts!Q82</f>
        <v/>
      </c>
      <c r="G82" s="94">
        <f>Accounts!R82</f>
        <v/>
      </c>
      <c r="H82" s="94">
        <f>Accounts!I82</f>
        <v/>
      </c>
      <c r="I82" s="94">
        <f>Accounts!J82</f>
        <v/>
      </c>
      <c r="J82" s="93">
        <f>Accounts!S82</f>
        <v/>
      </c>
      <c r="K82" s="88" t="n"/>
      <c r="L82" s="95" t="n"/>
      <c r="M82" s="55" t="b">
        <v>0</v>
      </c>
      <c r="N82" s="96" t="b">
        <v>0</v>
      </c>
      <c r="O82" s="55" t="b">
        <v>0</v>
      </c>
      <c r="P82" s="55" t="b">
        <v>0</v>
      </c>
      <c r="Q82" s="55" t="b">
        <v>0</v>
      </c>
      <c r="R82" s="55" t="b">
        <v>0</v>
      </c>
      <c r="S82" s="55" t="b">
        <v>0</v>
      </c>
      <c r="T82" s="55" t="b">
        <v>0</v>
      </c>
      <c r="U82" s="55" t="b">
        <v>0</v>
      </c>
      <c r="V82" s="55" t="b">
        <v>0</v>
      </c>
    </row>
    <row r="83" ht="69" customHeight="1" s="211">
      <c r="A83" s="92">
        <f>Accounts!A83</f>
        <v/>
      </c>
      <c r="B83" s="12" t="b">
        <v>0</v>
      </c>
      <c r="C83" s="93">
        <f>Accounts!N83</f>
        <v/>
      </c>
      <c r="D83" s="94" t="n"/>
      <c r="E83" s="93">
        <f>Accounts!F83</f>
        <v/>
      </c>
      <c r="F83" s="94">
        <f>Accounts!Q83</f>
        <v/>
      </c>
      <c r="G83" s="94">
        <f>Accounts!R83</f>
        <v/>
      </c>
      <c r="H83" s="94">
        <f>Accounts!I83</f>
        <v/>
      </c>
      <c r="I83" s="94">
        <f>Accounts!J83</f>
        <v/>
      </c>
      <c r="J83" s="93">
        <f>Accounts!S83</f>
        <v/>
      </c>
      <c r="K83" s="88" t="n"/>
      <c r="L83" s="95" t="n"/>
      <c r="M83" s="55" t="b">
        <v>0</v>
      </c>
      <c r="N83" s="96" t="b">
        <v>0</v>
      </c>
      <c r="O83" s="55" t="b">
        <v>0</v>
      </c>
      <c r="P83" s="55" t="b">
        <v>0</v>
      </c>
      <c r="Q83" s="55" t="b">
        <v>0</v>
      </c>
      <c r="R83" s="55" t="b">
        <v>0</v>
      </c>
      <c r="S83" s="55" t="b">
        <v>0</v>
      </c>
      <c r="T83" s="55" t="b">
        <v>0</v>
      </c>
      <c r="U83" s="55" t="b">
        <v>0</v>
      </c>
      <c r="V83" s="55" t="b">
        <v>0</v>
      </c>
    </row>
    <row r="84" ht="69" customHeight="1" s="211">
      <c r="A84" s="92">
        <f>Accounts!A84</f>
        <v/>
      </c>
      <c r="B84" s="12" t="b">
        <v>0</v>
      </c>
      <c r="C84" s="93">
        <f>Accounts!N84</f>
        <v/>
      </c>
      <c r="D84" s="94" t="n"/>
      <c r="E84" s="93">
        <f>Accounts!F84</f>
        <v/>
      </c>
      <c r="F84" s="94">
        <f>Accounts!Q84</f>
        <v/>
      </c>
      <c r="G84" s="94">
        <f>Accounts!R84</f>
        <v/>
      </c>
      <c r="H84" s="94">
        <f>Accounts!I84</f>
        <v/>
      </c>
      <c r="I84" s="94">
        <f>Accounts!J84</f>
        <v/>
      </c>
      <c r="J84" s="93">
        <f>Accounts!S84</f>
        <v/>
      </c>
      <c r="K84" s="88" t="n"/>
      <c r="L84" s="95" t="n"/>
      <c r="M84" s="55" t="b">
        <v>0</v>
      </c>
      <c r="N84" s="96" t="b">
        <v>0</v>
      </c>
      <c r="O84" s="55" t="b">
        <v>0</v>
      </c>
      <c r="P84" s="55" t="b">
        <v>0</v>
      </c>
      <c r="Q84" s="55" t="b">
        <v>0</v>
      </c>
      <c r="R84" s="55" t="b">
        <v>0</v>
      </c>
      <c r="S84" s="55" t="b">
        <v>0</v>
      </c>
      <c r="T84" s="55" t="b">
        <v>0</v>
      </c>
      <c r="U84" s="55" t="b">
        <v>0</v>
      </c>
      <c r="V84" s="55" t="b">
        <v>0</v>
      </c>
    </row>
    <row r="85" ht="69" customHeight="1" s="211">
      <c r="A85" s="92">
        <f>Accounts!A85</f>
        <v/>
      </c>
      <c r="B85" s="12" t="b">
        <v>0</v>
      </c>
      <c r="C85" s="93">
        <f>Accounts!N85</f>
        <v/>
      </c>
      <c r="D85" s="94" t="n"/>
      <c r="E85" s="93">
        <f>Accounts!F85</f>
        <v/>
      </c>
      <c r="F85" s="94">
        <f>Accounts!Q85</f>
        <v/>
      </c>
      <c r="G85" s="94">
        <f>Accounts!R85</f>
        <v/>
      </c>
      <c r="H85" s="94">
        <f>Accounts!I85</f>
        <v/>
      </c>
      <c r="I85" s="94">
        <f>Accounts!J85</f>
        <v/>
      </c>
      <c r="J85" s="93">
        <f>Accounts!S85</f>
        <v/>
      </c>
      <c r="K85" s="88" t="n"/>
      <c r="L85" s="95" t="n"/>
      <c r="M85" s="55" t="b">
        <v>0</v>
      </c>
      <c r="N85" s="96" t="b">
        <v>0</v>
      </c>
      <c r="O85" s="55" t="b">
        <v>0</v>
      </c>
      <c r="P85" s="55" t="b">
        <v>0</v>
      </c>
      <c r="Q85" s="55" t="b">
        <v>0</v>
      </c>
      <c r="R85" s="55" t="b">
        <v>0</v>
      </c>
      <c r="S85" s="55" t="b">
        <v>0</v>
      </c>
      <c r="T85" s="55" t="b">
        <v>0</v>
      </c>
      <c r="U85" s="55" t="b">
        <v>0</v>
      </c>
      <c r="V85" s="55" t="b">
        <v>0</v>
      </c>
    </row>
    <row r="86" ht="69" customHeight="1" s="211">
      <c r="A86" s="92">
        <f>Accounts!A86</f>
        <v/>
      </c>
      <c r="B86" s="12" t="b">
        <v>0</v>
      </c>
      <c r="C86" s="93">
        <f>Accounts!N86</f>
        <v/>
      </c>
      <c r="D86" s="94" t="n"/>
      <c r="E86" s="93">
        <f>Accounts!F86</f>
        <v/>
      </c>
      <c r="F86" s="94">
        <f>Accounts!Q86</f>
        <v/>
      </c>
      <c r="G86" s="94">
        <f>Accounts!R86</f>
        <v/>
      </c>
      <c r="H86" s="94">
        <f>Accounts!I86</f>
        <v/>
      </c>
      <c r="I86" s="94">
        <f>Accounts!J86</f>
        <v/>
      </c>
      <c r="J86" s="93">
        <f>Accounts!S86</f>
        <v/>
      </c>
      <c r="K86" s="88" t="n"/>
      <c r="L86" s="95" t="n"/>
      <c r="M86" s="55" t="b">
        <v>0</v>
      </c>
      <c r="N86" s="96" t="b">
        <v>0</v>
      </c>
      <c r="O86" s="55" t="b">
        <v>0</v>
      </c>
      <c r="P86" s="55" t="b">
        <v>0</v>
      </c>
      <c r="Q86" s="55" t="b">
        <v>0</v>
      </c>
      <c r="R86" s="55" t="b">
        <v>0</v>
      </c>
      <c r="S86" s="55" t="b">
        <v>0</v>
      </c>
      <c r="T86" s="55" t="b">
        <v>0</v>
      </c>
      <c r="U86" s="55" t="b">
        <v>0</v>
      </c>
      <c r="V86" s="55" t="b">
        <v>0</v>
      </c>
    </row>
    <row r="87" ht="69" customHeight="1" s="211">
      <c r="A87" s="92">
        <f>Accounts!A87</f>
        <v/>
      </c>
      <c r="B87" s="12" t="b">
        <v>0</v>
      </c>
      <c r="C87" s="93">
        <f>Accounts!N87</f>
        <v/>
      </c>
      <c r="D87" s="94" t="n"/>
      <c r="E87" s="93">
        <f>Accounts!F87</f>
        <v/>
      </c>
      <c r="F87" s="94">
        <f>Accounts!Q87</f>
        <v/>
      </c>
      <c r="G87" s="94">
        <f>Accounts!R87</f>
        <v/>
      </c>
      <c r="H87" s="94">
        <f>Accounts!I87</f>
        <v/>
      </c>
      <c r="I87" s="94">
        <f>Accounts!J87</f>
        <v/>
      </c>
      <c r="J87" s="93">
        <f>Accounts!S87</f>
        <v/>
      </c>
      <c r="K87" s="88" t="n"/>
      <c r="L87" s="95" t="n"/>
      <c r="M87" s="55" t="b">
        <v>0</v>
      </c>
      <c r="N87" s="96" t="b">
        <v>0</v>
      </c>
      <c r="O87" s="55" t="b">
        <v>0</v>
      </c>
      <c r="P87" s="55" t="b">
        <v>0</v>
      </c>
      <c r="Q87" s="55" t="b">
        <v>0</v>
      </c>
      <c r="R87" s="55" t="b">
        <v>0</v>
      </c>
      <c r="S87" s="55" t="b">
        <v>0</v>
      </c>
      <c r="T87" s="55" t="b">
        <v>0</v>
      </c>
      <c r="U87" s="55" t="b">
        <v>0</v>
      </c>
      <c r="V87" s="55" t="b">
        <v>0</v>
      </c>
    </row>
    <row r="88" ht="69" customHeight="1" s="211">
      <c r="A88" s="92">
        <f>Accounts!A88</f>
        <v/>
      </c>
      <c r="B88" s="12" t="b">
        <v>0</v>
      </c>
      <c r="C88" s="93">
        <f>Accounts!N88</f>
        <v/>
      </c>
      <c r="D88" s="94" t="n"/>
      <c r="E88" s="93">
        <f>Accounts!F88</f>
        <v/>
      </c>
      <c r="F88" s="94">
        <f>Accounts!Q88</f>
        <v/>
      </c>
      <c r="G88" s="94">
        <f>Accounts!R88</f>
        <v/>
      </c>
      <c r="H88" s="94">
        <f>Accounts!I88</f>
        <v/>
      </c>
      <c r="I88" s="94">
        <f>Accounts!J88</f>
        <v/>
      </c>
      <c r="J88" s="93">
        <f>Accounts!S88</f>
        <v/>
      </c>
      <c r="K88" s="88" t="n"/>
      <c r="L88" s="95" t="n"/>
      <c r="M88" s="55" t="b">
        <v>0</v>
      </c>
      <c r="N88" s="96" t="b">
        <v>0</v>
      </c>
      <c r="O88" s="55" t="b">
        <v>0</v>
      </c>
      <c r="P88" s="55" t="b">
        <v>0</v>
      </c>
      <c r="Q88" s="55" t="b">
        <v>0</v>
      </c>
      <c r="R88" s="55" t="b">
        <v>0</v>
      </c>
      <c r="S88" s="55" t="b">
        <v>0</v>
      </c>
      <c r="T88" s="55" t="b">
        <v>0</v>
      </c>
      <c r="U88" s="55" t="b">
        <v>0</v>
      </c>
      <c r="V88" s="55" t="b">
        <v>0</v>
      </c>
    </row>
    <row r="89" ht="69" customHeight="1" s="211">
      <c r="A89" s="92">
        <f>Accounts!A89</f>
        <v/>
      </c>
      <c r="B89" s="12" t="b">
        <v>0</v>
      </c>
      <c r="C89" s="93">
        <f>Accounts!N89</f>
        <v/>
      </c>
      <c r="D89" s="94" t="n"/>
      <c r="E89" s="93">
        <f>Accounts!F89</f>
        <v/>
      </c>
      <c r="F89" s="94">
        <f>Accounts!Q89</f>
        <v/>
      </c>
      <c r="G89" s="94">
        <f>Accounts!R89</f>
        <v/>
      </c>
      <c r="H89" s="94">
        <f>Accounts!I89</f>
        <v/>
      </c>
      <c r="I89" s="94">
        <f>Accounts!J89</f>
        <v/>
      </c>
      <c r="J89" s="93">
        <f>Accounts!S89</f>
        <v/>
      </c>
      <c r="K89" s="88" t="n"/>
      <c r="L89" s="95" t="n"/>
      <c r="M89" s="55" t="b">
        <v>0</v>
      </c>
      <c r="N89" s="96" t="b">
        <v>0</v>
      </c>
      <c r="O89" s="55" t="b">
        <v>0</v>
      </c>
      <c r="P89" s="55" t="b">
        <v>0</v>
      </c>
      <c r="Q89" s="55" t="b">
        <v>0</v>
      </c>
      <c r="R89" s="55" t="b">
        <v>0</v>
      </c>
      <c r="S89" s="55" t="b">
        <v>0</v>
      </c>
      <c r="T89" s="55" t="b">
        <v>0</v>
      </c>
      <c r="U89" s="55" t="b">
        <v>0</v>
      </c>
      <c r="V89" s="55" t="b">
        <v>0</v>
      </c>
    </row>
    <row r="90" ht="69" customHeight="1" s="211">
      <c r="A90" s="92">
        <f>Accounts!A90</f>
        <v/>
      </c>
      <c r="B90" s="12" t="b">
        <v>0</v>
      </c>
      <c r="C90" s="93">
        <f>Accounts!N90</f>
        <v/>
      </c>
      <c r="D90" s="94" t="n"/>
      <c r="E90" s="93">
        <f>Accounts!F90</f>
        <v/>
      </c>
      <c r="F90" s="94">
        <f>Accounts!Q90</f>
        <v/>
      </c>
      <c r="G90" s="94">
        <f>Accounts!R90</f>
        <v/>
      </c>
      <c r="H90" s="94">
        <f>Accounts!I90</f>
        <v/>
      </c>
      <c r="I90" s="94">
        <f>Accounts!J90</f>
        <v/>
      </c>
      <c r="J90" s="93">
        <f>Accounts!S90</f>
        <v/>
      </c>
      <c r="K90" s="88" t="n"/>
      <c r="L90" s="95" t="n"/>
      <c r="M90" s="55" t="b">
        <v>0</v>
      </c>
      <c r="N90" s="96" t="b">
        <v>0</v>
      </c>
      <c r="O90" s="55" t="b">
        <v>0</v>
      </c>
      <c r="P90" s="55" t="b">
        <v>0</v>
      </c>
      <c r="Q90" s="55" t="b">
        <v>0</v>
      </c>
      <c r="R90" s="55" t="b">
        <v>0</v>
      </c>
      <c r="S90" s="55" t="b">
        <v>0</v>
      </c>
      <c r="T90" s="55" t="b">
        <v>0</v>
      </c>
      <c r="U90" s="55" t="b">
        <v>0</v>
      </c>
      <c r="V90" s="55" t="b">
        <v>0</v>
      </c>
    </row>
    <row r="91" ht="69" customHeight="1" s="211">
      <c r="A91" s="92">
        <f>Accounts!A91</f>
        <v/>
      </c>
      <c r="B91" s="12" t="b">
        <v>0</v>
      </c>
      <c r="C91" s="93">
        <f>Accounts!N91</f>
        <v/>
      </c>
      <c r="D91" s="94" t="n"/>
      <c r="E91" s="93">
        <f>Accounts!F91</f>
        <v/>
      </c>
      <c r="F91" s="94">
        <f>Accounts!Q91</f>
        <v/>
      </c>
      <c r="G91" s="94">
        <f>Accounts!R91</f>
        <v/>
      </c>
      <c r="H91" s="94">
        <f>Accounts!I91</f>
        <v/>
      </c>
      <c r="I91" s="94">
        <f>Accounts!J91</f>
        <v/>
      </c>
      <c r="J91" s="93">
        <f>Accounts!S91</f>
        <v/>
      </c>
      <c r="K91" s="88" t="n"/>
      <c r="L91" s="95" t="n"/>
      <c r="M91" s="55" t="b">
        <v>0</v>
      </c>
      <c r="N91" s="96" t="b">
        <v>0</v>
      </c>
      <c r="O91" s="55" t="b">
        <v>0</v>
      </c>
      <c r="P91" s="55" t="b">
        <v>0</v>
      </c>
      <c r="Q91" s="55" t="b">
        <v>0</v>
      </c>
      <c r="R91" s="55" t="b">
        <v>0</v>
      </c>
      <c r="S91" s="55" t="b">
        <v>0</v>
      </c>
      <c r="T91" s="55" t="b">
        <v>0</v>
      </c>
      <c r="U91" s="55" t="b">
        <v>0</v>
      </c>
      <c r="V91" s="55" t="b">
        <v>0</v>
      </c>
    </row>
    <row r="92" ht="69" customHeight="1" s="211">
      <c r="A92" s="92">
        <f>Accounts!A92</f>
        <v/>
      </c>
      <c r="B92" s="12" t="b">
        <v>0</v>
      </c>
      <c r="C92" s="93">
        <f>Accounts!N92</f>
        <v/>
      </c>
      <c r="D92" s="94" t="n"/>
      <c r="E92" s="93">
        <f>Accounts!F92</f>
        <v/>
      </c>
      <c r="F92" s="94">
        <f>Accounts!Q92</f>
        <v/>
      </c>
      <c r="G92" s="94">
        <f>Accounts!R92</f>
        <v/>
      </c>
      <c r="H92" s="94">
        <f>Accounts!I92</f>
        <v/>
      </c>
      <c r="I92" s="94">
        <f>Accounts!J92</f>
        <v/>
      </c>
      <c r="J92" s="93">
        <f>Accounts!S92</f>
        <v/>
      </c>
      <c r="K92" s="88" t="n"/>
      <c r="L92" s="95" t="n"/>
      <c r="M92" s="55" t="b">
        <v>0</v>
      </c>
      <c r="N92" s="96" t="b">
        <v>0</v>
      </c>
      <c r="O92" s="55" t="b">
        <v>0</v>
      </c>
      <c r="P92" s="55" t="b">
        <v>0</v>
      </c>
      <c r="Q92" s="55" t="b">
        <v>0</v>
      </c>
      <c r="R92" s="55" t="b">
        <v>0</v>
      </c>
      <c r="S92" s="55" t="b">
        <v>0</v>
      </c>
      <c r="T92" s="55" t="b">
        <v>0</v>
      </c>
      <c r="U92" s="55" t="b">
        <v>0</v>
      </c>
      <c r="V92" s="55" t="b">
        <v>0</v>
      </c>
    </row>
    <row r="93" ht="69" customHeight="1" s="211">
      <c r="A93" s="92">
        <f>Accounts!A93</f>
        <v/>
      </c>
      <c r="B93" s="12" t="b">
        <v>0</v>
      </c>
      <c r="C93" s="93">
        <f>Accounts!N93</f>
        <v/>
      </c>
      <c r="D93" s="94" t="n"/>
      <c r="E93" s="93">
        <f>Accounts!F93</f>
        <v/>
      </c>
      <c r="F93" s="94">
        <f>Accounts!Q93</f>
        <v/>
      </c>
      <c r="G93" s="94">
        <f>Accounts!R93</f>
        <v/>
      </c>
      <c r="H93" s="94">
        <f>Accounts!I93</f>
        <v/>
      </c>
      <c r="I93" s="94">
        <f>Accounts!J93</f>
        <v/>
      </c>
      <c r="J93" s="93">
        <f>Accounts!S93</f>
        <v/>
      </c>
      <c r="K93" s="88" t="n"/>
      <c r="L93" s="95" t="n"/>
      <c r="M93" s="55" t="b">
        <v>0</v>
      </c>
      <c r="N93" s="96" t="b">
        <v>0</v>
      </c>
      <c r="O93" s="55" t="b">
        <v>0</v>
      </c>
      <c r="P93" s="55" t="b">
        <v>0</v>
      </c>
      <c r="Q93" s="55" t="b">
        <v>0</v>
      </c>
      <c r="R93" s="55" t="b">
        <v>0</v>
      </c>
      <c r="S93" s="55" t="b">
        <v>0</v>
      </c>
      <c r="T93" s="55" t="b">
        <v>0</v>
      </c>
      <c r="U93" s="55" t="b">
        <v>0</v>
      </c>
      <c r="V93" s="55" t="b">
        <v>0</v>
      </c>
    </row>
    <row r="94" ht="69" customHeight="1" s="211">
      <c r="A94" s="92">
        <f>Accounts!A94</f>
        <v/>
      </c>
      <c r="B94" s="12" t="b">
        <v>0</v>
      </c>
      <c r="C94" s="93">
        <f>Accounts!N94</f>
        <v/>
      </c>
      <c r="D94" s="94" t="n"/>
      <c r="E94" s="93">
        <f>Accounts!F94</f>
        <v/>
      </c>
      <c r="F94" s="94">
        <f>Accounts!Q94</f>
        <v/>
      </c>
      <c r="G94" s="94">
        <f>Accounts!R94</f>
        <v/>
      </c>
      <c r="H94" s="94">
        <f>Accounts!I94</f>
        <v/>
      </c>
      <c r="I94" s="94">
        <f>Accounts!J94</f>
        <v/>
      </c>
      <c r="J94" s="93">
        <f>Accounts!S94</f>
        <v/>
      </c>
      <c r="K94" s="88" t="n"/>
      <c r="L94" s="95" t="n"/>
      <c r="M94" s="55" t="b">
        <v>0</v>
      </c>
      <c r="N94" s="96" t="b">
        <v>0</v>
      </c>
      <c r="O94" s="55" t="b">
        <v>0</v>
      </c>
      <c r="P94" s="55" t="b">
        <v>0</v>
      </c>
      <c r="Q94" s="55" t="b">
        <v>0</v>
      </c>
      <c r="R94" s="55" t="b">
        <v>0</v>
      </c>
      <c r="S94" s="55" t="b">
        <v>0</v>
      </c>
      <c r="T94" s="55" t="b">
        <v>0</v>
      </c>
      <c r="U94" s="55" t="b">
        <v>0</v>
      </c>
      <c r="V94" s="55" t="b">
        <v>0</v>
      </c>
    </row>
    <row r="95" ht="69" customHeight="1" s="211">
      <c r="A95" s="92">
        <f>Accounts!A95</f>
        <v/>
      </c>
      <c r="B95" s="12" t="b">
        <v>0</v>
      </c>
      <c r="C95" s="93">
        <f>Accounts!N95</f>
        <v/>
      </c>
      <c r="D95" s="94" t="n"/>
      <c r="E95" s="93">
        <f>Accounts!F95</f>
        <v/>
      </c>
      <c r="F95" s="94">
        <f>Accounts!Q95</f>
        <v/>
      </c>
      <c r="G95" s="94">
        <f>Accounts!R95</f>
        <v/>
      </c>
      <c r="H95" s="94">
        <f>Accounts!I95</f>
        <v/>
      </c>
      <c r="I95" s="94">
        <f>Accounts!J95</f>
        <v/>
      </c>
      <c r="J95" s="93">
        <f>Accounts!S95</f>
        <v/>
      </c>
      <c r="K95" s="88" t="n"/>
      <c r="L95" s="95" t="n"/>
      <c r="M95" s="55" t="b">
        <v>0</v>
      </c>
      <c r="N95" s="96" t="b">
        <v>0</v>
      </c>
      <c r="O95" s="55" t="b">
        <v>0</v>
      </c>
      <c r="P95" s="55" t="b">
        <v>0</v>
      </c>
      <c r="Q95" s="55" t="b">
        <v>0</v>
      </c>
      <c r="R95" s="55" t="b">
        <v>0</v>
      </c>
      <c r="S95" s="55" t="b">
        <v>0</v>
      </c>
      <c r="T95" s="55" t="b">
        <v>0</v>
      </c>
      <c r="U95" s="55" t="b">
        <v>0</v>
      </c>
      <c r="V95" s="55" t="b">
        <v>0</v>
      </c>
    </row>
    <row r="96" ht="69" customHeight="1" s="211">
      <c r="A96" s="92">
        <f>Accounts!A96</f>
        <v/>
      </c>
      <c r="B96" s="12" t="b">
        <v>0</v>
      </c>
      <c r="C96" s="93">
        <f>Accounts!N96</f>
        <v/>
      </c>
      <c r="D96" s="94" t="n"/>
      <c r="E96" s="93">
        <f>Accounts!F96</f>
        <v/>
      </c>
      <c r="F96" s="94">
        <f>Accounts!Q96</f>
        <v/>
      </c>
      <c r="G96" s="94">
        <f>Accounts!R96</f>
        <v/>
      </c>
      <c r="H96" s="94">
        <f>Accounts!I96</f>
        <v/>
      </c>
      <c r="I96" s="94">
        <f>Accounts!J96</f>
        <v/>
      </c>
      <c r="J96" s="93">
        <f>Accounts!S96</f>
        <v/>
      </c>
      <c r="K96" s="88" t="n"/>
      <c r="L96" s="95" t="n"/>
      <c r="M96" s="55" t="b">
        <v>0</v>
      </c>
      <c r="N96" s="96" t="b">
        <v>0</v>
      </c>
      <c r="O96" s="55" t="b">
        <v>0</v>
      </c>
      <c r="P96" s="55" t="b">
        <v>0</v>
      </c>
      <c r="Q96" s="55" t="b">
        <v>0</v>
      </c>
      <c r="R96" s="55" t="b">
        <v>0</v>
      </c>
      <c r="S96" s="55" t="b">
        <v>0</v>
      </c>
      <c r="T96" s="55" t="b">
        <v>0</v>
      </c>
      <c r="U96" s="55" t="b">
        <v>0</v>
      </c>
      <c r="V96" s="55" t="b">
        <v>0</v>
      </c>
    </row>
    <row r="97" ht="69" customHeight="1" s="211">
      <c r="A97" s="92">
        <f>Accounts!A97</f>
        <v/>
      </c>
      <c r="B97" s="12" t="b">
        <v>0</v>
      </c>
      <c r="C97" s="93">
        <f>Accounts!N97</f>
        <v/>
      </c>
      <c r="D97" s="94" t="n"/>
      <c r="E97" s="93">
        <f>Accounts!F97</f>
        <v/>
      </c>
      <c r="F97" s="94">
        <f>Accounts!Q97</f>
        <v/>
      </c>
      <c r="G97" s="94">
        <f>Accounts!R97</f>
        <v/>
      </c>
      <c r="H97" s="94">
        <f>Accounts!I97</f>
        <v/>
      </c>
      <c r="I97" s="94">
        <f>Accounts!J97</f>
        <v/>
      </c>
      <c r="J97" s="93">
        <f>Accounts!S97</f>
        <v/>
      </c>
      <c r="K97" s="88" t="n"/>
      <c r="L97" s="95" t="n"/>
      <c r="M97" s="55" t="b">
        <v>0</v>
      </c>
      <c r="N97" s="96" t="b">
        <v>0</v>
      </c>
      <c r="O97" s="55" t="b">
        <v>0</v>
      </c>
      <c r="P97" s="55" t="b">
        <v>0</v>
      </c>
      <c r="Q97" s="55" t="b">
        <v>0</v>
      </c>
      <c r="R97" s="55" t="b">
        <v>0</v>
      </c>
      <c r="S97" s="55" t="b">
        <v>0</v>
      </c>
      <c r="T97" s="55" t="b">
        <v>0</v>
      </c>
      <c r="U97" s="55" t="b">
        <v>0</v>
      </c>
      <c r="V97" s="55" t="b">
        <v>0</v>
      </c>
    </row>
    <row r="98" ht="69" customHeight="1" s="211">
      <c r="A98" s="92">
        <f>Accounts!A98</f>
        <v/>
      </c>
      <c r="B98" s="12" t="b">
        <v>0</v>
      </c>
      <c r="C98" s="93">
        <f>Accounts!N98</f>
        <v/>
      </c>
      <c r="D98" s="94" t="n"/>
      <c r="E98" s="93">
        <f>Accounts!F98</f>
        <v/>
      </c>
      <c r="F98" s="94">
        <f>Accounts!Q98</f>
        <v/>
      </c>
      <c r="G98" s="94">
        <f>Accounts!R98</f>
        <v/>
      </c>
      <c r="H98" s="94">
        <f>Accounts!I98</f>
        <v/>
      </c>
      <c r="I98" s="94">
        <f>Accounts!J98</f>
        <v/>
      </c>
      <c r="J98" s="93">
        <f>Accounts!S98</f>
        <v/>
      </c>
      <c r="K98" s="88" t="n"/>
      <c r="L98" s="95" t="n"/>
      <c r="M98" s="55" t="b">
        <v>0</v>
      </c>
      <c r="N98" s="96" t="b">
        <v>0</v>
      </c>
      <c r="O98" s="55" t="b">
        <v>0</v>
      </c>
      <c r="P98" s="55" t="b">
        <v>0</v>
      </c>
      <c r="Q98" s="55" t="b">
        <v>0</v>
      </c>
      <c r="R98" s="55" t="b">
        <v>0</v>
      </c>
      <c r="S98" s="55" t="b">
        <v>0</v>
      </c>
      <c r="T98" s="55" t="b">
        <v>0</v>
      </c>
      <c r="U98" s="55" t="b">
        <v>0</v>
      </c>
      <c r="V98" s="55" t="b">
        <v>0</v>
      </c>
    </row>
    <row r="99" ht="69" customHeight="1" s="211">
      <c r="A99" s="92">
        <f>Accounts!A99</f>
        <v/>
      </c>
      <c r="B99" s="12" t="b">
        <v>0</v>
      </c>
      <c r="C99" s="93">
        <f>Accounts!N99</f>
        <v/>
      </c>
      <c r="D99" s="94" t="n"/>
      <c r="E99" s="93">
        <f>Accounts!F99</f>
        <v/>
      </c>
      <c r="F99" s="94">
        <f>Accounts!Q99</f>
        <v/>
      </c>
      <c r="G99" s="94">
        <f>Accounts!R99</f>
        <v/>
      </c>
      <c r="H99" s="94">
        <f>Accounts!I99</f>
        <v/>
      </c>
      <c r="I99" s="94">
        <f>Accounts!J99</f>
        <v/>
      </c>
      <c r="J99" s="93">
        <f>Accounts!S99</f>
        <v/>
      </c>
      <c r="K99" s="88" t="n"/>
      <c r="L99" s="95" t="n"/>
      <c r="M99" s="55" t="b">
        <v>0</v>
      </c>
      <c r="N99" s="96" t="b">
        <v>0</v>
      </c>
      <c r="O99" s="55" t="b">
        <v>0</v>
      </c>
      <c r="P99" s="55" t="b">
        <v>0</v>
      </c>
      <c r="Q99" s="55" t="b">
        <v>0</v>
      </c>
      <c r="R99" s="55" t="b">
        <v>0</v>
      </c>
      <c r="S99" s="55" t="b">
        <v>0</v>
      </c>
      <c r="T99" s="55" t="b">
        <v>0</v>
      </c>
      <c r="U99" s="55" t="b">
        <v>0</v>
      </c>
      <c r="V99" s="55" t="b">
        <v>0</v>
      </c>
    </row>
    <row r="100" ht="69" customHeight="1" s="211">
      <c r="A100" s="92">
        <f>Accounts!A100</f>
        <v/>
      </c>
      <c r="B100" s="12" t="b">
        <v>0</v>
      </c>
      <c r="C100" s="93">
        <f>Accounts!N100</f>
        <v/>
      </c>
      <c r="D100" s="94" t="n"/>
      <c r="E100" s="93">
        <f>Accounts!F100</f>
        <v/>
      </c>
      <c r="F100" s="94">
        <f>Accounts!Q100</f>
        <v/>
      </c>
      <c r="G100" s="94">
        <f>Accounts!R100</f>
        <v/>
      </c>
      <c r="H100" s="94">
        <f>Accounts!I100</f>
        <v/>
      </c>
      <c r="I100" s="94">
        <f>Accounts!J100</f>
        <v/>
      </c>
      <c r="J100" s="93">
        <f>Accounts!S100</f>
        <v/>
      </c>
      <c r="K100" s="88" t="n"/>
      <c r="L100" s="95" t="n"/>
      <c r="M100" s="55" t="b">
        <v>0</v>
      </c>
      <c r="N100" s="96" t="b">
        <v>0</v>
      </c>
      <c r="O100" s="55" t="b">
        <v>0</v>
      </c>
      <c r="P100" s="55" t="b">
        <v>0</v>
      </c>
      <c r="Q100" s="55" t="b">
        <v>0</v>
      </c>
      <c r="R100" s="55" t="b">
        <v>0</v>
      </c>
      <c r="S100" s="55" t="b">
        <v>0</v>
      </c>
      <c r="T100" s="55" t="b">
        <v>0</v>
      </c>
      <c r="U100" s="55" t="b">
        <v>0</v>
      </c>
      <c r="V100" s="55" t="b">
        <v>0</v>
      </c>
    </row>
    <row r="101" ht="69" customHeight="1" s="211">
      <c r="A101" s="92">
        <f>Accounts!A101</f>
        <v/>
      </c>
      <c r="B101" s="12" t="b">
        <v>0</v>
      </c>
      <c r="C101" s="93">
        <f>Accounts!N101</f>
        <v/>
      </c>
      <c r="D101" s="94" t="n"/>
      <c r="E101" s="93">
        <f>Accounts!F101</f>
        <v/>
      </c>
      <c r="F101" s="94">
        <f>Accounts!Q101</f>
        <v/>
      </c>
      <c r="G101" s="94">
        <f>Accounts!R101</f>
        <v/>
      </c>
      <c r="H101" s="94">
        <f>Accounts!I101</f>
        <v/>
      </c>
      <c r="I101" s="94">
        <f>Accounts!J101</f>
        <v/>
      </c>
      <c r="J101" s="93">
        <f>Accounts!S101</f>
        <v/>
      </c>
      <c r="K101" s="88" t="n"/>
      <c r="L101" s="95" t="n"/>
      <c r="M101" s="55" t="b">
        <v>0</v>
      </c>
      <c r="N101" s="96" t="b">
        <v>0</v>
      </c>
      <c r="O101" s="55" t="b">
        <v>0</v>
      </c>
      <c r="P101" s="55" t="b">
        <v>0</v>
      </c>
      <c r="Q101" s="55" t="b">
        <v>0</v>
      </c>
      <c r="R101" s="55" t="b">
        <v>0</v>
      </c>
      <c r="S101" s="55" t="b">
        <v>0</v>
      </c>
      <c r="T101" s="55" t="b">
        <v>0</v>
      </c>
      <c r="U101" s="55" t="b">
        <v>0</v>
      </c>
      <c r="V101" s="55" t="b">
        <v>0</v>
      </c>
    </row>
    <row r="102" ht="69" customHeight="1" s="211">
      <c r="A102" s="92">
        <f>Accounts!A102</f>
        <v/>
      </c>
      <c r="B102" s="12" t="b">
        <v>0</v>
      </c>
      <c r="C102" s="93">
        <f>Accounts!N102</f>
        <v/>
      </c>
      <c r="D102" s="94" t="n"/>
      <c r="E102" s="93">
        <f>Accounts!F102</f>
        <v/>
      </c>
      <c r="F102" s="94">
        <f>Accounts!Q102</f>
        <v/>
      </c>
      <c r="G102" s="94">
        <f>Accounts!R102</f>
        <v/>
      </c>
      <c r="H102" s="94">
        <f>Accounts!I102</f>
        <v/>
      </c>
      <c r="I102" s="94">
        <f>Accounts!J102</f>
        <v/>
      </c>
      <c r="J102" s="93">
        <f>Accounts!S102</f>
        <v/>
      </c>
      <c r="K102" s="88" t="n"/>
      <c r="L102" s="95" t="n"/>
      <c r="M102" s="55" t="b">
        <v>0</v>
      </c>
      <c r="N102" s="96" t="b">
        <v>0</v>
      </c>
      <c r="O102" s="55" t="b">
        <v>0</v>
      </c>
      <c r="P102" s="55" t="b">
        <v>0</v>
      </c>
      <c r="Q102" s="55" t="b">
        <v>0</v>
      </c>
      <c r="R102" s="55" t="b">
        <v>0</v>
      </c>
      <c r="S102" s="55" t="b">
        <v>0</v>
      </c>
      <c r="T102" s="55" t="b">
        <v>0</v>
      </c>
      <c r="U102" s="55" t="b">
        <v>0</v>
      </c>
      <c r="V102" s="55" t="b">
        <v>0</v>
      </c>
    </row>
    <row r="103" ht="69" customHeight="1" s="211">
      <c r="A103" s="92">
        <f>Accounts!A103</f>
        <v/>
      </c>
      <c r="B103" s="12" t="b">
        <v>0</v>
      </c>
      <c r="C103" s="93">
        <f>Accounts!N103</f>
        <v/>
      </c>
      <c r="D103" s="94" t="n"/>
      <c r="E103" s="93">
        <f>Accounts!F103</f>
        <v/>
      </c>
      <c r="F103" s="94">
        <f>Accounts!Q103</f>
        <v/>
      </c>
      <c r="G103" s="94">
        <f>Accounts!R103</f>
        <v/>
      </c>
      <c r="H103" s="94">
        <f>Accounts!I103</f>
        <v/>
      </c>
      <c r="I103" s="94">
        <f>Accounts!J103</f>
        <v/>
      </c>
      <c r="J103" s="93">
        <f>Accounts!S103</f>
        <v/>
      </c>
      <c r="K103" s="88" t="n"/>
      <c r="L103" s="95" t="n"/>
      <c r="M103" s="55" t="b">
        <v>0</v>
      </c>
      <c r="N103" s="96" t="b">
        <v>0</v>
      </c>
      <c r="O103" s="55" t="b">
        <v>0</v>
      </c>
      <c r="P103" s="55" t="b">
        <v>0</v>
      </c>
      <c r="Q103" s="55" t="b">
        <v>0</v>
      </c>
      <c r="R103" s="55" t="b">
        <v>0</v>
      </c>
      <c r="S103" s="55" t="b">
        <v>0</v>
      </c>
      <c r="T103" s="55" t="b">
        <v>0</v>
      </c>
      <c r="U103" s="55" t="b">
        <v>0</v>
      </c>
      <c r="V103" s="55" t="b">
        <v>0</v>
      </c>
    </row>
    <row r="104" ht="69" customHeight="1" s="211">
      <c r="A104" s="92">
        <f>Accounts!A104</f>
        <v/>
      </c>
      <c r="B104" s="12" t="b">
        <v>0</v>
      </c>
      <c r="C104" s="93">
        <f>Accounts!N104</f>
        <v/>
      </c>
      <c r="D104" s="94" t="n"/>
      <c r="E104" s="93">
        <f>Accounts!F104</f>
        <v/>
      </c>
      <c r="F104" s="94">
        <f>Accounts!Q104</f>
        <v/>
      </c>
      <c r="G104" s="94">
        <f>Accounts!R104</f>
        <v/>
      </c>
      <c r="H104" s="94">
        <f>Accounts!I104</f>
        <v/>
      </c>
      <c r="I104" s="94">
        <f>Accounts!J104</f>
        <v/>
      </c>
      <c r="J104" s="93">
        <f>Accounts!S104</f>
        <v/>
      </c>
      <c r="K104" s="88" t="n"/>
      <c r="L104" s="95" t="n"/>
      <c r="M104" s="55" t="b">
        <v>0</v>
      </c>
      <c r="N104" s="96" t="b">
        <v>0</v>
      </c>
      <c r="O104" s="55" t="b">
        <v>0</v>
      </c>
      <c r="P104" s="55" t="b">
        <v>0</v>
      </c>
      <c r="Q104" s="55" t="b">
        <v>0</v>
      </c>
      <c r="R104" s="55" t="b">
        <v>0</v>
      </c>
      <c r="S104" s="55" t="b">
        <v>0</v>
      </c>
      <c r="T104" s="55" t="b">
        <v>0</v>
      </c>
      <c r="U104" s="55" t="b">
        <v>0</v>
      </c>
      <c r="V104" s="55" t="b">
        <v>0</v>
      </c>
    </row>
    <row r="105" ht="69" customHeight="1" s="211">
      <c r="A105" s="92">
        <f>Accounts!A105</f>
        <v/>
      </c>
      <c r="B105" s="12" t="b">
        <v>0</v>
      </c>
      <c r="C105" s="93">
        <f>Accounts!N105</f>
        <v/>
      </c>
      <c r="D105" s="94" t="n"/>
      <c r="E105" s="93">
        <f>Accounts!F105</f>
        <v/>
      </c>
      <c r="F105" s="94">
        <f>Accounts!Q105</f>
        <v/>
      </c>
      <c r="G105" s="94">
        <f>Accounts!R105</f>
        <v/>
      </c>
      <c r="H105" s="94">
        <f>Accounts!I105</f>
        <v/>
      </c>
      <c r="I105" s="94">
        <f>Accounts!J105</f>
        <v/>
      </c>
      <c r="J105" s="93">
        <f>Accounts!S105</f>
        <v/>
      </c>
      <c r="K105" s="88" t="n"/>
      <c r="L105" s="95" t="n"/>
      <c r="M105" s="55" t="b">
        <v>0</v>
      </c>
      <c r="N105" s="96" t="b">
        <v>0</v>
      </c>
      <c r="O105" s="55" t="b">
        <v>0</v>
      </c>
      <c r="P105" s="55" t="b">
        <v>0</v>
      </c>
      <c r="Q105" s="55" t="b">
        <v>0</v>
      </c>
      <c r="R105" s="55" t="b">
        <v>0</v>
      </c>
      <c r="S105" s="55" t="b">
        <v>0</v>
      </c>
      <c r="T105" s="55" t="b">
        <v>0</v>
      </c>
      <c r="U105" s="55" t="b">
        <v>0</v>
      </c>
      <c r="V105" s="55" t="b">
        <v>0</v>
      </c>
    </row>
    <row r="106" ht="69" customHeight="1" s="211">
      <c r="A106" s="92">
        <f>Accounts!A106</f>
        <v/>
      </c>
      <c r="B106" s="12" t="b">
        <v>0</v>
      </c>
      <c r="C106" s="93">
        <f>Accounts!N106</f>
        <v/>
      </c>
      <c r="D106" s="94" t="n"/>
      <c r="E106" s="93">
        <f>Accounts!F106</f>
        <v/>
      </c>
      <c r="F106" s="94">
        <f>Accounts!Q106</f>
        <v/>
      </c>
      <c r="G106" s="94">
        <f>Accounts!R106</f>
        <v/>
      </c>
      <c r="H106" s="94">
        <f>Accounts!I106</f>
        <v/>
      </c>
      <c r="I106" s="94">
        <f>Accounts!J106</f>
        <v/>
      </c>
      <c r="J106" s="93">
        <f>Accounts!S106</f>
        <v/>
      </c>
      <c r="K106" s="88" t="n"/>
      <c r="L106" s="95" t="n"/>
      <c r="M106" s="55" t="b">
        <v>0</v>
      </c>
      <c r="N106" s="96" t="b">
        <v>0</v>
      </c>
      <c r="O106" s="55" t="b">
        <v>0</v>
      </c>
      <c r="P106" s="55" t="b">
        <v>0</v>
      </c>
      <c r="Q106" s="55" t="b">
        <v>0</v>
      </c>
      <c r="R106" s="55" t="b">
        <v>0</v>
      </c>
      <c r="S106" s="55" t="b">
        <v>0</v>
      </c>
      <c r="T106" s="55" t="b">
        <v>0</v>
      </c>
      <c r="U106" s="55" t="b">
        <v>0</v>
      </c>
      <c r="V106" s="55" t="b">
        <v>0</v>
      </c>
    </row>
    <row r="107" ht="69" customHeight="1" s="211">
      <c r="A107" s="92">
        <f>Accounts!A107</f>
        <v/>
      </c>
      <c r="B107" s="12" t="b">
        <v>0</v>
      </c>
      <c r="C107" s="93">
        <f>Accounts!N107</f>
        <v/>
      </c>
      <c r="D107" s="94" t="n"/>
      <c r="E107" s="93">
        <f>Accounts!F107</f>
        <v/>
      </c>
      <c r="F107" s="94">
        <f>Accounts!Q107</f>
        <v/>
      </c>
      <c r="G107" s="94">
        <f>Accounts!R107</f>
        <v/>
      </c>
      <c r="H107" s="94">
        <f>Accounts!I107</f>
        <v/>
      </c>
      <c r="I107" s="94">
        <f>Accounts!J107</f>
        <v/>
      </c>
      <c r="J107" s="93">
        <f>Accounts!S107</f>
        <v/>
      </c>
      <c r="K107" s="88" t="n"/>
      <c r="L107" s="95" t="n"/>
      <c r="M107" s="55" t="b">
        <v>0</v>
      </c>
      <c r="N107" s="96" t="b">
        <v>0</v>
      </c>
      <c r="O107" s="55" t="b">
        <v>0</v>
      </c>
      <c r="P107" s="55" t="b">
        <v>0</v>
      </c>
      <c r="Q107" s="55" t="b">
        <v>0</v>
      </c>
      <c r="R107" s="55" t="b">
        <v>0</v>
      </c>
      <c r="S107" s="55" t="b">
        <v>0</v>
      </c>
      <c r="T107" s="55" t="b">
        <v>0</v>
      </c>
      <c r="U107" s="55" t="b">
        <v>0</v>
      </c>
      <c r="V107" s="55" t="b">
        <v>0</v>
      </c>
    </row>
    <row r="108" ht="69" customHeight="1" s="211">
      <c r="A108" s="92">
        <f>Accounts!A108</f>
        <v/>
      </c>
      <c r="B108" s="12" t="b">
        <v>0</v>
      </c>
      <c r="C108" s="93">
        <f>Accounts!N108</f>
        <v/>
      </c>
      <c r="D108" s="94" t="n"/>
      <c r="E108" s="93">
        <f>Accounts!F108</f>
        <v/>
      </c>
      <c r="F108" s="94">
        <f>Accounts!Q108</f>
        <v/>
      </c>
      <c r="G108" s="94">
        <f>Accounts!R108</f>
        <v/>
      </c>
      <c r="H108" s="94">
        <f>Accounts!I108</f>
        <v/>
      </c>
      <c r="I108" s="94">
        <f>Accounts!J108</f>
        <v/>
      </c>
      <c r="J108" s="93">
        <f>Accounts!S108</f>
        <v/>
      </c>
      <c r="K108" s="88" t="n"/>
      <c r="L108" s="95" t="n"/>
      <c r="M108" s="55" t="b">
        <v>0</v>
      </c>
      <c r="N108" s="96" t="b">
        <v>0</v>
      </c>
      <c r="O108" s="55" t="b">
        <v>0</v>
      </c>
      <c r="P108" s="55" t="b">
        <v>0</v>
      </c>
      <c r="Q108" s="55" t="b">
        <v>0</v>
      </c>
      <c r="R108" s="55" t="b">
        <v>0</v>
      </c>
      <c r="S108" s="55" t="b">
        <v>0</v>
      </c>
      <c r="T108" s="55" t="b">
        <v>0</v>
      </c>
      <c r="U108" s="55" t="b">
        <v>0</v>
      </c>
      <c r="V108" s="55" t="b">
        <v>0</v>
      </c>
    </row>
    <row r="109" ht="69" customHeight="1" s="211">
      <c r="A109" s="92">
        <f>Accounts!A109</f>
        <v/>
      </c>
      <c r="B109" s="12" t="b">
        <v>0</v>
      </c>
      <c r="C109" s="93">
        <f>Accounts!N109</f>
        <v/>
      </c>
      <c r="D109" s="94" t="n"/>
      <c r="E109" s="93">
        <f>Accounts!F109</f>
        <v/>
      </c>
      <c r="F109" s="94">
        <f>Accounts!Q109</f>
        <v/>
      </c>
      <c r="G109" s="94">
        <f>Accounts!R109</f>
        <v/>
      </c>
      <c r="H109" s="94">
        <f>Accounts!I109</f>
        <v/>
      </c>
      <c r="I109" s="94">
        <f>Accounts!J109</f>
        <v/>
      </c>
      <c r="J109" s="93">
        <f>Accounts!S109</f>
        <v/>
      </c>
      <c r="K109" s="88" t="n"/>
      <c r="L109" s="95" t="n"/>
      <c r="M109" s="55" t="b">
        <v>0</v>
      </c>
      <c r="N109" s="96" t="b">
        <v>0</v>
      </c>
      <c r="O109" s="55" t="b">
        <v>0</v>
      </c>
      <c r="P109" s="55" t="b">
        <v>0</v>
      </c>
      <c r="Q109" s="55" t="b">
        <v>0</v>
      </c>
      <c r="R109" s="55" t="b">
        <v>0</v>
      </c>
      <c r="S109" s="55" t="b">
        <v>0</v>
      </c>
      <c r="T109" s="55" t="b">
        <v>0</v>
      </c>
      <c r="U109" s="55" t="b">
        <v>0</v>
      </c>
      <c r="V109" s="55" t="b">
        <v>0</v>
      </c>
    </row>
    <row r="110" ht="69" customHeight="1" s="211">
      <c r="A110" s="92">
        <f>Accounts!A110</f>
        <v/>
      </c>
      <c r="B110" s="12" t="b">
        <v>0</v>
      </c>
      <c r="C110" s="93">
        <f>Accounts!N110</f>
        <v/>
      </c>
      <c r="D110" s="94" t="n"/>
      <c r="E110" s="93">
        <f>Accounts!F110</f>
        <v/>
      </c>
      <c r="F110" s="94">
        <f>Accounts!Q110</f>
        <v/>
      </c>
      <c r="G110" s="94">
        <f>Accounts!R110</f>
        <v/>
      </c>
      <c r="H110" s="94">
        <f>Accounts!I110</f>
        <v/>
      </c>
      <c r="I110" s="94">
        <f>Accounts!J110</f>
        <v/>
      </c>
      <c r="J110" s="93">
        <f>Accounts!S110</f>
        <v/>
      </c>
      <c r="K110" s="88" t="n"/>
      <c r="L110" s="95" t="n"/>
      <c r="M110" s="55" t="b">
        <v>0</v>
      </c>
      <c r="N110" s="96" t="b">
        <v>0</v>
      </c>
      <c r="O110" s="55" t="b">
        <v>0</v>
      </c>
      <c r="P110" s="55" t="b">
        <v>0</v>
      </c>
      <c r="Q110" s="55" t="b">
        <v>0</v>
      </c>
      <c r="R110" s="55" t="b">
        <v>0</v>
      </c>
      <c r="S110" s="55" t="b">
        <v>0</v>
      </c>
      <c r="T110" s="55" t="b">
        <v>0</v>
      </c>
      <c r="U110" s="55" t="b">
        <v>0</v>
      </c>
      <c r="V110" s="55" t="b">
        <v>0</v>
      </c>
    </row>
    <row r="111" ht="69" customHeight="1" s="211">
      <c r="A111" s="92">
        <f>Accounts!A111</f>
        <v/>
      </c>
      <c r="B111" s="12" t="b">
        <v>0</v>
      </c>
      <c r="C111" s="93">
        <f>Accounts!N111</f>
        <v/>
      </c>
      <c r="D111" s="94" t="n"/>
      <c r="E111" s="93">
        <f>Accounts!F111</f>
        <v/>
      </c>
      <c r="F111" s="94">
        <f>Accounts!Q111</f>
        <v/>
      </c>
      <c r="G111" s="94">
        <f>Accounts!R111</f>
        <v/>
      </c>
      <c r="H111" s="94">
        <f>Accounts!I111</f>
        <v/>
      </c>
      <c r="I111" s="94">
        <f>Accounts!J111</f>
        <v/>
      </c>
      <c r="J111" s="93">
        <f>Accounts!S111</f>
        <v/>
      </c>
      <c r="K111" s="88" t="n"/>
      <c r="L111" s="95" t="n"/>
      <c r="M111" s="55" t="b">
        <v>0</v>
      </c>
      <c r="N111" s="96" t="b">
        <v>0</v>
      </c>
      <c r="O111" s="55" t="b">
        <v>0</v>
      </c>
      <c r="P111" s="55" t="b">
        <v>0</v>
      </c>
      <c r="Q111" s="55" t="b">
        <v>0</v>
      </c>
      <c r="R111" s="55" t="b">
        <v>0</v>
      </c>
      <c r="S111" s="55" t="b">
        <v>0</v>
      </c>
      <c r="T111" s="55" t="b">
        <v>0</v>
      </c>
      <c r="U111" s="55" t="b">
        <v>0</v>
      </c>
      <c r="V111" s="55" t="b">
        <v>0</v>
      </c>
    </row>
    <row r="112" ht="69" customHeight="1" s="211">
      <c r="A112" s="92">
        <f>Accounts!A112</f>
        <v/>
      </c>
      <c r="B112" s="12" t="b">
        <v>0</v>
      </c>
      <c r="C112" s="93">
        <f>Accounts!N112</f>
        <v/>
      </c>
      <c r="D112" s="94" t="n"/>
      <c r="E112" s="93">
        <f>Accounts!F112</f>
        <v/>
      </c>
      <c r="F112" s="94">
        <f>Accounts!Q112</f>
        <v/>
      </c>
      <c r="G112" s="94">
        <f>Accounts!R112</f>
        <v/>
      </c>
      <c r="H112" s="94">
        <f>Accounts!I112</f>
        <v/>
      </c>
      <c r="I112" s="94">
        <f>Accounts!J112</f>
        <v/>
      </c>
      <c r="J112" s="93">
        <f>Accounts!S112</f>
        <v/>
      </c>
      <c r="K112" s="88" t="n"/>
      <c r="L112" s="95" t="n"/>
      <c r="M112" s="55" t="b">
        <v>0</v>
      </c>
      <c r="N112" s="96" t="b">
        <v>0</v>
      </c>
      <c r="O112" s="55" t="b">
        <v>0</v>
      </c>
      <c r="P112" s="55" t="b">
        <v>0</v>
      </c>
      <c r="Q112" s="55" t="b">
        <v>0</v>
      </c>
      <c r="R112" s="55" t="b">
        <v>0</v>
      </c>
      <c r="S112" s="55" t="b">
        <v>0</v>
      </c>
      <c r="T112" s="55" t="b">
        <v>0</v>
      </c>
      <c r="U112" s="55" t="b">
        <v>0</v>
      </c>
      <c r="V112" s="55" t="b">
        <v>0</v>
      </c>
    </row>
    <row r="113" ht="69" customHeight="1" s="211">
      <c r="A113" s="92">
        <f>Accounts!A113</f>
        <v/>
      </c>
      <c r="B113" s="12" t="b">
        <v>0</v>
      </c>
      <c r="C113" s="93">
        <f>Accounts!N113</f>
        <v/>
      </c>
      <c r="D113" s="94" t="n"/>
      <c r="E113" s="93">
        <f>Accounts!F113</f>
        <v/>
      </c>
      <c r="F113" s="94">
        <f>Accounts!Q113</f>
        <v/>
      </c>
      <c r="G113" s="94">
        <f>Accounts!R113</f>
        <v/>
      </c>
      <c r="H113" s="94">
        <f>Accounts!I113</f>
        <v/>
      </c>
      <c r="I113" s="94">
        <f>Accounts!J113</f>
        <v/>
      </c>
      <c r="J113" s="93">
        <f>Accounts!S113</f>
        <v/>
      </c>
      <c r="K113" s="88" t="n"/>
      <c r="L113" s="95" t="n"/>
      <c r="M113" s="55" t="b">
        <v>0</v>
      </c>
      <c r="N113" s="96" t="b">
        <v>0</v>
      </c>
      <c r="O113" s="55" t="b">
        <v>0</v>
      </c>
      <c r="P113" s="55" t="b">
        <v>0</v>
      </c>
      <c r="Q113" s="55" t="b">
        <v>0</v>
      </c>
      <c r="R113" s="55" t="b">
        <v>0</v>
      </c>
      <c r="S113" s="55" t="b">
        <v>0</v>
      </c>
      <c r="T113" s="55" t="b">
        <v>0</v>
      </c>
      <c r="U113" s="55" t="b">
        <v>0</v>
      </c>
      <c r="V113" s="55" t="b">
        <v>0</v>
      </c>
    </row>
    <row r="114" ht="69" customHeight="1" s="211">
      <c r="A114" s="92">
        <f>Accounts!A114</f>
        <v/>
      </c>
      <c r="B114" s="12" t="b">
        <v>0</v>
      </c>
      <c r="C114" s="93">
        <f>Accounts!N114</f>
        <v/>
      </c>
      <c r="D114" s="94" t="n"/>
      <c r="E114" s="93">
        <f>Accounts!F114</f>
        <v/>
      </c>
      <c r="F114" s="94">
        <f>Accounts!Q114</f>
        <v/>
      </c>
      <c r="G114" s="94">
        <f>Accounts!R114</f>
        <v/>
      </c>
      <c r="H114" s="94">
        <f>Accounts!I114</f>
        <v/>
      </c>
      <c r="I114" s="94">
        <f>Accounts!J114</f>
        <v/>
      </c>
      <c r="J114" s="93">
        <f>Accounts!S114</f>
        <v/>
      </c>
      <c r="K114" s="88" t="n"/>
      <c r="L114" s="95" t="n"/>
      <c r="M114" s="55" t="b">
        <v>0</v>
      </c>
      <c r="N114" s="96" t="b">
        <v>0</v>
      </c>
      <c r="O114" s="55" t="b">
        <v>0</v>
      </c>
      <c r="P114" s="55" t="b">
        <v>0</v>
      </c>
      <c r="Q114" s="55" t="b">
        <v>0</v>
      </c>
      <c r="R114" s="55" t="b">
        <v>0</v>
      </c>
      <c r="S114" s="55" t="b">
        <v>0</v>
      </c>
      <c r="T114" s="55" t="b">
        <v>0</v>
      </c>
      <c r="U114" s="55" t="b">
        <v>0</v>
      </c>
      <c r="V114" s="55" t="b">
        <v>0</v>
      </c>
    </row>
    <row r="115" ht="69" customHeight="1" s="211">
      <c r="A115" s="92">
        <f>Accounts!A115</f>
        <v/>
      </c>
      <c r="B115" s="12" t="b">
        <v>0</v>
      </c>
      <c r="C115" s="93">
        <f>Accounts!N115</f>
        <v/>
      </c>
      <c r="D115" s="94" t="n"/>
      <c r="E115" s="93">
        <f>Accounts!F115</f>
        <v/>
      </c>
      <c r="F115" s="94">
        <f>Accounts!Q115</f>
        <v/>
      </c>
      <c r="G115" s="94">
        <f>Accounts!R115</f>
        <v/>
      </c>
      <c r="H115" s="94">
        <f>Accounts!I115</f>
        <v/>
      </c>
      <c r="I115" s="94">
        <f>Accounts!J115</f>
        <v/>
      </c>
      <c r="J115" s="93">
        <f>Accounts!S115</f>
        <v/>
      </c>
      <c r="K115" s="88" t="n"/>
      <c r="L115" s="95" t="n"/>
      <c r="M115" s="55" t="b">
        <v>0</v>
      </c>
      <c r="N115" s="96" t="b">
        <v>0</v>
      </c>
      <c r="O115" s="55" t="b">
        <v>0</v>
      </c>
      <c r="P115" s="55" t="b">
        <v>0</v>
      </c>
      <c r="Q115" s="55" t="b">
        <v>0</v>
      </c>
      <c r="R115" s="55" t="b">
        <v>0</v>
      </c>
      <c r="S115" s="55" t="b">
        <v>0</v>
      </c>
      <c r="T115" s="55" t="b">
        <v>0</v>
      </c>
      <c r="U115" s="55" t="b">
        <v>0</v>
      </c>
      <c r="V115" s="55" t="b">
        <v>0</v>
      </c>
    </row>
    <row r="116" ht="69" customHeight="1" s="211">
      <c r="A116" s="92">
        <f>Accounts!A116</f>
        <v/>
      </c>
      <c r="B116" s="12" t="b">
        <v>0</v>
      </c>
      <c r="C116" s="93">
        <f>Accounts!N116</f>
        <v/>
      </c>
      <c r="D116" s="94" t="n"/>
      <c r="E116" s="93">
        <f>Accounts!F116</f>
        <v/>
      </c>
      <c r="F116" s="94">
        <f>Accounts!Q116</f>
        <v/>
      </c>
      <c r="G116" s="94">
        <f>Accounts!R116</f>
        <v/>
      </c>
      <c r="H116" s="94">
        <f>Accounts!I116</f>
        <v/>
      </c>
      <c r="I116" s="94">
        <f>Accounts!J116</f>
        <v/>
      </c>
      <c r="J116" s="93">
        <f>Accounts!S116</f>
        <v/>
      </c>
      <c r="K116" s="88" t="n"/>
      <c r="L116" s="95" t="n"/>
      <c r="M116" s="55" t="b">
        <v>0</v>
      </c>
      <c r="N116" s="96" t="b">
        <v>0</v>
      </c>
      <c r="O116" s="55" t="b">
        <v>0</v>
      </c>
      <c r="P116" s="55" t="b">
        <v>0</v>
      </c>
      <c r="Q116" s="55" t="b">
        <v>0</v>
      </c>
      <c r="R116" s="55" t="b">
        <v>0</v>
      </c>
      <c r="S116" s="55" t="b">
        <v>0</v>
      </c>
      <c r="T116" s="55" t="b">
        <v>0</v>
      </c>
      <c r="U116" s="55" t="b">
        <v>0</v>
      </c>
      <c r="V116" s="55" t="b">
        <v>0</v>
      </c>
    </row>
    <row r="117" ht="69" customHeight="1" s="211">
      <c r="A117" s="92">
        <f>Accounts!A117</f>
        <v/>
      </c>
      <c r="B117" s="12" t="b">
        <v>0</v>
      </c>
      <c r="C117" s="93">
        <f>Accounts!N117</f>
        <v/>
      </c>
      <c r="D117" s="94" t="n"/>
      <c r="E117" s="93">
        <f>Accounts!F117</f>
        <v/>
      </c>
      <c r="F117" s="94">
        <f>Accounts!Q117</f>
        <v/>
      </c>
      <c r="G117" s="94">
        <f>Accounts!R117</f>
        <v/>
      </c>
      <c r="H117" s="94">
        <f>Accounts!I117</f>
        <v/>
      </c>
      <c r="I117" s="94">
        <f>Accounts!J117</f>
        <v/>
      </c>
      <c r="J117" s="93">
        <f>Accounts!S117</f>
        <v/>
      </c>
      <c r="K117" s="88" t="n"/>
      <c r="L117" s="95" t="n"/>
      <c r="M117" s="55" t="b">
        <v>0</v>
      </c>
      <c r="N117" s="96" t="b">
        <v>0</v>
      </c>
      <c r="O117" s="55" t="b">
        <v>0</v>
      </c>
      <c r="P117" s="55" t="b">
        <v>0</v>
      </c>
      <c r="Q117" s="55" t="b">
        <v>0</v>
      </c>
      <c r="R117" s="55" t="b">
        <v>0</v>
      </c>
      <c r="S117" s="55" t="b">
        <v>0</v>
      </c>
      <c r="T117" s="55" t="b">
        <v>0</v>
      </c>
      <c r="U117" s="55" t="b">
        <v>0</v>
      </c>
      <c r="V117" s="55" t="b">
        <v>0</v>
      </c>
    </row>
    <row r="118" ht="69" customHeight="1" s="211">
      <c r="A118" s="92">
        <f>Accounts!A118</f>
        <v/>
      </c>
      <c r="B118" s="12" t="b">
        <v>0</v>
      </c>
      <c r="C118" s="93">
        <f>Accounts!N118</f>
        <v/>
      </c>
      <c r="D118" s="94" t="n"/>
      <c r="E118" s="93">
        <f>Accounts!F118</f>
        <v/>
      </c>
      <c r="F118" s="94">
        <f>Accounts!Q118</f>
        <v/>
      </c>
      <c r="G118" s="94">
        <f>Accounts!R118</f>
        <v/>
      </c>
      <c r="H118" s="94">
        <f>Accounts!I118</f>
        <v/>
      </c>
      <c r="I118" s="94">
        <f>Accounts!J118</f>
        <v/>
      </c>
      <c r="J118" s="93">
        <f>Accounts!S118</f>
        <v/>
      </c>
      <c r="K118" s="88" t="n"/>
      <c r="L118" s="95" t="n"/>
      <c r="M118" s="55" t="b">
        <v>0</v>
      </c>
      <c r="N118" s="96" t="b">
        <v>0</v>
      </c>
      <c r="O118" s="55" t="b">
        <v>0</v>
      </c>
      <c r="P118" s="55" t="b">
        <v>0</v>
      </c>
      <c r="Q118" s="55" t="b">
        <v>0</v>
      </c>
      <c r="R118" s="55" t="b">
        <v>0</v>
      </c>
      <c r="S118" s="55" t="b">
        <v>0</v>
      </c>
      <c r="T118" s="55" t="b">
        <v>0</v>
      </c>
      <c r="U118" s="55" t="b">
        <v>0</v>
      </c>
      <c r="V118" s="55" t="b">
        <v>0</v>
      </c>
    </row>
    <row r="119" ht="69" customHeight="1" s="211">
      <c r="A119" s="92">
        <f>Accounts!A119</f>
        <v/>
      </c>
      <c r="B119" s="12" t="b">
        <v>0</v>
      </c>
      <c r="C119" s="93">
        <f>Accounts!N119</f>
        <v/>
      </c>
      <c r="D119" s="94" t="n"/>
      <c r="E119" s="93">
        <f>Accounts!F119</f>
        <v/>
      </c>
      <c r="F119" s="94">
        <f>Accounts!Q119</f>
        <v/>
      </c>
      <c r="G119" s="94">
        <f>Accounts!R119</f>
        <v/>
      </c>
      <c r="H119" s="94">
        <f>Accounts!I119</f>
        <v/>
      </c>
      <c r="I119" s="94">
        <f>Accounts!J119</f>
        <v/>
      </c>
      <c r="J119" s="93">
        <f>Accounts!S119</f>
        <v/>
      </c>
      <c r="K119" s="88" t="n"/>
      <c r="L119" s="95" t="n"/>
      <c r="M119" s="55" t="b">
        <v>0</v>
      </c>
      <c r="N119" s="96" t="b">
        <v>0</v>
      </c>
      <c r="O119" s="55" t="b">
        <v>0</v>
      </c>
      <c r="P119" s="55" t="b">
        <v>0</v>
      </c>
      <c r="Q119" s="55" t="b">
        <v>0</v>
      </c>
      <c r="R119" s="55" t="b">
        <v>0</v>
      </c>
      <c r="S119" s="55" t="b">
        <v>0</v>
      </c>
      <c r="T119" s="55" t="b">
        <v>0</v>
      </c>
      <c r="U119" s="55" t="b">
        <v>0</v>
      </c>
      <c r="V119" s="55" t="b">
        <v>0</v>
      </c>
    </row>
    <row r="120" ht="69" customHeight="1" s="211">
      <c r="A120" s="92">
        <f>Accounts!A120</f>
        <v/>
      </c>
      <c r="B120" s="12" t="b">
        <v>0</v>
      </c>
      <c r="C120" s="93">
        <f>Accounts!N120</f>
        <v/>
      </c>
      <c r="D120" s="94" t="n"/>
      <c r="E120" s="93">
        <f>Accounts!F120</f>
        <v/>
      </c>
      <c r="F120" s="94">
        <f>Accounts!Q120</f>
        <v/>
      </c>
      <c r="G120" s="94">
        <f>Accounts!R120</f>
        <v/>
      </c>
      <c r="H120" s="94">
        <f>Accounts!I120</f>
        <v/>
      </c>
      <c r="I120" s="94">
        <f>Accounts!J120</f>
        <v/>
      </c>
      <c r="J120" s="93">
        <f>Accounts!S120</f>
        <v/>
      </c>
      <c r="K120" s="88" t="n"/>
      <c r="L120" s="95" t="n"/>
      <c r="M120" s="55" t="b">
        <v>0</v>
      </c>
      <c r="N120" s="96" t="b">
        <v>0</v>
      </c>
      <c r="O120" s="55" t="b">
        <v>0</v>
      </c>
      <c r="P120" s="55" t="b">
        <v>0</v>
      </c>
      <c r="Q120" s="55" t="b">
        <v>0</v>
      </c>
      <c r="R120" s="55" t="b">
        <v>0</v>
      </c>
      <c r="S120" s="55" t="b">
        <v>0</v>
      </c>
      <c r="T120" s="55" t="b">
        <v>0</v>
      </c>
      <c r="U120" s="55" t="b">
        <v>0</v>
      </c>
      <c r="V120" s="55" t="b">
        <v>0</v>
      </c>
    </row>
    <row r="121" ht="69" customHeight="1" s="211">
      <c r="A121" s="92">
        <f>Accounts!A121</f>
        <v/>
      </c>
      <c r="B121" s="12" t="b">
        <v>0</v>
      </c>
      <c r="C121" s="93">
        <f>Accounts!N121</f>
        <v/>
      </c>
      <c r="D121" s="94" t="n"/>
      <c r="E121" s="93">
        <f>Accounts!F121</f>
        <v/>
      </c>
      <c r="F121" s="94">
        <f>Accounts!Q121</f>
        <v/>
      </c>
      <c r="G121" s="94">
        <f>Accounts!R121</f>
        <v/>
      </c>
      <c r="H121" s="94">
        <f>Accounts!I121</f>
        <v/>
      </c>
      <c r="I121" s="94">
        <f>Accounts!J121</f>
        <v/>
      </c>
      <c r="J121" s="93">
        <f>Accounts!S121</f>
        <v/>
      </c>
      <c r="K121" s="88" t="n"/>
      <c r="L121" s="95" t="n"/>
      <c r="M121" s="55" t="b">
        <v>0</v>
      </c>
      <c r="N121" s="96" t="b">
        <v>0</v>
      </c>
      <c r="O121" s="55" t="b">
        <v>0</v>
      </c>
      <c r="P121" s="55" t="b">
        <v>0</v>
      </c>
      <c r="Q121" s="55" t="b">
        <v>0</v>
      </c>
      <c r="R121" s="55" t="b">
        <v>0</v>
      </c>
      <c r="S121" s="55" t="b">
        <v>0</v>
      </c>
      <c r="T121" s="55" t="b">
        <v>0</v>
      </c>
      <c r="U121" s="55" t="b">
        <v>0</v>
      </c>
      <c r="V121" s="55" t="b">
        <v>0</v>
      </c>
    </row>
    <row r="122" ht="69" customHeight="1" s="211">
      <c r="A122" s="92">
        <f>Accounts!A122</f>
        <v/>
      </c>
      <c r="B122" s="12" t="b">
        <v>0</v>
      </c>
      <c r="C122" s="93">
        <f>Accounts!N122</f>
        <v/>
      </c>
      <c r="D122" s="94" t="n"/>
      <c r="E122" s="93">
        <f>Accounts!F122</f>
        <v/>
      </c>
      <c r="F122" s="94">
        <f>Accounts!Q122</f>
        <v/>
      </c>
      <c r="G122" s="94">
        <f>Accounts!R122</f>
        <v/>
      </c>
      <c r="H122" s="94">
        <f>Accounts!I122</f>
        <v/>
      </c>
      <c r="I122" s="94">
        <f>Accounts!J122</f>
        <v/>
      </c>
      <c r="J122" s="93">
        <f>Accounts!S122</f>
        <v/>
      </c>
      <c r="K122" s="88" t="n"/>
      <c r="L122" s="95" t="n"/>
      <c r="M122" s="55" t="b">
        <v>0</v>
      </c>
      <c r="N122" s="96" t="b">
        <v>0</v>
      </c>
      <c r="O122" s="55" t="b">
        <v>0</v>
      </c>
      <c r="P122" s="55" t="b">
        <v>0</v>
      </c>
      <c r="Q122" s="55" t="b">
        <v>0</v>
      </c>
      <c r="R122" s="55" t="b">
        <v>0</v>
      </c>
      <c r="S122" s="55" t="b">
        <v>0</v>
      </c>
      <c r="T122" s="55" t="b">
        <v>0</v>
      </c>
      <c r="U122" s="55" t="b">
        <v>0</v>
      </c>
      <c r="V122" s="55" t="b">
        <v>0</v>
      </c>
    </row>
    <row r="123" ht="69" customHeight="1" s="211">
      <c r="A123" s="92">
        <f>Accounts!A123</f>
        <v/>
      </c>
      <c r="B123" s="12" t="b">
        <v>0</v>
      </c>
      <c r="C123" s="93">
        <f>Accounts!N123</f>
        <v/>
      </c>
      <c r="D123" s="94" t="n"/>
      <c r="E123" s="93">
        <f>Accounts!F123</f>
        <v/>
      </c>
      <c r="F123" s="94">
        <f>Accounts!Q123</f>
        <v/>
      </c>
      <c r="G123" s="94">
        <f>Accounts!R123</f>
        <v/>
      </c>
      <c r="H123" s="94">
        <f>Accounts!I123</f>
        <v/>
      </c>
      <c r="I123" s="94">
        <f>Accounts!J123</f>
        <v/>
      </c>
      <c r="J123" s="93">
        <f>Accounts!S123</f>
        <v/>
      </c>
      <c r="K123" s="88" t="n"/>
      <c r="L123" s="95" t="n"/>
      <c r="M123" s="55" t="b">
        <v>0</v>
      </c>
      <c r="N123" s="96" t="b">
        <v>0</v>
      </c>
      <c r="O123" s="55" t="b">
        <v>0</v>
      </c>
      <c r="P123" s="55" t="b">
        <v>0</v>
      </c>
      <c r="Q123" s="55" t="b">
        <v>0</v>
      </c>
      <c r="R123" s="55" t="b">
        <v>0</v>
      </c>
      <c r="S123" s="55" t="b">
        <v>0</v>
      </c>
      <c r="T123" s="55" t="b">
        <v>0</v>
      </c>
      <c r="U123" s="55" t="b">
        <v>0</v>
      </c>
      <c r="V123" s="55" t="b">
        <v>0</v>
      </c>
    </row>
    <row r="124" ht="69" customHeight="1" s="211">
      <c r="A124" s="92">
        <f>Accounts!A124</f>
        <v/>
      </c>
      <c r="B124" s="12" t="b">
        <v>0</v>
      </c>
      <c r="C124" s="93">
        <f>Accounts!N124</f>
        <v/>
      </c>
      <c r="D124" s="94" t="n"/>
      <c r="E124" s="93">
        <f>Accounts!F124</f>
        <v/>
      </c>
      <c r="F124" s="94">
        <f>Accounts!Q124</f>
        <v/>
      </c>
      <c r="G124" s="94">
        <f>Accounts!R124</f>
        <v/>
      </c>
      <c r="H124" s="94">
        <f>Accounts!I124</f>
        <v/>
      </c>
      <c r="I124" s="94">
        <f>Accounts!J124</f>
        <v/>
      </c>
      <c r="J124" s="93">
        <f>Accounts!S124</f>
        <v/>
      </c>
      <c r="K124" s="88" t="n"/>
      <c r="L124" s="95" t="n"/>
      <c r="M124" s="55" t="b">
        <v>0</v>
      </c>
      <c r="N124" s="96" t="b">
        <v>0</v>
      </c>
      <c r="O124" s="55" t="b">
        <v>0</v>
      </c>
      <c r="P124" s="55" t="b">
        <v>0</v>
      </c>
      <c r="Q124" s="55" t="b">
        <v>0</v>
      </c>
      <c r="R124" s="55" t="b">
        <v>0</v>
      </c>
      <c r="S124" s="55" t="b">
        <v>0</v>
      </c>
      <c r="T124" s="55" t="b">
        <v>0</v>
      </c>
      <c r="U124" s="55" t="b">
        <v>0</v>
      </c>
      <c r="V124" s="55" t="b">
        <v>0</v>
      </c>
    </row>
    <row r="125" ht="69" customHeight="1" s="211">
      <c r="A125" s="92">
        <f>Accounts!A125</f>
        <v/>
      </c>
      <c r="B125" s="12" t="b">
        <v>0</v>
      </c>
      <c r="C125" s="93">
        <f>Accounts!N125</f>
        <v/>
      </c>
      <c r="D125" s="94" t="n"/>
      <c r="E125" s="93">
        <f>Accounts!F125</f>
        <v/>
      </c>
      <c r="F125" s="94">
        <f>Accounts!Q125</f>
        <v/>
      </c>
      <c r="G125" s="94">
        <f>Accounts!R125</f>
        <v/>
      </c>
      <c r="H125" s="94">
        <f>Accounts!I125</f>
        <v/>
      </c>
      <c r="I125" s="94">
        <f>Accounts!J125</f>
        <v/>
      </c>
      <c r="J125" s="93">
        <f>Accounts!S125</f>
        <v/>
      </c>
      <c r="K125" s="88" t="n"/>
      <c r="L125" s="95" t="n"/>
      <c r="M125" s="55" t="b">
        <v>0</v>
      </c>
      <c r="N125" s="96" t="b">
        <v>0</v>
      </c>
      <c r="O125" s="55" t="b">
        <v>0</v>
      </c>
      <c r="P125" s="55" t="b">
        <v>0</v>
      </c>
      <c r="Q125" s="55" t="b">
        <v>0</v>
      </c>
      <c r="R125" s="55" t="b">
        <v>0</v>
      </c>
      <c r="S125" s="55" t="b">
        <v>0</v>
      </c>
      <c r="T125" s="55" t="b">
        <v>0</v>
      </c>
      <c r="U125" s="55" t="b">
        <v>0</v>
      </c>
      <c r="V125" s="55" t="b">
        <v>0</v>
      </c>
    </row>
    <row r="126" ht="69" customHeight="1" s="211">
      <c r="A126" s="92">
        <f>Accounts!A126</f>
        <v/>
      </c>
      <c r="B126" s="12" t="b">
        <v>0</v>
      </c>
      <c r="C126" s="93">
        <f>Accounts!N126</f>
        <v/>
      </c>
      <c r="D126" s="94" t="n"/>
      <c r="E126" s="93">
        <f>Accounts!F126</f>
        <v/>
      </c>
      <c r="F126" s="94">
        <f>Accounts!Q126</f>
        <v/>
      </c>
      <c r="G126" s="94">
        <f>Accounts!R126</f>
        <v/>
      </c>
      <c r="H126" s="94">
        <f>Accounts!I126</f>
        <v/>
      </c>
      <c r="I126" s="94">
        <f>Accounts!J126</f>
        <v/>
      </c>
      <c r="J126" s="93">
        <f>Accounts!S126</f>
        <v/>
      </c>
      <c r="K126" s="88" t="n"/>
      <c r="L126" s="95" t="n"/>
      <c r="M126" s="55" t="b">
        <v>0</v>
      </c>
      <c r="N126" s="96" t="b">
        <v>0</v>
      </c>
      <c r="O126" s="55" t="b">
        <v>0</v>
      </c>
      <c r="P126" s="55" t="b">
        <v>0</v>
      </c>
      <c r="Q126" s="55" t="b">
        <v>0</v>
      </c>
      <c r="R126" s="55" t="b">
        <v>0</v>
      </c>
      <c r="S126" s="55" t="b">
        <v>0</v>
      </c>
      <c r="T126" s="55" t="b">
        <v>0</v>
      </c>
      <c r="U126" s="55" t="b">
        <v>0</v>
      </c>
      <c r="V126" s="55" t="b">
        <v>0</v>
      </c>
    </row>
    <row r="127" ht="69" customHeight="1" s="211">
      <c r="A127" s="92">
        <f>Accounts!A127</f>
        <v/>
      </c>
      <c r="B127" s="12" t="b">
        <v>0</v>
      </c>
      <c r="C127" s="93">
        <f>Accounts!N127</f>
        <v/>
      </c>
      <c r="D127" s="94" t="n"/>
      <c r="E127" s="93">
        <f>Accounts!F127</f>
        <v/>
      </c>
      <c r="F127" s="94">
        <f>Accounts!Q127</f>
        <v/>
      </c>
      <c r="G127" s="94">
        <f>Accounts!R127</f>
        <v/>
      </c>
      <c r="H127" s="94">
        <f>Accounts!I127</f>
        <v/>
      </c>
      <c r="I127" s="94">
        <f>Accounts!J127</f>
        <v/>
      </c>
      <c r="J127" s="93">
        <f>Accounts!S127</f>
        <v/>
      </c>
      <c r="K127" s="88" t="n"/>
      <c r="L127" s="95" t="n"/>
      <c r="M127" s="55" t="b">
        <v>0</v>
      </c>
      <c r="N127" s="96" t="b">
        <v>0</v>
      </c>
      <c r="O127" s="55" t="b">
        <v>0</v>
      </c>
      <c r="P127" s="55" t="b">
        <v>0</v>
      </c>
      <c r="Q127" s="55" t="b">
        <v>0</v>
      </c>
      <c r="R127" s="55" t="b">
        <v>0</v>
      </c>
      <c r="S127" s="55" t="b">
        <v>0</v>
      </c>
      <c r="T127" s="55" t="b">
        <v>0</v>
      </c>
      <c r="U127" s="55" t="b">
        <v>0</v>
      </c>
      <c r="V127" s="55" t="b">
        <v>0</v>
      </c>
    </row>
    <row r="128" ht="69" customHeight="1" s="211">
      <c r="A128" s="92">
        <f>Accounts!A128</f>
        <v/>
      </c>
      <c r="B128" s="12" t="b">
        <v>0</v>
      </c>
      <c r="C128" s="93">
        <f>Accounts!N128</f>
        <v/>
      </c>
      <c r="D128" s="94" t="n"/>
      <c r="E128" s="93">
        <f>Accounts!F128</f>
        <v/>
      </c>
      <c r="F128" s="94">
        <f>Accounts!Q128</f>
        <v/>
      </c>
      <c r="G128" s="94">
        <f>Accounts!R128</f>
        <v/>
      </c>
      <c r="H128" s="94">
        <f>Accounts!I128</f>
        <v/>
      </c>
      <c r="I128" s="94">
        <f>Accounts!J128</f>
        <v/>
      </c>
      <c r="J128" s="93">
        <f>Accounts!S128</f>
        <v/>
      </c>
      <c r="K128" s="88" t="n"/>
      <c r="L128" s="95" t="n"/>
      <c r="M128" s="55" t="b">
        <v>0</v>
      </c>
      <c r="N128" s="96" t="b">
        <v>0</v>
      </c>
      <c r="O128" s="55" t="b">
        <v>0</v>
      </c>
      <c r="P128" s="55" t="b">
        <v>0</v>
      </c>
      <c r="Q128" s="55" t="b">
        <v>0</v>
      </c>
      <c r="R128" s="55" t="b">
        <v>0</v>
      </c>
      <c r="S128" s="55" t="b">
        <v>0</v>
      </c>
      <c r="T128" s="55" t="b">
        <v>0</v>
      </c>
      <c r="U128" s="55" t="b">
        <v>0</v>
      </c>
      <c r="V128" s="55" t="b">
        <v>0</v>
      </c>
    </row>
    <row r="129" ht="69" customHeight="1" s="211">
      <c r="A129" s="92">
        <f>Accounts!A129</f>
        <v/>
      </c>
      <c r="B129" s="12" t="b">
        <v>0</v>
      </c>
      <c r="C129" s="93">
        <f>Accounts!N129</f>
        <v/>
      </c>
      <c r="D129" s="94" t="n"/>
      <c r="E129" s="93">
        <f>Accounts!F129</f>
        <v/>
      </c>
      <c r="F129" s="94">
        <f>Accounts!Q129</f>
        <v/>
      </c>
      <c r="G129" s="94">
        <f>Accounts!R129</f>
        <v/>
      </c>
      <c r="H129" s="94">
        <f>Accounts!I129</f>
        <v/>
      </c>
      <c r="I129" s="94">
        <f>Accounts!J129</f>
        <v/>
      </c>
      <c r="J129" s="93">
        <f>Accounts!S129</f>
        <v/>
      </c>
      <c r="K129" s="88" t="n"/>
      <c r="L129" s="95" t="n"/>
      <c r="M129" s="55" t="b">
        <v>0</v>
      </c>
      <c r="N129" s="96" t="b">
        <v>0</v>
      </c>
      <c r="O129" s="55" t="b">
        <v>0</v>
      </c>
      <c r="P129" s="55" t="b">
        <v>0</v>
      </c>
      <c r="Q129" s="55" t="b">
        <v>0</v>
      </c>
      <c r="R129" s="55" t="b">
        <v>0</v>
      </c>
      <c r="S129" s="55" t="b">
        <v>0</v>
      </c>
      <c r="T129" s="55" t="b">
        <v>0</v>
      </c>
      <c r="U129" s="55" t="b">
        <v>0</v>
      </c>
      <c r="V129" s="55" t="b">
        <v>0</v>
      </c>
    </row>
    <row r="130" ht="69" customHeight="1" s="211">
      <c r="A130" s="92">
        <f>Accounts!A130</f>
        <v/>
      </c>
      <c r="B130" s="12" t="b">
        <v>0</v>
      </c>
      <c r="C130" s="93">
        <f>Accounts!N130</f>
        <v/>
      </c>
      <c r="D130" s="94" t="n"/>
      <c r="E130" s="93">
        <f>Accounts!F130</f>
        <v/>
      </c>
      <c r="F130" s="94">
        <f>Accounts!Q130</f>
        <v/>
      </c>
      <c r="G130" s="94">
        <f>Accounts!R130</f>
        <v/>
      </c>
      <c r="H130" s="94">
        <f>Accounts!I130</f>
        <v/>
      </c>
      <c r="I130" s="94">
        <f>Accounts!J130</f>
        <v/>
      </c>
      <c r="J130" s="93">
        <f>Accounts!S130</f>
        <v/>
      </c>
      <c r="K130" s="88" t="n"/>
      <c r="L130" s="95" t="n"/>
      <c r="M130" s="55" t="b">
        <v>0</v>
      </c>
      <c r="N130" s="96" t="b">
        <v>0</v>
      </c>
      <c r="O130" s="55" t="b">
        <v>0</v>
      </c>
      <c r="P130" s="55" t="b">
        <v>0</v>
      </c>
      <c r="Q130" s="55" t="b">
        <v>0</v>
      </c>
      <c r="R130" s="55" t="b">
        <v>0</v>
      </c>
      <c r="S130" s="55" t="b">
        <v>0</v>
      </c>
      <c r="T130" s="55" t="b">
        <v>0</v>
      </c>
      <c r="U130" s="55" t="b">
        <v>0</v>
      </c>
      <c r="V130" s="55" t="b">
        <v>0</v>
      </c>
    </row>
    <row r="131" ht="69" customHeight="1" s="211">
      <c r="A131" s="92">
        <f>Accounts!A131</f>
        <v/>
      </c>
      <c r="B131" s="12" t="b">
        <v>0</v>
      </c>
      <c r="C131" s="93">
        <f>Accounts!N131</f>
        <v/>
      </c>
      <c r="D131" s="94" t="n"/>
      <c r="E131" s="93">
        <f>Accounts!F131</f>
        <v/>
      </c>
      <c r="F131" s="94">
        <f>Accounts!Q131</f>
        <v/>
      </c>
      <c r="G131" s="94">
        <f>Accounts!R131</f>
        <v/>
      </c>
      <c r="H131" s="94">
        <f>Accounts!I131</f>
        <v/>
      </c>
      <c r="I131" s="94">
        <f>Accounts!J131</f>
        <v/>
      </c>
      <c r="J131" s="93">
        <f>Accounts!S131</f>
        <v/>
      </c>
      <c r="K131" s="88" t="n"/>
      <c r="L131" s="95" t="n"/>
      <c r="M131" s="55" t="b">
        <v>0</v>
      </c>
      <c r="N131" s="96" t="b">
        <v>0</v>
      </c>
      <c r="O131" s="55" t="b">
        <v>0</v>
      </c>
      <c r="P131" s="55" t="b">
        <v>0</v>
      </c>
      <c r="Q131" s="55" t="b">
        <v>0</v>
      </c>
      <c r="R131" s="55" t="b">
        <v>0</v>
      </c>
      <c r="S131" s="55" t="b">
        <v>0</v>
      </c>
      <c r="T131" s="55" t="b">
        <v>0</v>
      </c>
      <c r="U131" s="55" t="b">
        <v>0</v>
      </c>
      <c r="V131" s="55" t="b">
        <v>0</v>
      </c>
    </row>
    <row r="132" ht="69" customHeight="1" s="211">
      <c r="A132" s="92">
        <f>Accounts!A132</f>
        <v/>
      </c>
      <c r="B132" s="12" t="b">
        <v>0</v>
      </c>
      <c r="C132" s="93">
        <f>Accounts!N132</f>
        <v/>
      </c>
      <c r="D132" s="94" t="n"/>
      <c r="E132" s="93">
        <f>Accounts!F132</f>
        <v/>
      </c>
      <c r="F132" s="94">
        <f>Accounts!Q132</f>
        <v/>
      </c>
      <c r="G132" s="94">
        <f>Accounts!R132</f>
        <v/>
      </c>
      <c r="H132" s="94">
        <f>Accounts!I132</f>
        <v/>
      </c>
      <c r="I132" s="94">
        <f>Accounts!J132</f>
        <v/>
      </c>
      <c r="J132" s="93">
        <f>Accounts!S132</f>
        <v/>
      </c>
      <c r="K132" s="88" t="n"/>
      <c r="L132" s="95" t="n"/>
      <c r="M132" s="55" t="b">
        <v>0</v>
      </c>
      <c r="N132" s="96" t="b">
        <v>0</v>
      </c>
      <c r="O132" s="55" t="b">
        <v>0</v>
      </c>
      <c r="P132" s="55" t="b">
        <v>0</v>
      </c>
      <c r="Q132" s="55" t="b">
        <v>0</v>
      </c>
      <c r="R132" s="55" t="b">
        <v>0</v>
      </c>
      <c r="S132" s="55" t="b">
        <v>0</v>
      </c>
      <c r="T132" s="55" t="b">
        <v>0</v>
      </c>
      <c r="U132" s="55" t="b">
        <v>0</v>
      </c>
      <c r="V132" s="55" t="b">
        <v>0</v>
      </c>
    </row>
    <row r="133" ht="69" customHeight="1" s="211">
      <c r="A133" s="92">
        <f>Accounts!A133</f>
        <v/>
      </c>
      <c r="B133" s="12" t="b">
        <v>0</v>
      </c>
      <c r="C133" s="93">
        <f>Accounts!N133</f>
        <v/>
      </c>
      <c r="D133" s="94" t="n"/>
      <c r="E133" s="93">
        <f>Accounts!F133</f>
        <v/>
      </c>
      <c r="F133" s="94">
        <f>Accounts!Q133</f>
        <v/>
      </c>
      <c r="G133" s="94">
        <f>Accounts!R133</f>
        <v/>
      </c>
      <c r="H133" s="94">
        <f>Accounts!I133</f>
        <v/>
      </c>
      <c r="I133" s="94">
        <f>Accounts!J133</f>
        <v/>
      </c>
      <c r="J133" s="93">
        <f>Accounts!S133</f>
        <v/>
      </c>
      <c r="K133" s="88" t="n"/>
      <c r="L133" s="95" t="n"/>
      <c r="M133" s="55" t="b">
        <v>0</v>
      </c>
      <c r="N133" s="96" t="b">
        <v>0</v>
      </c>
      <c r="O133" s="55" t="b">
        <v>0</v>
      </c>
      <c r="P133" s="55" t="b">
        <v>0</v>
      </c>
      <c r="Q133" s="55" t="b">
        <v>0</v>
      </c>
      <c r="R133" s="55" t="b">
        <v>0</v>
      </c>
      <c r="S133" s="55" t="b">
        <v>0</v>
      </c>
      <c r="T133" s="55" t="b">
        <v>0</v>
      </c>
      <c r="U133" s="55" t="b">
        <v>0</v>
      </c>
      <c r="V133" s="55" t="b">
        <v>0</v>
      </c>
    </row>
    <row r="134" ht="69" customHeight="1" s="211">
      <c r="A134" s="92">
        <f>Accounts!A134</f>
        <v/>
      </c>
      <c r="B134" s="12" t="b">
        <v>0</v>
      </c>
      <c r="C134" s="93">
        <f>Accounts!N134</f>
        <v/>
      </c>
      <c r="D134" s="94" t="n"/>
      <c r="E134" s="93">
        <f>Accounts!F134</f>
        <v/>
      </c>
      <c r="F134" s="94">
        <f>Accounts!Q134</f>
        <v/>
      </c>
      <c r="G134" s="94">
        <f>Accounts!R134</f>
        <v/>
      </c>
      <c r="H134" s="94">
        <f>Accounts!I134</f>
        <v/>
      </c>
      <c r="I134" s="94">
        <f>Accounts!J134</f>
        <v/>
      </c>
      <c r="J134" s="93">
        <f>Accounts!S134</f>
        <v/>
      </c>
      <c r="K134" s="88" t="n"/>
      <c r="L134" s="95" t="n"/>
      <c r="M134" s="55" t="b">
        <v>0</v>
      </c>
      <c r="N134" s="96" t="b">
        <v>0</v>
      </c>
      <c r="O134" s="55" t="b">
        <v>0</v>
      </c>
      <c r="P134" s="55" t="b">
        <v>0</v>
      </c>
      <c r="Q134" s="55" t="b">
        <v>0</v>
      </c>
      <c r="R134" s="55" t="b">
        <v>0</v>
      </c>
      <c r="S134" s="55" t="b">
        <v>0</v>
      </c>
      <c r="T134" s="55" t="b">
        <v>0</v>
      </c>
      <c r="U134" s="55" t="b">
        <v>0</v>
      </c>
      <c r="V134" s="55" t="b">
        <v>0</v>
      </c>
    </row>
    <row r="135" ht="69" customHeight="1" s="211">
      <c r="A135" s="92">
        <f>Accounts!A135</f>
        <v/>
      </c>
      <c r="B135" s="12" t="b">
        <v>0</v>
      </c>
      <c r="C135" s="93">
        <f>Accounts!N135</f>
        <v/>
      </c>
      <c r="D135" s="94" t="n"/>
      <c r="E135" s="93">
        <f>Accounts!F135</f>
        <v/>
      </c>
      <c r="F135" s="94">
        <f>Accounts!Q135</f>
        <v/>
      </c>
      <c r="G135" s="94">
        <f>Accounts!R135</f>
        <v/>
      </c>
      <c r="H135" s="94">
        <f>Accounts!I135</f>
        <v/>
      </c>
      <c r="I135" s="94">
        <f>Accounts!J135</f>
        <v/>
      </c>
      <c r="J135" s="93">
        <f>Accounts!S135</f>
        <v/>
      </c>
      <c r="K135" s="88" t="n"/>
      <c r="L135" s="95" t="n"/>
      <c r="M135" s="55" t="b">
        <v>0</v>
      </c>
      <c r="N135" s="96" t="b">
        <v>0</v>
      </c>
      <c r="O135" s="55" t="b">
        <v>0</v>
      </c>
      <c r="P135" s="55" t="b">
        <v>0</v>
      </c>
      <c r="Q135" s="55" t="b">
        <v>0</v>
      </c>
      <c r="R135" s="55" t="b">
        <v>0</v>
      </c>
      <c r="S135" s="55" t="b">
        <v>0</v>
      </c>
      <c r="T135" s="55" t="b">
        <v>0</v>
      </c>
      <c r="U135" s="55" t="b">
        <v>0</v>
      </c>
      <c r="V135" s="55" t="b">
        <v>0</v>
      </c>
    </row>
    <row r="136" ht="69" customHeight="1" s="211">
      <c r="A136" s="92">
        <f>Accounts!A136</f>
        <v/>
      </c>
      <c r="B136" s="12" t="b">
        <v>0</v>
      </c>
      <c r="C136" s="93">
        <f>Accounts!N136</f>
        <v/>
      </c>
      <c r="D136" s="94" t="n"/>
      <c r="E136" s="93">
        <f>Accounts!F136</f>
        <v/>
      </c>
      <c r="F136" s="94">
        <f>Accounts!Q136</f>
        <v/>
      </c>
      <c r="G136" s="94">
        <f>Accounts!R136</f>
        <v/>
      </c>
      <c r="H136" s="94">
        <f>Accounts!I136</f>
        <v/>
      </c>
      <c r="I136" s="94">
        <f>Accounts!J136</f>
        <v/>
      </c>
      <c r="J136" s="93">
        <f>Accounts!S136</f>
        <v/>
      </c>
      <c r="K136" s="88" t="n"/>
      <c r="L136" s="95" t="n"/>
      <c r="M136" s="55" t="b">
        <v>0</v>
      </c>
      <c r="N136" s="96" t="b">
        <v>0</v>
      </c>
      <c r="O136" s="55" t="b">
        <v>0</v>
      </c>
      <c r="P136" s="55" t="b">
        <v>0</v>
      </c>
      <c r="Q136" s="55" t="b">
        <v>0</v>
      </c>
      <c r="R136" s="55" t="b">
        <v>0</v>
      </c>
      <c r="S136" s="55" t="b">
        <v>0</v>
      </c>
      <c r="T136" s="55" t="b">
        <v>0</v>
      </c>
      <c r="U136" s="55" t="b">
        <v>0</v>
      </c>
      <c r="V136" s="55" t="b">
        <v>0</v>
      </c>
    </row>
    <row r="137" ht="69" customHeight="1" s="211">
      <c r="A137" s="92">
        <f>Accounts!A137</f>
        <v/>
      </c>
      <c r="B137" s="12" t="b">
        <v>0</v>
      </c>
      <c r="C137" s="93">
        <f>Accounts!N137</f>
        <v/>
      </c>
      <c r="D137" s="94" t="n"/>
      <c r="E137" s="93">
        <f>Accounts!F137</f>
        <v/>
      </c>
      <c r="F137" s="94">
        <f>Accounts!Q137</f>
        <v/>
      </c>
      <c r="G137" s="94">
        <f>Accounts!R137</f>
        <v/>
      </c>
      <c r="H137" s="94">
        <f>Accounts!I137</f>
        <v/>
      </c>
      <c r="I137" s="94">
        <f>Accounts!J137</f>
        <v/>
      </c>
      <c r="J137" s="93">
        <f>Accounts!S137</f>
        <v/>
      </c>
      <c r="K137" s="88" t="n"/>
      <c r="L137" s="95" t="n"/>
      <c r="M137" s="55" t="b">
        <v>0</v>
      </c>
      <c r="N137" s="96" t="b">
        <v>0</v>
      </c>
      <c r="O137" s="55" t="b">
        <v>0</v>
      </c>
      <c r="P137" s="55" t="b">
        <v>0</v>
      </c>
      <c r="Q137" s="55" t="b">
        <v>0</v>
      </c>
      <c r="R137" s="55" t="b">
        <v>0</v>
      </c>
      <c r="S137" s="55" t="b">
        <v>0</v>
      </c>
      <c r="T137" s="55" t="b">
        <v>0</v>
      </c>
      <c r="U137" s="55" t="b">
        <v>0</v>
      </c>
      <c r="V137" s="55" t="b">
        <v>0</v>
      </c>
    </row>
    <row r="138" ht="69" customHeight="1" s="211">
      <c r="A138" s="92">
        <f>Accounts!A138</f>
        <v/>
      </c>
      <c r="B138" s="12" t="b">
        <v>0</v>
      </c>
      <c r="C138" s="93">
        <f>Accounts!N138</f>
        <v/>
      </c>
      <c r="D138" s="94" t="n"/>
      <c r="E138" s="93">
        <f>Accounts!F138</f>
        <v/>
      </c>
      <c r="F138" s="94">
        <f>Accounts!Q138</f>
        <v/>
      </c>
      <c r="G138" s="94">
        <f>Accounts!R138</f>
        <v/>
      </c>
      <c r="H138" s="94">
        <f>Accounts!I138</f>
        <v/>
      </c>
      <c r="I138" s="94">
        <f>Accounts!J138</f>
        <v/>
      </c>
      <c r="J138" s="93">
        <f>Accounts!S138</f>
        <v/>
      </c>
      <c r="K138" s="88" t="n"/>
      <c r="L138" s="95" t="n"/>
      <c r="M138" s="55" t="b">
        <v>0</v>
      </c>
      <c r="N138" s="96" t="b">
        <v>0</v>
      </c>
      <c r="O138" s="55" t="b">
        <v>0</v>
      </c>
      <c r="P138" s="55" t="b">
        <v>0</v>
      </c>
      <c r="Q138" s="55" t="b">
        <v>0</v>
      </c>
      <c r="R138" s="55" t="b">
        <v>0</v>
      </c>
      <c r="S138" s="55" t="b">
        <v>0</v>
      </c>
      <c r="T138" s="55" t="b">
        <v>0</v>
      </c>
      <c r="U138" s="55" t="b">
        <v>0</v>
      </c>
      <c r="V138" s="55" t="b">
        <v>0</v>
      </c>
    </row>
    <row r="139" ht="69" customHeight="1" s="211">
      <c r="A139" s="92">
        <f>Accounts!A139</f>
        <v/>
      </c>
      <c r="B139" s="12" t="b">
        <v>0</v>
      </c>
      <c r="C139" s="93">
        <f>Accounts!N139</f>
        <v/>
      </c>
      <c r="D139" s="94" t="n"/>
      <c r="E139" s="93">
        <f>Accounts!F139</f>
        <v/>
      </c>
      <c r="F139" s="94">
        <f>Accounts!Q139</f>
        <v/>
      </c>
      <c r="G139" s="94">
        <f>Accounts!R139</f>
        <v/>
      </c>
      <c r="H139" s="94">
        <f>Accounts!I139</f>
        <v/>
      </c>
      <c r="I139" s="94">
        <f>Accounts!J139</f>
        <v/>
      </c>
      <c r="J139" s="93">
        <f>Accounts!S139</f>
        <v/>
      </c>
      <c r="K139" s="88" t="n"/>
      <c r="L139" s="95" t="n"/>
      <c r="M139" s="55" t="b">
        <v>0</v>
      </c>
      <c r="N139" s="96" t="b">
        <v>0</v>
      </c>
      <c r="O139" s="55" t="b">
        <v>0</v>
      </c>
      <c r="P139" s="55" t="b">
        <v>0</v>
      </c>
      <c r="Q139" s="55" t="b">
        <v>0</v>
      </c>
      <c r="R139" s="55" t="b">
        <v>0</v>
      </c>
      <c r="S139" s="55" t="b">
        <v>0</v>
      </c>
      <c r="T139" s="55" t="b">
        <v>0</v>
      </c>
      <c r="U139" s="55" t="b">
        <v>0</v>
      </c>
      <c r="V139" s="55" t="b">
        <v>0</v>
      </c>
    </row>
    <row r="140" ht="69" customHeight="1" s="211">
      <c r="A140" s="92">
        <f>Accounts!A140</f>
        <v/>
      </c>
      <c r="B140" s="12" t="b">
        <v>0</v>
      </c>
      <c r="C140" s="93">
        <f>Accounts!N140</f>
        <v/>
      </c>
      <c r="D140" s="94" t="n"/>
      <c r="E140" s="93">
        <f>Accounts!F140</f>
        <v/>
      </c>
      <c r="F140" s="94">
        <f>Accounts!Q140</f>
        <v/>
      </c>
      <c r="G140" s="94">
        <f>Accounts!R140</f>
        <v/>
      </c>
      <c r="H140" s="94">
        <f>Accounts!I140</f>
        <v/>
      </c>
      <c r="I140" s="94">
        <f>Accounts!J140</f>
        <v/>
      </c>
      <c r="J140" s="93">
        <f>Accounts!S140</f>
        <v/>
      </c>
      <c r="K140" s="88" t="n"/>
      <c r="L140" s="95" t="n"/>
      <c r="M140" s="55" t="b">
        <v>0</v>
      </c>
      <c r="N140" s="96" t="b">
        <v>0</v>
      </c>
      <c r="O140" s="55" t="b">
        <v>0</v>
      </c>
      <c r="P140" s="55" t="b">
        <v>0</v>
      </c>
      <c r="Q140" s="55" t="b">
        <v>0</v>
      </c>
      <c r="R140" s="55" t="b">
        <v>0</v>
      </c>
      <c r="S140" s="55" t="b">
        <v>0</v>
      </c>
      <c r="T140" s="55" t="b">
        <v>0</v>
      </c>
      <c r="U140" s="55" t="b">
        <v>0</v>
      </c>
      <c r="V140" s="55" t="b">
        <v>0</v>
      </c>
    </row>
    <row r="141" ht="69" customHeight="1" s="211">
      <c r="A141" s="92">
        <f>Accounts!A141</f>
        <v/>
      </c>
      <c r="B141" s="12" t="b">
        <v>0</v>
      </c>
      <c r="C141" s="93">
        <f>Accounts!N141</f>
        <v/>
      </c>
      <c r="D141" s="94" t="n"/>
      <c r="E141" s="93">
        <f>Accounts!F141</f>
        <v/>
      </c>
      <c r="F141" s="94">
        <f>Accounts!Q141</f>
        <v/>
      </c>
      <c r="G141" s="94">
        <f>Accounts!R141</f>
        <v/>
      </c>
      <c r="H141" s="94">
        <f>Accounts!I141</f>
        <v/>
      </c>
      <c r="I141" s="94">
        <f>Accounts!J141</f>
        <v/>
      </c>
      <c r="J141" s="93">
        <f>Accounts!S141</f>
        <v/>
      </c>
      <c r="K141" s="88" t="n"/>
      <c r="L141" s="95" t="n"/>
      <c r="M141" s="55" t="b">
        <v>0</v>
      </c>
      <c r="N141" s="96" t="b">
        <v>0</v>
      </c>
      <c r="O141" s="55" t="b">
        <v>0</v>
      </c>
      <c r="P141" s="55" t="b">
        <v>0</v>
      </c>
      <c r="Q141" s="55" t="b">
        <v>0</v>
      </c>
      <c r="R141" s="55" t="b">
        <v>0</v>
      </c>
      <c r="S141" s="55" t="b">
        <v>0</v>
      </c>
      <c r="T141" s="55" t="b">
        <v>0</v>
      </c>
      <c r="U141" s="55" t="b">
        <v>0</v>
      </c>
      <c r="V141" s="55" t="b">
        <v>0</v>
      </c>
    </row>
    <row r="142" ht="69" customHeight="1" s="211">
      <c r="A142" s="92">
        <f>Accounts!A142</f>
        <v/>
      </c>
      <c r="B142" s="12" t="b">
        <v>0</v>
      </c>
      <c r="C142" s="93">
        <f>Accounts!N142</f>
        <v/>
      </c>
      <c r="D142" s="94" t="n"/>
      <c r="E142" s="93">
        <f>Accounts!F142</f>
        <v/>
      </c>
      <c r="F142" s="94">
        <f>Accounts!Q142</f>
        <v/>
      </c>
      <c r="G142" s="94">
        <f>Accounts!R142</f>
        <v/>
      </c>
      <c r="H142" s="94">
        <f>Accounts!I142</f>
        <v/>
      </c>
      <c r="I142" s="94">
        <f>Accounts!J142</f>
        <v/>
      </c>
      <c r="J142" s="93">
        <f>Accounts!S142</f>
        <v/>
      </c>
      <c r="K142" s="88" t="n"/>
      <c r="L142" s="95" t="n"/>
      <c r="M142" s="55" t="b">
        <v>0</v>
      </c>
      <c r="N142" s="96" t="b">
        <v>0</v>
      </c>
      <c r="O142" s="55" t="b">
        <v>0</v>
      </c>
      <c r="P142" s="55" t="b">
        <v>0</v>
      </c>
      <c r="Q142" s="55" t="b">
        <v>0</v>
      </c>
      <c r="R142" s="55" t="b">
        <v>0</v>
      </c>
      <c r="S142" s="55" t="b">
        <v>0</v>
      </c>
      <c r="T142" s="55" t="b">
        <v>0</v>
      </c>
      <c r="U142" s="55" t="b">
        <v>0</v>
      </c>
      <c r="V142" s="55" t="b">
        <v>0</v>
      </c>
    </row>
    <row r="143" ht="69" customHeight="1" s="211">
      <c r="A143" s="92">
        <f>Accounts!A143</f>
        <v/>
      </c>
      <c r="B143" s="12" t="b">
        <v>0</v>
      </c>
      <c r="C143" s="93">
        <f>Accounts!N143</f>
        <v/>
      </c>
      <c r="D143" s="94" t="n"/>
      <c r="E143" s="93">
        <f>Accounts!F143</f>
        <v/>
      </c>
      <c r="F143" s="94">
        <f>Accounts!Q143</f>
        <v/>
      </c>
      <c r="G143" s="94">
        <f>Accounts!R143</f>
        <v/>
      </c>
      <c r="H143" s="94">
        <f>Accounts!I143</f>
        <v/>
      </c>
      <c r="I143" s="94">
        <f>Accounts!J143</f>
        <v/>
      </c>
      <c r="J143" s="93">
        <f>Accounts!S143</f>
        <v/>
      </c>
      <c r="K143" s="88" t="n"/>
      <c r="L143" s="95" t="n"/>
      <c r="M143" s="55" t="b">
        <v>0</v>
      </c>
      <c r="N143" s="96" t="b">
        <v>0</v>
      </c>
      <c r="O143" s="55" t="b">
        <v>0</v>
      </c>
      <c r="P143" s="55" t="b">
        <v>0</v>
      </c>
      <c r="Q143" s="55" t="b">
        <v>0</v>
      </c>
      <c r="R143" s="55" t="b">
        <v>0</v>
      </c>
      <c r="S143" s="55" t="b">
        <v>0</v>
      </c>
      <c r="T143" s="55" t="b">
        <v>0</v>
      </c>
      <c r="U143" s="55" t="b">
        <v>0</v>
      </c>
      <c r="V143" s="55" t="b">
        <v>0</v>
      </c>
    </row>
    <row r="144" ht="69" customHeight="1" s="211">
      <c r="A144" s="92">
        <f>Accounts!A144</f>
        <v/>
      </c>
      <c r="B144" s="12" t="b">
        <v>0</v>
      </c>
      <c r="C144" s="93">
        <f>Accounts!N144</f>
        <v/>
      </c>
      <c r="D144" s="94" t="n"/>
      <c r="E144" s="93">
        <f>Accounts!F144</f>
        <v/>
      </c>
      <c r="F144" s="94">
        <f>Accounts!Q144</f>
        <v/>
      </c>
      <c r="G144" s="94">
        <f>Accounts!R144</f>
        <v/>
      </c>
      <c r="H144" s="94">
        <f>Accounts!I144</f>
        <v/>
      </c>
      <c r="I144" s="94">
        <f>Accounts!J144</f>
        <v/>
      </c>
      <c r="J144" s="93">
        <f>Accounts!S144</f>
        <v/>
      </c>
      <c r="K144" s="88" t="n"/>
      <c r="L144" s="95" t="n"/>
      <c r="M144" s="55" t="b">
        <v>0</v>
      </c>
      <c r="N144" s="96" t="b">
        <v>0</v>
      </c>
      <c r="O144" s="55" t="b">
        <v>0</v>
      </c>
      <c r="P144" s="55" t="b">
        <v>0</v>
      </c>
      <c r="Q144" s="55" t="b">
        <v>0</v>
      </c>
      <c r="R144" s="55" t="b">
        <v>0</v>
      </c>
      <c r="S144" s="55" t="b">
        <v>0</v>
      </c>
      <c r="T144" s="55" t="b">
        <v>0</v>
      </c>
      <c r="U144" s="55" t="b">
        <v>0</v>
      </c>
      <c r="V144" s="55" t="b">
        <v>0</v>
      </c>
    </row>
    <row r="145" ht="69" customHeight="1" s="211">
      <c r="A145" s="92">
        <f>Accounts!A145</f>
        <v/>
      </c>
      <c r="B145" s="12" t="b">
        <v>0</v>
      </c>
      <c r="C145" s="93">
        <f>Accounts!N145</f>
        <v/>
      </c>
      <c r="D145" s="94" t="n"/>
      <c r="E145" s="93">
        <f>Accounts!F145</f>
        <v/>
      </c>
      <c r="F145" s="94">
        <f>Accounts!Q145</f>
        <v/>
      </c>
      <c r="G145" s="94">
        <f>Accounts!R145</f>
        <v/>
      </c>
      <c r="H145" s="94">
        <f>Accounts!I145</f>
        <v/>
      </c>
      <c r="I145" s="94">
        <f>Accounts!J145</f>
        <v/>
      </c>
      <c r="J145" s="93">
        <f>Accounts!S145</f>
        <v/>
      </c>
      <c r="K145" s="88" t="n"/>
      <c r="L145" s="95" t="n"/>
      <c r="M145" s="55" t="b">
        <v>0</v>
      </c>
      <c r="N145" s="96" t="b">
        <v>0</v>
      </c>
      <c r="O145" s="55" t="b">
        <v>0</v>
      </c>
      <c r="P145" s="55" t="b">
        <v>0</v>
      </c>
      <c r="Q145" s="55" t="b">
        <v>0</v>
      </c>
      <c r="R145" s="55" t="b">
        <v>0</v>
      </c>
      <c r="S145" s="55" t="b">
        <v>0</v>
      </c>
      <c r="T145" s="55" t="b">
        <v>0</v>
      </c>
      <c r="U145" s="55" t="b">
        <v>0</v>
      </c>
      <c r="V145" s="55" t="b">
        <v>0</v>
      </c>
    </row>
    <row r="146" ht="69" customHeight="1" s="211">
      <c r="A146" s="92">
        <f>Accounts!A146</f>
        <v/>
      </c>
      <c r="B146" s="12" t="b">
        <v>0</v>
      </c>
      <c r="C146" s="93">
        <f>Accounts!N146</f>
        <v/>
      </c>
      <c r="D146" s="94" t="n"/>
      <c r="E146" s="93">
        <f>Accounts!F146</f>
        <v/>
      </c>
      <c r="F146" s="94">
        <f>Accounts!Q146</f>
        <v/>
      </c>
      <c r="G146" s="94">
        <f>Accounts!R146</f>
        <v/>
      </c>
      <c r="H146" s="94">
        <f>Accounts!I146</f>
        <v/>
      </c>
      <c r="I146" s="94">
        <f>Accounts!J146</f>
        <v/>
      </c>
      <c r="J146" s="93">
        <f>Accounts!S146</f>
        <v/>
      </c>
      <c r="K146" s="88" t="n"/>
      <c r="L146" s="95" t="n"/>
      <c r="M146" s="55" t="b">
        <v>0</v>
      </c>
      <c r="N146" s="96" t="b">
        <v>0</v>
      </c>
      <c r="O146" s="55" t="b">
        <v>0</v>
      </c>
      <c r="P146" s="55" t="b">
        <v>0</v>
      </c>
      <c r="Q146" s="55" t="b">
        <v>0</v>
      </c>
      <c r="R146" s="55" t="b">
        <v>0</v>
      </c>
      <c r="S146" s="55" t="b">
        <v>0</v>
      </c>
      <c r="T146" s="55" t="b">
        <v>0</v>
      </c>
      <c r="U146" s="55" t="b">
        <v>0</v>
      </c>
      <c r="V146" s="55" t="b">
        <v>0</v>
      </c>
    </row>
    <row r="147" ht="69" customHeight="1" s="211">
      <c r="A147" s="92">
        <f>Accounts!A147</f>
        <v/>
      </c>
      <c r="B147" s="12" t="b">
        <v>0</v>
      </c>
      <c r="C147" s="93">
        <f>Accounts!N147</f>
        <v/>
      </c>
      <c r="D147" s="94" t="n"/>
      <c r="E147" s="93">
        <f>Accounts!F147</f>
        <v/>
      </c>
      <c r="F147" s="94">
        <f>Accounts!Q147</f>
        <v/>
      </c>
      <c r="G147" s="94">
        <f>Accounts!R147</f>
        <v/>
      </c>
      <c r="H147" s="94">
        <f>Accounts!I147</f>
        <v/>
      </c>
      <c r="I147" s="94">
        <f>Accounts!J147</f>
        <v/>
      </c>
      <c r="J147" s="93">
        <f>Accounts!S147</f>
        <v/>
      </c>
      <c r="K147" s="88" t="n"/>
      <c r="L147" s="95" t="n"/>
      <c r="M147" s="55" t="b">
        <v>0</v>
      </c>
      <c r="N147" s="96" t="b">
        <v>0</v>
      </c>
      <c r="O147" s="55" t="b">
        <v>0</v>
      </c>
      <c r="P147" s="55" t="b">
        <v>0</v>
      </c>
      <c r="Q147" s="55" t="b">
        <v>0</v>
      </c>
      <c r="R147" s="55" t="b">
        <v>0</v>
      </c>
      <c r="S147" s="55" t="b">
        <v>0</v>
      </c>
      <c r="T147" s="55" t="b">
        <v>0</v>
      </c>
      <c r="U147" s="55" t="b">
        <v>0</v>
      </c>
      <c r="V147" s="55" t="b">
        <v>0</v>
      </c>
    </row>
    <row r="148" ht="69" customHeight="1" s="211">
      <c r="A148" s="92">
        <f>Accounts!A148</f>
        <v/>
      </c>
      <c r="B148" s="12" t="b">
        <v>0</v>
      </c>
      <c r="C148" s="93">
        <f>Accounts!N148</f>
        <v/>
      </c>
      <c r="D148" s="94" t="n"/>
      <c r="E148" s="93">
        <f>Accounts!F148</f>
        <v/>
      </c>
      <c r="F148" s="94">
        <f>Accounts!Q148</f>
        <v/>
      </c>
      <c r="G148" s="94">
        <f>Accounts!R148</f>
        <v/>
      </c>
      <c r="H148" s="94">
        <f>Accounts!I148</f>
        <v/>
      </c>
      <c r="I148" s="94">
        <f>Accounts!J148</f>
        <v/>
      </c>
      <c r="J148" s="93">
        <f>Accounts!S148</f>
        <v/>
      </c>
      <c r="K148" s="88" t="n"/>
      <c r="L148" s="95" t="n"/>
      <c r="M148" s="55" t="b">
        <v>0</v>
      </c>
      <c r="N148" s="96" t="b">
        <v>0</v>
      </c>
      <c r="O148" s="55" t="b">
        <v>0</v>
      </c>
      <c r="P148" s="55" t="b">
        <v>0</v>
      </c>
      <c r="Q148" s="55" t="b">
        <v>0</v>
      </c>
      <c r="R148" s="55" t="b">
        <v>0</v>
      </c>
      <c r="S148" s="55" t="b">
        <v>0</v>
      </c>
      <c r="T148" s="55" t="b">
        <v>0</v>
      </c>
      <c r="U148" s="55" t="b">
        <v>0</v>
      </c>
      <c r="V148" s="55" t="b">
        <v>0</v>
      </c>
    </row>
    <row r="149" ht="69" customHeight="1" s="211">
      <c r="A149" s="92">
        <f>Accounts!A149</f>
        <v/>
      </c>
      <c r="B149" s="12" t="b">
        <v>0</v>
      </c>
      <c r="C149" s="93">
        <f>Accounts!N149</f>
        <v/>
      </c>
      <c r="D149" s="94" t="n"/>
      <c r="E149" s="93">
        <f>Accounts!F149</f>
        <v/>
      </c>
      <c r="F149" s="94">
        <f>Accounts!Q149</f>
        <v/>
      </c>
      <c r="G149" s="94">
        <f>Accounts!R149</f>
        <v/>
      </c>
      <c r="H149" s="94">
        <f>Accounts!I149</f>
        <v/>
      </c>
      <c r="I149" s="94">
        <f>Accounts!J149</f>
        <v/>
      </c>
      <c r="J149" s="93">
        <f>Accounts!S149</f>
        <v/>
      </c>
      <c r="K149" s="88" t="n"/>
      <c r="L149" s="95" t="n"/>
      <c r="M149" s="55" t="b">
        <v>0</v>
      </c>
      <c r="N149" s="96" t="b">
        <v>0</v>
      </c>
      <c r="O149" s="55" t="b">
        <v>0</v>
      </c>
      <c r="P149" s="55" t="b">
        <v>0</v>
      </c>
      <c r="Q149" s="55" t="b">
        <v>0</v>
      </c>
      <c r="R149" s="55" t="b">
        <v>0</v>
      </c>
      <c r="S149" s="55" t="b">
        <v>0</v>
      </c>
      <c r="T149" s="55" t="b">
        <v>0</v>
      </c>
      <c r="U149" s="55" t="b">
        <v>0</v>
      </c>
      <c r="V149" s="55" t="b">
        <v>0</v>
      </c>
    </row>
    <row r="150" ht="69" customHeight="1" s="211">
      <c r="A150" s="92">
        <f>Accounts!A150</f>
        <v/>
      </c>
      <c r="B150" s="12" t="b">
        <v>0</v>
      </c>
      <c r="C150" s="93">
        <f>Accounts!N150</f>
        <v/>
      </c>
      <c r="D150" s="94" t="n"/>
      <c r="E150" s="93">
        <f>Accounts!F150</f>
        <v/>
      </c>
      <c r="F150" s="94">
        <f>Accounts!Q150</f>
        <v/>
      </c>
      <c r="G150" s="94">
        <f>Accounts!R150</f>
        <v/>
      </c>
      <c r="H150" s="94">
        <f>Accounts!I150</f>
        <v/>
      </c>
      <c r="I150" s="94">
        <f>Accounts!J150</f>
        <v/>
      </c>
      <c r="J150" s="93">
        <f>Accounts!S150</f>
        <v/>
      </c>
      <c r="K150" s="88" t="n"/>
      <c r="L150" s="95" t="n"/>
      <c r="M150" s="55" t="b">
        <v>0</v>
      </c>
      <c r="N150" s="96" t="b">
        <v>0</v>
      </c>
      <c r="O150" s="55" t="b">
        <v>0</v>
      </c>
      <c r="P150" s="55" t="b">
        <v>0</v>
      </c>
      <c r="Q150" s="55" t="b">
        <v>0</v>
      </c>
      <c r="R150" s="55" t="b">
        <v>0</v>
      </c>
      <c r="S150" s="55" t="b">
        <v>0</v>
      </c>
      <c r="T150" s="55" t="b">
        <v>0</v>
      </c>
      <c r="U150" s="55" t="b">
        <v>0</v>
      </c>
      <c r="V150" s="55" t="b">
        <v>0</v>
      </c>
    </row>
    <row r="151" ht="69" customHeight="1" s="211">
      <c r="A151" s="92">
        <f>Accounts!A151</f>
        <v/>
      </c>
      <c r="B151" s="12" t="b">
        <v>0</v>
      </c>
      <c r="C151" s="93">
        <f>Accounts!N151</f>
        <v/>
      </c>
      <c r="D151" s="94" t="n"/>
      <c r="E151" s="93">
        <f>Accounts!F151</f>
        <v/>
      </c>
      <c r="F151" s="94">
        <f>Accounts!Q151</f>
        <v/>
      </c>
      <c r="G151" s="94">
        <f>Accounts!R151</f>
        <v/>
      </c>
      <c r="H151" s="94">
        <f>Accounts!I151</f>
        <v/>
      </c>
      <c r="I151" s="94">
        <f>Accounts!J151</f>
        <v/>
      </c>
      <c r="J151" s="93">
        <f>Accounts!S151</f>
        <v/>
      </c>
      <c r="K151" s="88" t="n"/>
      <c r="L151" s="95" t="n"/>
      <c r="M151" s="55" t="b">
        <v>0</v>
      </c>
      <c r="N151" s="96" t="b">
        <v>0</v>
      </c>
      <c r="O151" s="55" t="b">
        <v>0</v>
      </c>
      <c r="P151" s="55" t="b">
        <v>0</v>
      </c>
      <c r="Q151" s="55" t="b">
        <v>0</v>
      </c>
      <c r="R151" s="55" t="b">
        <v>0</v>
      </c>
      <c r="S151" s="55" t="b">
        <v>0</v>
      </c>
      <c r="T151" s="55" t="b">
        <v>0</v>
      </c>
      <c r="U151" s="55" t="b">
        <v>0</v>
      </c>
      <c r="V151" s="55" t="b">
        <v>0</v>
      </c>
    </row>
    <row r="152" ht="69" customHeight="1" s="211">
      <c r="A152" s="92">
        <f>Accounts!A152</f>
        <v/>
      </c>
      <c r="B152" s="12" t="b">
        <v>0</v>
      </c>
      <c r="C152" s="93">
        <f>Accounts!N152</f>
        <v/>
      </c>
      <c r="D152" s="94" t="n"/>
      <c r="E152" s="93">
        <f>Accounts!F152</f>
        <v/>
      </c>
      <c r="F152" s="94">
        <f>Accounts!Q152</f>
        <v/>
      </c>
      <c r="G152" s="94">
        <f>Accounts!R152</f>
        <v/>
      </c>
      <c r="H152" s="94">
        <f>Accounts!I152</f>
        <v/>
      </c>
      <c r="I152" s="94">
        <f>Accounts!J152</f>
        <v/>
      </c>
      <c r="J152" s="93">
        <f>Accounts!S152</f>
        <v/>
      </c>
      <c r="K152" s="88" t="n"/>
      <c r="L152" s="95" t="n"/>
      <c r="M152" s="55" t="b">
        <v>0</v>
      </c>
      <c r="N152" s="96" t="b">
        <v>0</v>
      </c>
      <c r="O152" s="55" t="b">
        <v>0</v>
      </c>
      <c r="P152" s="55" t="b">
        <v>0</v>
      </c>
      <c r="Q152" s="55" t="b">
        <v>0</v>
      </c>
      <c r="R152" s="55" t="b">
        <v>0</v>
      </c>
      <c r="S152" s="55" t="b">
        <v>0</v>
      </c>
      <c r="T152" s="55" t="b">
        <v>0</v>
      </c>
      <c r="U152" s="55" t="b">
        <v>0</v>
      </c>
      <c r="V152" s="55" t="b">
        <v>0</v>
      </c>
    </row>
    <row r="153" ht="69" customHeight="1" s="211">
      <c r="A153" s="92">
        <f>Accounts!A153</f>
        <v/>
      </c>
      <c r="B153" s="12" t="b">
        <v>0</v>
      </c>
      <c r="C153" s="93">
        <f>Accounts!N153</f>
        <v/>
      </c>
      <c r="D153" s="94" t="n"/>
      <c r="E153" s="93">
        <f>Accounts!F153</f>
        <v/>
      </c>
      <c r="F153" s="94">
        <f>Accounts!Q153</f>
        <v/>
      </c>
      <c r="G153" s="94">
        <f>Accounts!R153</f>
        <v/>
      </c>
      <c r="H153" s="94">
        <f>Accounts!I153</f>
        <v/>
      </c>
      <c r="I153" s="94">
        <f>Accounts!J153</f>
        <v/>
      </c>
      <c r="J153" s="93">
        <f>Accounts!S153</f>
        <v/>
      </c>
      <c r="K153" s="88" t="n"/>
      <c r="L153" s="95" t="n"/>
      <c r="M153" s="55" t="b">
        <v>0</v>
      </c>
      <c r="N153" s="96" t="b">
        <v>0</v>
      </c>
      <c r="O153" s="55" t="b">
        <v>0</v>
      </c>
      <c r="P153" s="55" t="b">
        <v>0</v>
      </c>
      <c r="Q153" s="55" t="b">
        <v>0</v>
      </c>
      <c r="R153" s="55" t="b">
        <v>0</v>
      </c>
      <c r="S153" s="55" t="b">
        <v>0</v>
      </c>
      <c r="T153" s="55" t="b">
        <v>0</v>
      </c>
      <c r="U153" s="55" t="b">
        <v>0</v>
      </c>
      <c r="V153" s="55" t="b">
        <v>0</v>
      </c>
    </row>
    <row r="154" ht="69" customHeight="1" s="211">
      <c r="A154" s="92">
        <f>Accounts!A154</f>
        <v/>
      </c>
      <c r="B154" s="12" t="b">
        <v>0</v>
      </c>
      <c r="C154" s="93">
        <f>Accounts!N154</f>
        <v/>
      </c>
      <c r="D154" s="94" t="n"/>
      <c r="E154" s="93">
        <f>Accounts!F154</f>
        <v/>
      </c>
      <c r="F154" s="94">
        <f>Accounts!Q154</f>
        <v/>
      </c>
      <c r="G154" s="94">
        <f>Accounts!R154</f>
        <v/>
      </c>
      <c r="H154" s="94">
        <f>Accounts!I154</f>
        <v/>
      </c>
      <c r="I154" s="94">
        <f>Accounts!J154</f>
        <v/>
      </c>
      <c r="J154" s="93">
        <f>Accounts!S154</f>
        <v/>
      </c>
      <c r="K154" s="88" t="n"/>
      <c r="L154" s="95" t="n"/>
      <c r="M154" s="55" t="b">
        <v>0</v>
      </c>
      <c r="N154" s="96" t="b">
        <v>0</v>
      </c>
      <c r="O154" s="55" t="b">
        <v>0</v>
      </c>
      <c r="P154" s="55" t="b">
        <v>0</v>
      </c>
      <c r="Q154" s="55" t="b">
        <v>0</v>
      </c>
      <c r="R154" s="55" t="b">
        <v>0</v>
      </c>
      <c r="S154" s="55" t="b">
        <v>0</v>
      </c>
      <c r="T154" s="55" t="b">
        <v>0</v>
      </c>
      <c r="U154" s="55" t="b">
        <v>0</v>
      </c>
      <c r="V154" s="55" t="b">
        <v>0</v>
      </c>
    </row>
    <row r="155" ht="69" customHeight="1" s="211">
      <c r="A155" s="92">
        <f>Accounts!A155</f>
        <v/>
      </c>
      <c r="B155" s="12" t="b">
        <v>0</v>
      </c>
      <c r="C155" s="93">
        <f>Accounts!N155</f>
        <v/>
      </c>
      <c r="D155" s="94" t="n"/>
      <c r="E155" s="93">
        <f>Accounts!F155</f>
        <v/>
      </c>
      <c r="F155" s="94">
        <f>Accounts!Q155</f>
        <v/>
      </c>
      <c r="G155" s="94">
        <f>Accounts!R155</f>
        <v/>
      </c>
      <c r="H155" s="94">
        <f>Accounts!I155</f>
        <v/>
      </c>
      <c r="I155" s="94">
        <f>Accounts!J155</f>
        <v/>
      </c>
      <c r="J155" s="93">
        <f>Accounts!S155</f>
        <v/>
      </c>
      <c r="K155" s="88" t="n"/>
      <c r="L155" s="95" t="n"/>
      <c r="M155" s="55" t="b">
        <v>0</v>
      </c>
      <c r="N155" s="96" t="b">
        <v>0</v>
      </c>
      <c r="O155" s="55" t="b">
        <v>0</v>
      </c>
      <c r="P155" s="55" t="b">
        <v>0</v>
      </c>
      <c r="Q155" s="55" t="b">
        <v>0</v>
      </c>
      <c r="R155" s="55" t="b">
        <v>0</v>
      </c>
      <c r="S155" s="55" t="b">
        <v>0</v>
      </c>
      <c r="T155" s="55" t="b">
        <v>0</v>
      </c>
      <c r="U155" s="55" t="b">
        <v>0</v>
      </c>
      <c r="V155" s="55" t="b">
        <v>0</v>
      </c>
    </row>
    <row r="156" ht="69" customHeight="1" s="211">
      <c r="A156" s="92">
        <f>Accounts!A156</f>
        <v/>
      </c>
      <c r="B156" s="12" t="b">
        <v>0</v>
      </c>
      <c r="C156" s="93">
        <f>Accounts!N156</f>
        <v/>
      </c>
      <c r="D156" s="94" t="n"/>
      <c r="E156" s="93">
        <f>Accounts!F156</f>
        <v/>
      </c>
      <c r="F156" s="94">
        <f>Accounts!Q156</f>
        <v/>
      </c>
      <c r="G156" s="94">
        <f>Accounts!R156</f>
        <v/>
      </c>
      <c r="H156" s="94">
        <f>Accounts!I156</f>
        <v/>
      </c>
      <c r="I156" s="94">
        <f>Accounts!J156</f>
        <v/>
      </c>
      <c r="J156" s="93">
        <f>Accounts!S156</f>
        <v/>
      </c>
      <c r="K156" s="88" t="n"/>
      <c r="L156" s="95" t="n"/>
      <c r="M156" s="55" t="b">
        <v>0</v>
      </c>
      <c r="N156" s="96" t="b">
        <v>0</v>
      </c>
      <c r="O156" s="55" t="b">
        <v>0</v>
      </c>
      <c r="P156" s="55" t="b">
        <v>0</v>
      </c>
      <c r="Q156" s="55" t="b">
        <v>0</v>
      </c>
      <c r="R156" s="55" t="b">
        <v>0</v>
      </c>
      <c r="S156" s="55" t="b">
        <v>0</v>
      </c>
      <c r="T156" s="55" t="b">
        <v>0</v>
      </c>
      <c r="U156" s="55" t="b">
        <v>0</v>
      </c>
      <c r="V156" s="55" t="b">
        <v>0</v>
      </c>
    </row>
    <row r="157" ht="69" customHeight="1" s="211">
      <c r="A157" s="92">
        <f>Accounts!A157</f>
        <v/>
      </c>
      <c r="B157" s="12" t="b">
        <v>0</v>
      </c>
      <c r="C157" s="93">
        <f>Accounts!N157</f>
        <v/>
      </c>
      <c r="D157" s="94" t="n"/>
      <c r="E157" s="93">
        <f>Accounts!F157</f>
        <v/>
      </c>
      <c r="F157" s="94">
        <f>Accounts!Q157</f>
        <v/>
      </c>
      <c r="G157" s="94">
        <f>Accounts!R157</f>
        <v/>
      </c>
      <c r="H157" s="94">
        <f>Accounts!I157</f>
        <v/>
      </c>
      <c r="I157" s="94">
        <f>Accounts!J157</f>
        <v/>
      </c>
      <c r="J157" s="93">
        <f>Accounts!S157</f>
        <v/>
      </c>
      <c r="K157" s="88" t="n"/>
      <c r="L157" s="95" t="n"/>
      <c r="M157" s="55" t="b">
        <v>0</v>
      </c>
      <c r="N157" s="96" t="b">
        <v>0</v>
      </c>
      <c r="O157" s="55" t="b">
        <v>0</v>
      </c>
      <c r="P157" s="55" t="b">
        <v>0</v>
      </c>
      <c r="Q157" s="55" t="b">
        <v>0</v>
      </c>
      <c r="R157" s="55" t="b">
        <v>0</v>
      </c>
      <c r="S157" s="55" t="b">
        <v>0</v>
      </c>
      <c r="T157" s="55" t="b">
        <v>0</v>
      </c>
      <c r="U157" s="55" t="b">
        <v>0</v>
      </c>
      <c r="V157" s="55" t="b">
        <v>0</v>
      </c>
    </row>
    <row r="158" ht="69" customHeight="1" s="211">
      <c r="A158" s="92">
        <f>Accounts!A158</f>
        <v/>
      </c>
      <c r="B158" s="12" t="b">
        <v>0</v>
      </c>
      <c r="C158" s="93">
        <f>Accounts!N158</f>
        <v/>
      </c>
      <c r="D158" s="94" t="n"/>
      <c r="E158" s="93">
        <f>Accounts!F158</f>
        <v/>
      </c>
      <c r="F158" s="94">
        <f>Accounts!Q158</f>
        <v/>
      </c>
      <c r="G158" s="94">
        <f>Accounts!R158</f>
        <v/>
      </c>
      <c r="H158" s="94">
        <f>Accounts!I158</f>
        <v/>
      </c>
      <c r="I158" s="94">
        <f>Accounts!J158</f>
        <v/>
      </c>
      <c r="J158" s="93">
        <f>Accounts!S158</f>
        <v/>
      </c>
      <c r="K158" s="88" t="n"/>
      <c r="L158" s="95" t="n"/>
      <c r="M158" s="55" t="b">
        <v>0</v>
      </c>
      <c r="N158" s="96" t="b">
        <v>0</v>
      </c>
      <c r="O158" s="55" t="b">
        <v>0</v>
      </c>
      <c r="P158" s="55" t="b">
        <v>0</v>
      </c>
      <c r="Q158" s="55" t="b">
        <v>0</v>
      </c>
      <c r="R158" s="55" t="b">
        <v>0</v>
      </c>
      <c r="S158" s="55" t="b">
        <v>0</v>
      </c>
      <c r="T158" s="55" t="b">
        <v>0</v>
      </c>
      <c r="U158" s="55" t="b">
        <v>0</v>
      </c>
      <c r="V158" s="55" t="b">
        <v>0</v>
      </c>
    </row>
    <row r="159" ht="69" customHeight="1" s="211">
      <c r="A159" s="92">
        <f>Accounts!A159</f>
        <v/>
      </c>
      <c r="B159" s="12" t="b">
        <v>0</v>
      </c>
      <c r="C159" s="93">
        <f>Accounts!N159</f>
        <v/>
      </c>
      <c r="D159" s="94" t="n"/>
      <c r="E159" s="93">
        <f>Accounts!F159</f>
        <v/>
      </c>
      <c r="F159" s="94">
        <f>Accounts!Q159</f>
        <v/>
      </c>
      <c r="G159" s="94">
        <f>Accounts!R159</f>
        <v/>
      </c>
      <c r="H159" s="94">
        <f>Accounts!I159</f>
        <v/>
      </c>
      <c r="I159" s="94">
        <f>Accounts!J159</f>
        <v/>
      </c>
      <c r="J159" s="93">
        <f>Accounts!S159</f>
        <v/>
      </c>
      <c r="K159" s="88" t="n"/>
      <c r="L159" s="95" t="n"/>
      <c r="M159" s="55" t="b">
        <v>0</v>
      </c>
      <c r="N159" s="96" t="b">
        <v>0</v>
      </c>
      <c r="O159" s="55" t="b">
        <v>0</v>
      </c>
      <c r="P159" s="55" t="b">
        <v>0</v>
      </c>
      <c r="Q159" s="55" t="b">
        <v>0</v>
      </c>
      <c r="R159" s="55" t="b">
        <v>0</v>
      </c>
      <c r="S159" s="55" t="b">
        <v>0</v>
      </c>
      <c r="T159" s="55" t="b">
        <v>0</v>
      </c>
      <c r="U159" s="55" t="b">
        <v>0</v>
      </c>
      <c r="V159" s="55" t="b">
        <v>0</v>
      </c>
    </row>
    <row r="160" ht="69" customHeight="1" s="211">
      <c r="A160" s="92">
        <f>Accounts!A160</f>
        <v/>
      </c>
      <c r="B160" s="12" t="b">
        <v>0</v>
      </c>
      <c r="C160" s="93">
        <f>Accounts!N160</f>
        <v/>
      </c>
      <c r="D160" s="94" t="n"/>
      <c r="E160" s="93">
        <f>Accounts!F160</f>
        <v/>
      </c>
      <c r="F160" s="94">
        <f>Accounts!Q160</f>
        <v/>
      </c>
      <c r="G160" s="94">
        <f>Accounts!R160</f>
        <v/>
      </c>
      <c r="H160" s="94">
        <f>Accounts!I160</f>
        <v/>
      </c>
      <c r="I160" s="94">
        <f>Accounts!J160</f>
        <v/>
      </c>
      <c r="J160" s="93">
        <f>Accounts!S160</f>
        <v/>
      </c>
      <c r="K160" s="88" t="n"/>
      <c r="L160" s="95" t="n"/>
      <c r="M160" s="55" t="b">
        <v>0</v>
      </c>
      <c r="N160" s="96" t="b">
        <v>0</v>
      </c>
      <c r="O160" s="55" t="b">
        <v>0</v>
      </c>
      <c r="P160" s="55" t="b">
        <v>0</v>
      </c>
      <c r="Q160" s="55" t="b">
        <v>0</v>
      </c>
      <c r="R160" s="55" t="b">
        <v>0</v>
      </c>
      <c r="S160" s="55" t="b">
        <v>0</v>
      </c>
      <c r="T160" s="55" t="b">
        <v>0</v>
      </c>
      <c r="U160" s="55" t="b">
        <v>0</v>
      </c>
      <c r="V160" s="55" t="b">
        <v>0</v>
      </c>
    </row>
    <row r="161" ht="69" customHeight="1" s="211">
      <c r="A161" s="92">
        <f>Accounts!A161</f>
        <v/>
      </c>
      <c r="B161" s="12" t="b">
        <v>0</v>
      </c>
      <c r="C161" s="93">
        <f>Accounts!N161</f>
        <v/>
      </c>
      <c r="D161" s="94" t="n"/>
      <c r="E161" s="93">
        <f>Accounts!F161</f>
        <v/>
      </c>
      <c r="F161" s="94">
        <f>Accounts!Q161</f>
        <v/>
      </c>
      <c r="G161" s="94">
        <f>Accounts!R161</f>
        <v/>
      </c>
      <c r="H161" s="94">
        <f>Accounts!I161</f>
        <v/>
      </c>
      <c r="I161" s="94">
        <f>Accounts!J161</f>
        <v/>
      </c>
      <c r="J161" s="93">
        <f>Accounts!S161</f>
        <v/>
      </c>
      <c r="K161" s="88" t="n"/>
      <c r="L161" s="95" t="n"/>
      <c r="M161" s="55" t="b">
        <v>0</v>
      </c>
      <c r="N161" s="96" t="b">
        <v>0</v>
      </c>
      <c r="O161" s="55" t="b">
        <v>0</v>
      </c>
      <c r="P161" s="55" t="b">
        <v>0</v>
      </c>
      <c r="Q161" s="55" t="b">
        <v>0</v>
      </c>
      <c r="R161" s="55" t="b">
        <v>0</v>
      </c>
      <c r="S161" s="55" t="b">
        <v>0</v>
      </c>
      <c r="T161" s="55" t="b">
        <v>0</v>
      </c>
      <c r="U161" s="55" t="b">
        <v>0</v>
      </c>
      <c r="V161" s="55" t="b">
        <v>0</v>
      </c>
    </row>
    <row r="162" ht="69" customHeight="1" s="211">
      <c r="A162" s="92">
        <f>Accounts!A162</f>
        <v/>
      </c>
      <c r="B162" s="12" t="b">
        <v>0</v>
      </c>
      <c r="C162" s="93">
        <f>Accounts!N162</f>
        <v/>
      </c>
      <c r="D162" s="94" t="n"/>
      <c r="E162" s="93">
        <f>Accounts!F162</f>
        <v/>
      </c>
      <c r="F162" s="94">
        <f>Accounts!Q162</f>
        <v/>
      </c>
      <c r="G162" s="94">
        <f>Accounts!R162</f>
        <v/>
      </c>
      <c r="H162" s="94">
        <f>Accounts!I162</f>
        <v/>
      </c>
      <c r="I162" s="94">
        <f>Accounts!J162</f>
        <v/>
      </c>
      <c r="J162" s="93">
        <f>Accounts!S162</f>
        <v/>
      </c>
      <c r="K162" s="88" t="n"/>
      <c r="L162" s="95" t="n"/>
      <c r="M162" s="55" t="b">
        <v>0</v>
      </c>
      <c r="N162" s="96" t="b">
        <v>0</v>
      </c>
      <c r="O162" s="55" t="b">
        <v>0</v>
      </c>
      <c r="P162" s="55" t="b">
        <v>0</v>
      </c>
      <c r="Q162" s="55" t="b">
        <v>0</v>
      </c>
      <c r="R162" s="55" t="b">
        <v>0</v>
      </c>
      <c r="S162" s="55" t="b">
        <v>0</v>
      </c>
      <c r="T162" s="55" t="b">
        <v>0</v>
      </c>
      <c r="U162" s="55" t="b">
        <v>0</v>
      </c>
      <c r="V162" s="55" t="b">
        <v>0</v>
      </c>
    </row>
    <row r="163" ht="69" customHeight="1" s="211">
      <c r="A163" s="92">
        <f>Accounts!A163</f>
        <v/>
      </c>
      <c r="B163" s="12" t="b">
        <v>0</v>
      </c>
      <c r="C163" s="93">
        <f>Accounts!N163</f>
        <v/>
      </c>
      <c r="D163" s="94" t="n"/>
      <c r="E163" s="93">
        <f>Accounts!F163</f>
        <v/>
      </c>
      <c r="F163" s="94">
        <f>Accounts!Q163</f>
        <v/>
      </c>
      <c r="G163" s="94">
        <f>Accounts!R163</f>
        <v/>
      </c>
      <c r="H163" s="94">
        <f>Accounts!I163</f>
        <v/>
      </c>
      <c r="I163" s="94">
        <f>Accounts!J163</f>
        <v/>
      </c>
      <c r="J163" s="93">
        <f>Accounts!S163</f>
        <v/>
      </c>
      <c r="K163" s="88" t="n"/>
      <c r="L163" s="95" t="n"/>
      <c r="M163" s="55" t="b">
        <v>0</v>
      </c>
      <c r="N163" s="96" t="b">
        <v>0</v>
      </c>
      <c r="O163" s="55" t="b">
        <v>0</v>
      </c>
      <c r="P163" s="55" t="b">
        <v>0</v>
      </c>
      <c r="Q163" s="55" t="b">
        <v>0</v>
      </c>
      <c r="R163" s="55" t="b">
        <v>0</v>
      </c>
      <c r="S163" s="55" t="b">
        <v>0</v>
      </c>
      <c r="T163" s="55" t="b">
        <v>0</v>
      </c>
      <c r="U163" s="55" t="b">
        <v>0</v>
      </c>
      <c r="V163" s="55" t="b">
        <v>0</v>
      </c>
    </row>
    <row r="164" ht="69" customHeight="1" s="211">
      <c r="A164" s="92">
        <f>Accounts!A164</f>
        <v/>
      </c>
      <c r="B164" s="12" t="b">
        <v>0</v>
      </c>
      <c r="C164" s="93">
        <f>Accounts!N164</f>
        <v/>
      </c>
      <c r="D164" s="94" t="n"/>
      <c r="E164" s="93">
        <f>Accounts!F164</f>
        <v/>
      </c>
      <c r="F164" s="94">
        <f>Accounts!Q164</f>
        <v/>
      </c>
      <c r="G164" s="94">
        <f>Accounts!R164</f>
        <v/>
      </c>
      <c r="H164" s="94">
        <f>Accounts!I164</f>
        <v/>
      </c>
      <c r="I164" s="94">
        <f>Accounts!J164</f>
        <v/>
      </c>
      <c r="J164" s="93">
        <f>Accounts!S164</f>
        <v/>
      </c>
      <c r="K164" s="88" t="n"/>
      <c r="L164" s="95" t="n"/>
      <c r="M164" s="55" t="b">
        <v>0</v>
      </c>
      <c r="N164" s="96" t="b">
        <v>0</v>
      </c>
      <c r="O164" s="55" t="b">
        <v>0</v>
      </c>
      <c r="P164" s="55" t="b">
        <v>0</v>
      </c>
      <c r="Q164" s="55" t="b">
        <v>0</v>
      </c>
      <c r="R164" s="55" t="b">
        <v>0</v>
      </c>
      <c r="S164" s="55" t="b">
        <v>0</v>
      </c>
      <c r="T164" s="55" t="b">
        <v>0</v>
      </c>
      <c r="U164" s="55" t="b">
        <v>0</v>
      </c>
      <c r="V164" s="55" t="b">
        <v>0</v>
      </c>
    </row>
    <row r="165" ht="69" customHeight="1" s="211">
      <c r="A165" s="92">
        <f>Accounts!A165</f>
        <v/>
      </c>
      <c r="B165" s="12" t="b">
        <v>0</v>
      </c>
      <c r="C165" s="93">
        <f>Accounts!N165</f>
        <v/>
      </c>
      <c r="D165" s="94" t="n"/>
      <c r="E165" s="93">
        <f>Accounts!F165</f>
        <v/>
      </c>
      <c r="F165" s="94">
        <f>Accounts!Q165</f>
        <v/>
      </c>
      <c r="G165" s="94">
        <f>Accounts!R165</f>
        <v/>
      </c>
      <c r="H165" s="94">
        <f>Accounts!I165</f>
        <v/>
      </c>
      <c r="I165" s="94">
        <f>Accounts!J165</f>
        <v/>
      </c>
      <c r="J165" s="93">
        <f>Accounts!S165</f>
        <v/>
      </c>
      <c r="K165" s="88" t="n"/>
      <c r="L165" s="95" t="n"/>
      <c r="M165" s="55" t="b">
        <v>0</v>
      </c>
      <c r="N165" s="96" t="b">
        <v>0</v>
      </c>
      <c r="O165" s="55" t="b">
        <v>0</v>
      </c>
      <c r="P165" s="55" t="b">
        <v>0</v>
      </c>
      <c r="Q165" s="55" t="b">
        <v>0</v>
      </c>
      <c r="R165" s="55" t="b">
        <v>0</v>
      </c>
      <c r="S165" s="55" t="b">
        <v>0</v>
      </c>
      <c r="T165" s="55" t="b">
        <v>0</v>
      </c>
      <c r="U165" s="55" t="b">
        <v>0</v>
      </c>
      <c r="V165" s="55" t="b">
        <v>0</v>
      </c>
    </row>
    <row r="166" ht="69" customHeight="1" s="211">
      <c r="A166" s="92">
        <f>Accounts!A166</f>
        <v/>
      </c>
      <c r="B166" s="12" t="b">
        <v>0</v>
      </c>
      <c r="C166" s="93">
        <f>Accounts!N166</f>
        <v/>
      </c>
      <c r="D166" s="94" t="n"/>
      <c r="E166" s="93">
        <f>Accounts!F166</f>
        <v/>
      </c>
      <c r="F166" s="94">
        <f>Accounts!Q166</f>
        <v/>
      </c>
      <c r="G166" s="94">
        <f>Accounts!R166</f>
        <v/>
      </c>
      <c r="H166" s="94">
        <f>Accounts!I166</f>
        <v/>
      </c>
      <c r="I166" s="94">
        <f>Accounts!J166</f>
        <v/>
      </c>
      <c r="J166" s="93">
        <f>Accounts!S166</f>
        <v/>
      </c>
      <c r="K166" s="88" t="n"/>
      <c r="L166" s="95" t="n"/>
      <c r="M166" s="55" t="b">
        <v>0</v>
      </c>
      <c r="N166" s="96" t="b">
        <v>0</v>
      </c>
      <c r="O166" s="55" t="b">
        <v>0</v>
      </c>
      <c r="P166" s="55" t="b">
        <v>0</v>
      </c>
      <c r="Q166" s="55" t="b">
        <v>0</v>
      </c>
      <c r="R166" s="55" t="b">
        <v>0</v>
      </c>
      <c r="S166" s="55" t="b">
        <v>0</v>
      </c>
      <c r="T166" s="55" t="b">
        <v>0</v>
      </c>
      <c r="U166" s="55" t="b">
        <v>0</v>
      </c>
      <c r="V166" s="55" t="b">
        <v>0</v>
      </c>
    </row>
    <row r="167" ht="69" customHeight="1" s="211">
      <c r="A167" s="92">
        <f>Accounts!A167</f>
        <v/>
      </c>
      <c r="B167" s="12" t="b">
        <v>0</v>
      </c>
      <c r="C167" s="93">
        <f>Accounts!N167</f>
        <v/>
      </c>
      <c r="D167" s="94" t="n"/>
      <c r="E167" s="93">
        <f>Accounts!F167</f>
        <v/>
      </c>
      <c r="F167" s="94">
        <f>Accounts!Q167</f>
        <v/>
      </c>
      <c r="G167" s="94">
        <f>Accounts!R167</f>
        <v/>
      </c>
      <c r="H167" s="94">
        <f>Accounts!I167</f>
        <v/>
      </c>
      <c r="I167" s="94">
        <f>Accounts!J167</f>
        <v/>
      </c>
      <c r="J167" s="93">
        <f>Accounts!S167</f>
        <v/>
      </c>
      <c r="K167" s="88" t="n"/>
      <c r="L167" s="95" t="n"/>
      <c r="M167" s="55" t="b">
        <v>0</v>
      </c>
      <c r="N167" s="96" t="b">
        <v>0</v>
      </c>
      <c r="O167" s="55" t="b">
        <v>0</v>
      </c>
      <c r="P167" s="55" t="b">
        <v>0</v>
      </c>
      <c r="Q167" s="55" t="b">
        <v>0</v>
      </c>
      <c r="R167" s="55" t="b">
        <v>0</v>
      </c>
      <c r="S167" s="55" t="b">
        <v>0</v>
      </c>
      <c r="T167" s="55" t="b">
        <v>0</v>
      </c>
      <c r="U167" s="55" t="b">
        <v>0</v>
      </c>
      <c r="V167" s="55" t="b">
        <v>0</v>
      </c>
    </row>
    <row r="168" ht="69" customHeight="1" s="211">
      <c r="A168" s="92">
        <f>Accounts!A168</f>
        <v/>
      </c>
      <c r="B168" s="12" t="b">
        <v>0</v>
      </c>
      <c r="C168" s="93">
        <f>Accounts!N168</f>
        <v/>
      </c>
      <c r="D168" s="94" t="n"/>
      <c r="E168" s="93">
        <f>Accounts!F168</f>
        <v/>
      </c>
      <c r="F168" s="94">
        <f>Accounts!Q168</f>
        <v/>
      </c>
      <c r="G168" s="94">
        <f>Accounts!R168</f>
        <v/>
      </c>
      <c r="H168" s="94">
        <f>Accounts!I168</f>
        <v/>
      </c>
      <c r="I168" s="94">
        <f>Accounts!J168</f>
        <v/>
      </c>
      <c r="J168" s="93">
        <f>Accounts!S168</f>
        <v/>
      </c>
      <c r="K168" s="88" t="n"/>
      <c r="L168" s="95" t="n"/>
      <c r="M168" s="55" t="b">
        <v>0</v>
      </c>
      <c r="N168" s="96" t="b">
        <v>0</v>
      </c>
      <c r="O168" s="55" t="b">
        <v>0</v>
      </c>
      <c r="P168" s="55" t="b">
        <v>0</v>
      </c>
      <c r="Q168" s="55" t="b">
        <v>0</v>
      </c>
      <c r="R168" s="55" t="b">
        <v>0</v>
      </c>
      <c r="S168" s="55" t="b">
        <v>0</v>
      </c>
      <c r="T168" s="55" t="b">
        <v>0</v>
      </c>
      <c r="U168" s="55" t="b">
        <v>0</v>
      </c>
      <c r="V168" s="55" t="b">
        <v>0</v>
      </c>
    </row>
    <row r="169" ht="69" customHeight="1" s="211">
      <c r="A169" s="92">
        <f>Accounts!A169</f>
        <v/>
      </c>
      <c r="B169" s="12" t="b">
        <v>0</v>
      </c>
      <c r="C169" s="93">
        <f>Accounts!N169</f>
        <v/>
      </c>
      <c r="D169" s="94" t="n"/>
      <c r="E169" s="93">
        <f>Accounts!F169</f>
        <v/>
      </c>
      <c r="F169" s="94">
        <f>Accounts!Q169</f>
        <v/>
      </c>
      <c r="G169" s="94">
        <f>Accounts!R169</f>
        <v/>
      </c>
      <c r="H169" s="94">
        <f>Accounts!I169</f>
        <v/>
      </c>
      <c r="I169" s="94">
        <f>Accounts!J169</f>
        <v/>
      </c>
      <c r="J169" s="93">
        <f>Accounts!S169</f>
        <v/>
      </c>
      <c r="K169" s="88" t="n"/>
      <c r="L169" s="95" t="n"/>
      <c r="M169" s="55" t="b">
        <v>0</v>
      </c>
      <c r="N169" s="96" t="b">
        <v>0</v>
      </c>
      <c r="O169" s="55" t="b">
        <v>0</v>
      </c>
      <c r="P169" s="55" t="b">
        <v>0</v>
      </c>
      <c r="Q169" s="55" t="b">
        <v>0</v>
      </c>
      <c r="R169" s="55" t="b">
        <v>0</v>
      </c>
      <c r="S169" s="55" t="b">
        <v>0</v>
      </c>
      <c r="T169" s="55" t="b">
        <v>0</v>
      </c>
      <c r="U169" s="55" t="b">
        <v>0</v>
      </c>
      <c r="V169" s="55" t="b">
        <v>0</v>
      </c>
    </row>
    <row r="170" ht="69" customHeight="1" s="211">
      <c r="A170" s="92">
        <f>Accounts!A170</f>
        <v/>
      </c>
      <c r="B170" s="12" t="b">
        <v>0</v>
      </c>
      <c r="C170" s="93">
        <f>Accounts!N170</f>
        <v/>
      </c>
      <c r="D170" s="94" t="n"/>
      <c r="E170" s="93">
        <f>Accounts!F170</f>
        <v/>
      </c>
      <c r="F170" s="94">
        <f>Accounts!Q170</f>
        <v/>
      </c>
      <c r="G170" s="94">
        <f>Accounts!R170</f>
        <v/>
      </c>
      <c r="H170" s="94">
        <f>Accounts!I170</f>
        <v/>
      </c>
      <c r="I170" s="94">
        <f>Accounts!J170</f>
        <v/>
      </c>
      <c r="J170" s="93">
        <f>Accounts!S170</f>
        <v/>
      </c>
      <c r="K170" s="88" t="n"/>
      <c r="L170" s="95" t="n"/>
      <c r="M170" s="55" t="b">
        <v>0</v>
      </c>
      <c r="N170" s="96" t="b">
        <v>0</v>
      </c>
      <c r="O170" s="55" t="b">
        <v>0</v>
      </c>
      <c r="P170" s="55" t="b">
        <v>0</v>
      </c>
      <c r="Q170" s="55" t="b">
        <v>0</v>
      </c>
      <c r="R170" s="55" t="b">
        <v>0</v>
      </c>
      <c r="S170" s="55" t="b">
        <v>0</v>
      </c>
      <c r="T170" s="55" t="b">
        <v>0</v>
      </c>
      <c r="U170" s="55" t="b">
        <v>0</v>
      </c>
      <c r="V170" s="55" t="b">
        <v>0</v>
      </c>
    </row>
    <row r="171" ht="69" customHeight="1" s="211">
      <c r="A171" s="92">
        <f>Accounts!A171</f>
        <v/>
      </c>
      <c r="B171" s="12" t="b">
        <v>0</v>
      </c>
      <c r="C171" s="93">
        <f>Accounts!N171</f>
        <v/>
      </c>
      <c r="D171" s="94" t="n"/>
      <c r="E171" s="93">
        <f>Accounts!F171</f>
        <v/>
      </c>
      <c r="F171" s="94">
        <f>Accounts!Q171</f>
        <v/>
      </c>
      <c r="G171" s="94">
        <f>Accounts!R171</f>
        <v/>
      </c>
      <c r="H171" s="94">
        <f>Accounts!I171</f>
        <v/>
      </c>
      <c r="I171" s="94">
        <f>Accounts!J171</f>
        <v/>
      </c>
      <c r="J171" s="93">
        <f>Accounts!S171</f>
        <v/>
      </c>
      <c r="K171" s="88" t="n"/>
      <c r="L171" s="95" t="n"/>
      <c r="M171" s="55" t="b">
        <v>0</v>
      </c>
      <c r="N171" s="96" t="b">
        <v>0</v>
      </c>
      <c r="O171" s="55" t="b">
        <v>0</v>
      </c>
      <c r="P171" s="55" t="b">
        <v>0</v>
      </c>
      <c r="Q171" s="55" t="b">
        <v>0</v>
      </c>
      <c r="R171" s="55" t="b">
        <v>0</v>
      </c>
      <c r="S171" s="55" t="b">
        <v>0</v>
      </c>
      <c r="T171" s="55" t="b">
        <v>0</v>
      </c>
      <c r="U171" s="55" t="b">
        <v>0</v>
      </c>
      <c r="V171" s="55" t="b">
        <v>0</v>
      </c>
    </row>
    <row r="172" ht="69" customHeight="1" s="211">
      <c r="A172" s="92">
        <f>Accounts!A172</f>
        <v/>
      </c>
      <c r="B172" s="12" t="b">
        <v>0</v>
      </c>
      <c r="C172" s="93">
        <f>Accounts!N172</f>
        <v/>
      </c>
      <c r="D172" s="94" t="n"/>
      <c r="E172" s="93">
        <f>Accounts!F172</f>
        <v/>
      </c>
      <c r="F172" s="94">
        <f>Accounts!Q172</f>
        <v/>
      </c>
      <c r="G172" s="94">
        <f>Accounts!R172</f>
        <v/>
      </c>
      <c r="H172" s="94">
        <f>Accounts!I172</f>
        <v/>
      </c>
      <c r="I172" s="94">
        <f>Accounts!J172</f>
        <v/>
      </c>
      <c r="J172" s="93">
        <f>Accounts!S172</f>
        <v/>
      </c>
      <c r="K172" s="88" t="n"/>
      <c r="L172" s="95" t="n"/>
      <c r="M172" s="55" t="b">
        <v>0</v>
      </c>
      <c r="N172" s="96" t="b">
        <v>0</v>
      </c>
      <c r="O172" s="55" t="b">
        <v>0</v>
      </c>
      <c r="P172" s="55" t="b">
        <v>0</v>
      </c>
      <c r="Q172" s="55" t="b">
        <v>0</v>
      </c>
      <c r="R172" s="55" t="b">
        <v>0</v>
      </c>
      <c r="S172" s="55" t="b">
        <v>0</v>
      </c>
      <c r="T172" s="55" t="b">
        <v>0</v>
      </c>
      <c r="U172" s="55" t="b">
        <v>0</v>
      </c>
      <c r="V172" s="55" t="b">
        <v>0</v>
      </c>
    </row>
    <row r="173" ht="69" customHeight="1" s="211">
      <c r="A173" s="92">
        <f>Accounts!A173</f>
        <v/>
      </c>
      <c r="B173" s="12" t="b">
        <v>0</v>
      </c>
      <c r="C173" s="93">
        <f>Accounts!N173</f>
        <v/>
      </c>
      <c r="D173" s="94" t="n"/>
      <c r="E173" s="93">
        <f>Accounts!F173</f>
        <v/>
      </c>
      <c r="F173" s="94">
        <f>Accounts!Q173</f>
        <v/>
      </c>
      <c r="G173" s="94">
        <f>Accounts!R173</f>
        <v/>
      </c>
      <c r="H173" s="94">
        <f>Accounts!I173</f>
        <v/>
      </c>
      <c r="I173" s="94">
        <f>Accounts!J173</f>
        <v/>
      </c>
      <c r="J173" s="93">
        <f>Accounts!S173</f>
        <v/>
      </c>
      <c r="K173" s="88" t="n"/>
      <c r="L173" s="95" t="n"/>
      <c r="M173" s="55" t="b">
        <v>0</v>
      </c>
      <c r="N173" s="96" t="b">
        <v>0</v>
      </c>
      <c r="O173" s="55" t="b">
        <v>0</v>
      </c>
      <c r="P173" s="55" t="b">
        <v>0</v>
      </c>
      <c r="Q173" s="55" t="b">
        <v>0</v>
      </c>
      <c r="R173" s="55" t="b">
        <v>0</v>
      </c>
      <c r="S173" s="55" t="b">
        <v>0</v>
      </c>
      <c r="T173" s="55" t="b">
        <v>0</v>
      </c>
      <c r="U173" s="55" t="b">
        <v>0</v>
      </c>
      <c r="V173" s="55" t="b">
        <v>0</v>
      </c>
    </row>
    <row r="174" ht="69" customHeight="1" s="211">
      <c r="A174" s="92">
        <f>Accounts!A174</f>
        <v/>
      </c>
      <c r="B174" s="12" t="b">
        <v>0</v>
      </c>
      <c r="C174" s="93">
        <f>Accounts!N174</f>
        <v/>
      </c>
      <c r="D174" s="94" t="n"/>
      <c r="E174" s="93">
        <f>Accounts!F174</f>
        <v/>
      </c>
      <c r="F174" s="94">
        <f>Accounts!Q174</f>
        <v/>
      </c>
      <c r="G174" s="94">
        <f>Accounts!R174</f>
        <v/>
      </c>
      <c r="H174" s="94">
        <f>Accounts!I174</f>
        <v/>
      </c>
      <c r="I174" s="94">
        <f>Accounts!J174</f>
        <v/>
      </c>
      <c r="J174" s="93">
        <f>Accounts!S174</f>
        <v/>
      </c>
      <c r="K174" s="88" t="n"/>
      <c r="L174" s="95" t="n"/>
      <c r="M174" s="55" t="b">
        <v>0</v>
      </c>
      <c r="N174" s="96" t="b">
        <v>0</v>
      </c>
      <c r="O174" s="55" t="b">
        <v>0</v>
      </c>
      <c r="P174" s="55" t="b">
        <v>0</v>
      </c>
      <c r="Q174" s="55" t="b">
        <v>0</v>
      </c>
      <c r="R174" s="55" t="b">
        <v>0</v>
      </c>
      <c r="S174" s="55" t="b">
        <v>0</v>
      </c>
      <c r="T174" s="55" t="b">
        <v>0</v>
      </c>
      <c r="U174" s="55" t="b">
        <v>0</v>
      </c>
      <c r="V174" s="55" t="b">
        <v>0</v>
      </c>
    </row>
    <row r="175" ht="69" customHeight="1" s="211">
      <c r="A175" s="92">
        <f>Accounts!A175</f>
        <v/>
      </c>
      <c r="B175" s="12" t="b">
        <v>0</v>
      </c>
      <c r="C175" s="93">
        <f>Accounts!N175</f>
        <v/>
      </c>
      <c r="D175" s="94" t="n"/>
      <c r="E175" s="93">
        <f>Accounts!F175</f>
        <v/>
      </c>
      <c r="F175" s="94">
        <f>Accounts!Q175</f>
        <v/>
      </c>
      <c r="G175" s="94">
        <f>Accounts!R175</f>
        <v/>
      </c>
      <c r="H175" s="94">
        <f>Accounts!I175</f>
        <v/>
      </c>
      <c r="I175" s="94">
        <f>Accounts!J175</f>
        <v/>
      </c>
      <c r="J175" s="93">
        <f>Accounts!S175</f>
        <v/>
      </c>
      <c r="K175" s="88" t="n"/>
      <c r="L175" s="95" t="n"/>
      <c r="M175" s="55" t="b">
        <v>0</v>
      </c>
      <c r="N175" s="96" t="b">
        <v>0</v>
      </c>
      <c r="O175" s="55" t="b">
        <v>0</v>
      </c>
      <c r="P175" s="55" t="b">
        <v>0</v>
      </c>
      <c r="Q175" s="55" t="b">
        <v>0</v>
      </c>
      <c r="R175" s="55" t="b">
        <v>0</v>
      </c>
      <c r="S175" s="55" t="b">
        <v>0</v>
      </c>
      <c r="T175" s="55" t="b">
        <v>0</v>
      </c>
      <c r="U175" s="55" t="b">
        <v>0</v>
      </c>
      <c r="V175" s="55" t="b">
        <v>0</v>
      </c>
    </row>
    <row r="176" ht="69" customHeight="1" s="211">
      <c r="A176" s="92">
        <f>Accounts!A176</f>
        <v/>
      </c>
      <c r="B176" s="12" t="b">
        <v>0</v>
      </c>
      <c r="C176" s="93">
        <f>Accounts!N176</f>
        <v/>
      </c>
      <c r="D176" s="94" t="n"/>
      <c r="E176" s="93">
        <f>Accounts!F176</f>
        <v/>
      </c>
      <c r="F176" s="94">
        <f>Accounts!Q176</f>
        <v/>
      </c>
      <c r="G176" s="94">
        <f>Accounts!R176</f>
        <v/>
      </c>
      <c r="H176" s="94">
        <f>Accounts!I176</f>
        <v/>
      </c>
      <c r="I176" s="94">
        <f>Accounts!J176</f>
        <v/>
      </c>
      <c r="J176" s="93">
        <f>Accounts!S176</f>
        <v/>
      </c>
      <c r="K176" s="88" t="n"/>
      <c r="L176" s="95" t="n"/>
      <c r="M176" s="55" t="b">
        <v>0</v>
      </c>
      <c r="N176" s="96" t="b">
        <v>0</v>
      </c>
      <c r="O176" s="55" t="b">
        <v>0</v>
      </c>
      <c r="P176" s="55" t="b">
        <v>0</v>
      </c>
      <c r="Q176" s="55" t="b">
        <v>0</v>
      </c>
      <c r="R176" s="55" t="b">
        <v>0</v>
      </c>
      <c r="S176" s="55" t="b">
        <v>0</v>
      </c>
      <c r="T176" s="55" t="b">
        <v>0</v>
      </c>
      <c r="U176" s="55" t="b">
        <v>0</v>
      </c>
      <c r="V176" s="55" t="b">
        <v>0</v>
      </c>
    </row>
    <row r="177" ht="69" customHeight="1" s="211">
      <c r="A177" s="92">
        <f>Accounts!A177</f>
        <v/>
      </c>
      <c r="B177" s="12" t="b">
        <v>0</v>
      </c>
      <c r="C177" s="93">
        <f>Accounts!N177</f>
        <v/>
      </c>
      <c r="D177" s="94" t="n"/>
      <c r="E177" s="93">
        <f>Accounts!F177</f>
        <v/>
      </c>
      <c r="F177" s="94">
        <f>Accounts!Q177</f>
        <v/>
      </c>
      <c r="G177" s="94">
        <f>Accounts!R177</f>
        <v/>
      </c>
      <c r="H177" s="94">
        <f>Accounts!I177</f>
        <v/>
      </c>
      <c r="I177" s="94">
        <f>Accounts!J177</f>
        <v/>
      </c>
      <c r="J177" s="93">
        <f>Accounts!S177</f>
        <v/>
      </c>
      <c r="K177" s="88" t="n"/>
      <c r="L177" s="95" t="n"/>
      <c r="M177" s="55" t="b">
        <v>0</v>
      </c>
      <c r="N177" s="96" t="b">
        <v>0</v>
      </c>
      <c r="O177" s="55" t="b">
        <v>0</v>
      </c>
      <c r="P177" s="55" t="b">
        <v>0</v>
      </c>
      <c r="Q177" s="55" t="b">
        <v>0</v>
      </c>
      <c r="R177" s="55" t="b">
        <v>0</v>
      </c>
      <c r="S177" s="55" t="b">
        <v>0</v>
      </c>
      <c r="T177" s="55" t="b">
        <v>0</v>
      </c>
      <c r="U177" s="55" t="b">
        <v>0</v>
      </c>
      <c r="V177" s="55" t="b">
        <v>0</v>
      </c>
    </row>
    <row r="178" ht="69" customHeight="1" s="211">
      <c r="A178" s="92">
        <f>Accounts!A178</f>
        <v/>
      </c>
      <c r="B178" s="12" t="b">
        <v>0</v>
      </c>
      <c r="C178" s="93">
        <f>Accounts!N178</f>
        <v/>
      </c>
      <c r="D178" s="94" t="n"/>
      <c r="E178" s="93">
        <f>Accounts!F178</f>
        <v/>
      </c>
      <c r="F178" s="94">
        <f>Accounts!Q178</f>
        <v/>
      </c>
      <c r="G178" s="94">
        <f>Accounts!R178</f>
        <v/>
      </c>
      <c r="H178" s="94">
        <f>Accounts!I178</f>
        <v/>
      </c>
      <c r="I178" s="94">
        <f>Accounts!J178</f>
        <v/>
      </c>
      <c r="J178" s="93">
        <f>Accounts!S178</f>
        <v/>
      </c>
      <c r="K178" s="88" t="n"/>
      <c r="L178" s="95" t="n"/>
      <c r="M178" s="55" t="b">
        <v>0</v>
      </c>
      <c r="N178" s="96" t="b">
        <v>0</v>
      </c>
      <c r="O178" s="55" t="b">
        <v>0</v>
      </c>
      <c r="P178" s="55" t="b">
        <v>0</v>
      </c>
      <c r="Q178" s="55" t="b">
        <v>0</v>
      </c>
      <c r="R178" s="55" t="b">
        <v>0</v>
      </c>
      <c r="S178" s="55" t="b">
        <v>0</v>
      </c>
      <c r="T178" s="55" t="b">
        <v>0</v>
      </c>
      <c r="U178" s="55" t="b">
        <v>0</v>
      </c>
      <c r="V178" s="55" t="b">
        <v>0</v>
      </c>
    </row>
    <row r="179" ht="69" customHeight="1" s="211">
      <c r="A179" s="92">
        <f>Accounts!A179</f>
        <v/>
      </c>
      <c r="B179" s="12" t="b">
        <v>0</v>
      </c>
      <c r="C179" s="93">
        <f>Accounts!N179</f>
        <v/>
      </c>
      <c r="D179" s="94" t="n"/>
      <c r="E179" s="93">
        <f>Accounts!F179</f>
        <v/>
      </c>
      <c r="F179" s="94">
        <f>Accounts!Q179</f>
        <v/>
      </c>
      <c r="G179" s="94">
        <f>Accounts!R179</f>
        <v/>
      </c>
      <c r="H179" s="94">
        <f>Accounts!I179</f>
        <v/>
      </c>
      <c r="I179" s="94">
        <f>Accounts!J179</f>
        <v/>
      </c>
      <c r="J179" s="93">
        <f>Accounts!S179</f>
        <v/>
      </c>
      <c r="K179" s="88" t="n"/>
      <c r="L179" s="95" t="n"/>
      <c r="M179" s="55" t="b">
        <v>0</v>
      </c>
      <c r="N179" s="96" t="b">
        <v>0</v>
      </c>
      <c r="O179" s="55" t="b">
        <v>0</v>
      </c>
      <c r="P179" s="55" t="b">
        <v>0</v>
      </c>
      <c r="Q179" s="55" t="b">
        <v>0</v>
      </c>
      <c r="R179" s="55" t="b">
        <v>0</v>
      </c>
      <c r="S179" s="55" t="b">
        <v>0</v>
      </c>
      <c r="T179" s="55" t="b">
        <v>0</v>
      </c>
      <c r="U179" s="55" t="b">
        <v>0</v>
      </c>
      <c r="V179" s="55" t="b">
        <v>0</v>
      </c>
    </row>
    <row r="180" ht="69" customHeight="1" s="211">
      <c r="A180" s="92">
        <f>Accounts!A180</f>
        <v/>
      </c>
      <c r="B180" s="12" t="b">
        <v>0</v>
      </c>
      <c r="C180" s="93">
        <f>Accounts!N180</f>
        <v/>
      </c>
      <c r="D180" s="94" t="n"/>
      <c r="E180" s="93">
        <f>Accounts!F180</f>
        <v/>
      </c>
      <c r="F180" s="94">
        <f>Accounts!Q180</f>
        <v/>
      </c>
      <c r="G180" s="94">
        <f>Accounts!R180</f>
        <v/>
      </c>
      <c r="H180" s="94">
        <f>Accounts!I180</f>
        <v/>
      </c>
      <c r="I180" s="94">
        <f>Accounts!J180</f>
        <v/>
      </c>
      <c r="J180" s="93">
        <f>Accounts!S180</f>
        <v/>
      </c>
      <c r="K180" s="88" t="n"/>
      <c r="L180" s="95" t="n"/>
      <c r="M180" s="55" t="b">
        <v>0</v>
      </c>
      <c r="N180" s="96" t="b">
        <v>0</v>
      </c>
      <c r="O180" s="55" t="b">
        <v>0</v>
      </c>
      <c r="P180" s="55" t="b">
        <v>0</v>
      </c>
      <c r="Q180" s="55" t="b">
        <v>0</v>
      </c>
      <c r="R180" s="55" t="b">
        <v>0</v>
      </c>
      <c r="S180" s="55" t="b">
        <v>0</v>
      </c>
      <c r="T180" s="55" t="b">
        <v>0</v>
      </c>
      <c r="U180" s="55" t="b">
        <v>0</v>
      </c>
      <c r="V180" s="55" t="b">
        <v>0</v>
      </c>
    </row>
    <row r="181" ht="69" customHeight="1" s="211">
      <c r="A181" s="92">
        <f>Accounts!A181</f>
        <v/>
      </c>
      <c r="B181" s="12" t="b">
        <v>0</v>
      </c>
      <c r="C181" s="93">
        <f>Accounts!N181</f>
        <v/>
      </c>
      <c r="D181" s="94" t="n"/>
      <c r="E181" s="93">
        <f>Accounts!F181</f>
        <v/>
      </c>
      <c r="F181" s="94">
        <f>Accounts!Q181</f>
        <v/>
      </c>
      <c r="G181" s="94">
        <f>Accounts!R181</f>
        <v/>
      </c>
      <c r="H181" s="94">
        <f>Accounts!I181</f>
        <v/>
      </c>
      <c r="I181" s="94">
        <f>Accounts!J181</f>
        <v/>
      </c>
      <c r="J181" s="93">
        <f>Accounts!S181</f>
        <v/>
      </c>
      <c r="K181" s="88" t="n"/>
      <c r="L181" s="95" t="n"/>
      <c r="M181" s="55" t="b">
        <v>0</v>
      </c>
      <c r="N181" s="96" t="b">
        <v>0</v>
      </c>
      <c r="O181" s="55" t="b">
        <v>0</v>
      </c>
      <c r="P181" s="55" t="b">
        <v>0</v>
      </c>
      <c r="Q181" s="55" t="b">
        <v>0</v>
      </c>
      <c r="R181" s="55" t="b">
        <v>0</v>
      </c>
      <c r="S181" s="55" t="b">
        <v>0</v>
      </c>
      <c r="T181" s="55" t="b">
        <v>0</v>
      </c>
      <c r="U181" s="55" t="b">
        <v>0</v>
      </c>
      <c r="V181" s="55" t="b">
        <v>0</v>
      </c>
    </row>
    <row r="182" ht="69" customHeight="1" s="211">
      <c r="A182" s="92">
        <f>Accounts!A182</f>
        <v/>
      </c>
      <c r="B182" s="12" t="b">
        <v>0</v>
      </c>
      <c r="C182" s="93">
        <f>Accounts!N182</f>
        <v/>
      </c>
      <c r="D182" s="94" t="n"/>
      <c r="E182" s="93">
        <f>Accounts!F182</f>
        <v/>
      </c>
      <c r="F182" s="94">
        <f>Accounts!Q182</f>
        <v/>
      </c>
      <c r="G182" s="94">
        <f>Accounts!R182</f>
        <v/>
      </c>
      <c r="H182" s="94">
        <f>Accounts!I182</f>
        <v/>
      </c>
      <c r="I182" s="94">
        <f>Accounts!J182</f>
        <v/>
      </c>
      <c r="J182" s="93">
        <f>Accounts!S182</f>
        <v/>
      </c>
      <c r="K182" s="88" t="n"/>
      <c r="L182" s="95" t="n"/>
      <c r="M182" s="55" t="b">
        <v>0</v>
      </c>
      <c r="N182" s="96" t="b">
        <v>0</v>
      </c>
      <c r="O182" s="55" t="b">
        <v>0</v>
      </c>
      <c r="P182" s="55" t="b">
        <v>0</v>
      </c>
      <c r="Q182" s="55" t="b">
        <v>0</v>
      </c>
      <c r="R182" s="55" t="b">
        <v>0</v>
      </c>
      <c r="S182" s="55" t="b">
        <v>0</v>
      </c>
      <c r="T182" s="55" t="b">
        <v>0</v>
      </c>
      <c r="U182" s="55" t="b">
        <v>0</v>
      </c>
      <c r="V182" s="55" t="b">
        <v>0</v>
      </c>
    </row>
    <row r="183" ht="69" customHeight="1" s="211">
      <c r="A183" s="92">
        <f>Accounts!A183</f>
        <v/>
      </c>
      <c r="B183" s="12" t="b">
        <v>0</v>
      </c>
      <c r="C183" s="93">
        <f>Accounts!N183</f>
        <v/>
      </c>
      <c r="D183" s="94" t="n"/>
      <c r="E183" s="93">
        <f>Accounts!F183</f>
        <v/>
      </c>
      <c r="F183" s="94">
        <f>Accounts!Q183</f>
        <v/>
      </c>
      <c r="G183" s="94">
        <f>Accounts!R183</f>
        <v/>
      </c>
      <c r="H183" s="94">
        <f>Accounts!I183</f>
        <v/>
      </c>
      <c r="I183" s="94">
        <f>Accounts!J183</f>
        <v/>
      </c>
      <c r="J183" s="93">
        <f>Accounts!S183</f>
        <v/>
      </c>
      <c r="K183" s="88" t="n"/>
      <c r="L183" s="95" t="n"/>
      <c r="M183" s="55" t="b">
        <v>0</v>
      </c>
      <c r="N183" s="96" t="b">
        <v>0</v>
      </c>
      <c r="O183" s="55" t="b">
        <v>0</v>
      </c>
      <c r="P183" s="55" t="b">
        <v>0</v>
      </c>
      <c r="Q183" s="55" t="b">
        <v>0</v>
      </c>
      <c r="R183" s="55" t="b">
        <v>0</v>
      </c>
      <c r="S183" s="55" t="b">
        <v>0</v>
      </c>
      <c r="T183" s="55" t="b">
        <v>0</v>
      </c>
      <c r="U183" s="55" t="b">
        <v>0</v>
      </c>
      <c r="V183" s="55" t="b">
        <v>0</v>
      </c>
    </row>
    <row r="184" ht="69" customHeight="1" s="211">
      <c r="A184" s="92">
        <f>Accounts!A184</f>
        <v/>
      </c>
      <c r="B184" s="12" t="b">
        <v>0</v>
      </c>
      <c r="C184" s="93">
        <f>Accounts!N184</f>
        <v/>
      </c>
      <c r="D184" s="94" t="n"/>
      <c r="E184" s="93">
        <f>Accounts!F184</f>
        <v/>
      </c>
      <c r="F184" s="94">
        <f>Accounts!Q184</f>
        <v/>
      </c>
      <c r="G184" s="94">
        <f>Accounts!R184</f>
        <v/>
      </c>
      <c r="H184" s="94">
        <f>Accounts!I184</f>
        <v/>
      </c>
      <c r="I184" s="94">
        <f>Accounts!J184</f>
        <v/>
      </c>
      <c r="J184" s="93">
        <f>Accounts!S184</f>
        <v/>
      </c>
      <c r="K184" s="88" t="n"/>
      <c r="L184" s="95" t="n"/>
      <c r="M184" s="55" t="b">
        <v>0</v>
      </c>
      <c r="N184" s="96" t="b">
        <v>0</v>
      </c>
      <c r="O184" s="55" t="b">
        <v>0</v>
      </c>
      <c r="P184" s="55" t="b">
        <v>0</v>
      </c>
      <c r="Q184" s="55" t="b">
        <v>0</v>
      </c>
      <c r="R184" s="55" t="b">
        <v>0</v>
      </c>
      <c r="S184" s="55" t="b">
        <v>0</v>
      </c>
      <c r="T184" s="55" t="b">
        <v>0</v>
      </c>
      <c r="U184" s="55" t="b">
        <v>0</v>
      </c>
      <c r="V184" s="55" t="b">
        <v>0</v>
      </c>
    </row>
    <row r="185" ht="69" customHeight="1" s="211">
      <c r="A185" s="92">
        <f>Accounts!A185</f>
        <v/>
      </c>
      <c r="B185" s="12" t="b">
        <v>0</v>
      </c>
      <c r="C185" s="93">
        <f>Accounts!N185</f>
        <v/>
      </c>
      <c r="D185" s="94" t="n"/>
      <c r="E185" s="93">
        <f>Accounts!F185</f>
        <v/>
      </c>
      <c r="F185" s="94">
        <f>Accounts!Q185</f>
        <v/>
      </c>
      <c r="G185" s="94">
        <f>Accounts!R185</f>
        <v/>
      </c>
      <c r="H185" s="94">
        <f>Accounts!I185</f>
        <v/>
      </c>
      <c r="I185" s="94">
        <f>Accounts!J185</f>
        <v/>
      </c>
      <c r="J185" s="93">
        <f>Accounts!S185</f>
        <v/>
      </c>
      <c r="K185" s="88" t="n"/>
      <c r="L185" s="95" t="n"/>
      <c r="M185" s="55" t="b">
        <v>0</v>
      </c>
      <c r="N185" s="96" t="b">
        <v>0</v>
      </c>
      <c r="O185" s="55" t="b">
        <v>0</v>
      </c>
      <c r="P185" s="55" t="b">
        <v>0</v>
      </c>
      <c r="Q185" s="55" t="b">
        <v>0</v>
      </c>
      <c r="R185" s="55" t="b">
        <v>0</v>
      </c>
      <c r="S185" s="55" t="b">
        <v>0</v>
      </c>
      <c r="T185" s="55" t="b">
        <v>0</v>
      </c>
      <c r="U185" s="55" t="b">
        <v>0</v>
      </c>
      <c r="V185" s="55" t="b">
        <v>0</v>
      </c>
    </row>
    <row r="186" ht="69" customHeight="1" s="211">
      <c r="A186" s="92">
        <f>Accounts!A186</f>
        <v/>
      </c>
      <c r="B186" s="12" t="b">
        <v>0</v>
      </c>
      <c r="C186" s="93">
        <f>Accounts!N186</f>
        <v/>
      </c>
      <c r="D186" s="94" t="n"/>
      <c r="E186" s="93">
        <f>Accounts!F186</f>
        <v/>
      </c>
      <c r="F186" s="94">
        <f>Accounts!Q186</f>
        <v/>
      </c>
      <c r="G186" s="94">
        <f>Accounts!R186</f>
        <v/>
      </c>
      <c r="H186" s="94">
        <f>Accounts!I186</f>
        <v/>
      </c>
      <c r="I186" s="94">
        <f>Accounts!J186</f>
        <v/>
      </c>
      <c r="J186" s="93">
        <f>Accounts!S186</f>
        <v/>
      </c>
      <c r="K186" s="88" t="n"/>
      <c r="L186" s="95" t="n"/>
      <c r="M186" s="55" t="b">
        <v>0</v>
      </c>
      <c r="N186" s="96" t="b">
        <v>0</v>
      </c>
      <c r="O186" s="55" t="b">
        <v>0</v>
      </c>
      <c r="P186" s="55" t="b">
        <v>0</v>
      </c>
      <c r="Q186" s="55" t="b">
        <v>0</v>
      </c>
      <c r="R186" s="55" t="b">
        <v>0</v>
      </c>
      <c r="S186" s="55" t="b">
        <v>0</v>
      </c>
      <c r="T186" s="55" t="b">
        <v>0</v>
      </c>
      <c r="U186" s="55" t="b">
        <v>0</v>
      </c>
      <c r="V186" s="55" t="b">
        <v>0</v>
      </c>
    </row>
    <row r="187" ht="69" customHeight="1" s="211">
      <c r="A187" s="92">
        <f>Accounts!A187</f>
        <v/>
      </c>
      <c r="B187" s="12" t="b">
        <v>0</v>
      </c>
      <c r="C187" s="93">
        <f>Accounts!N187</f>
        <v/>
      </c>
      <c r="D187" s="94" t="n"/>
      <c r="E187" s="93">
        <f>Accounts!F187</f>
        <v/>
      </c>
      <c r="F187" s="94">
        <f>Accounts!Q187</f>
        <v/>
      </c>
      <c r="G187" s="94">
        <f>Accounts!R187</f>
        <v/>
      </c>
      <c r="H187" s="94">
        <f>Accounts!I187</f>
        <v/>
      </c>
      <c r="I187" s="94">
        <f>Accounts!J187</f>
        <v/>
      </c>
      <c r="J187" s="93">
        <f>Accounts!S187</f>
        <v/>
      </c>
      <c r="K187" s="88" t="n"/>
      <c r="L187" s="95" t="n"/>
      <c r="M187" s="55" t="b">
        <v>0</v>
      </c>
      <c r="N187" s="96" t="b">
        <v>0</v>
      </c>
      <c r="O187" s="55" t="b">
        <v>0</v>
      </c>
      <c r="P187" s="55" t="b">
        <v>0</v>
      </c>
      <c r="Q187" s="55" t="b">
        <v>0</v>
      </c>
      <c r="R187" s="55" t="b">
        <v>0</v>
      </c>
      <c r="S187" s="55" t="b">
        <v>0</v>
      </c>
      <c r="T187" s="55" t="b">
        <v>0</v>
      </c>
      <c r="U187" s="55" t="b">
        <v>0</v>
      </c>
      <c r="V187" s="55" t="b">
        <v>0</v>
      </c>
    </row>
    <row r="188" ht="69" customHeight="1" s="211">
      <c r="A188" s="92">
        <f>Accounts!A188</f>
        <v/>
      </c>
      <c r="B188" s="12" t="b">
        <v>0</v>
      </c>
      <c r="C188" s="93">
        <f>Accounts!N188</f>
        <v/>
      </c>
      <c r="D188" s="94" t="n"/>
      <c r="E188" s="93">
        <f>Accounts!F188</f>
        <v/>
      </c>
      <c r="F188" s="94">
        <f>Accounts!Q188</f>
        <v/>
      </c>
      <c r="G188" s="94">
        <f>Accounts!R188</f>
        <v/>
      </c>
      <c r="H188" s="94">
        <f>Accounts!I188</f>
        <v/>
      </c>
      <c r="I188" s="94">
        <f>Accounts!J188</f>
        <v/>
      </c>
      <c r="J188" s="93">
        <f>Accounts!S188</f>
        <v/>
      </c>
      <c r="K188" s="88" t="n"/>
      <c r="L188" s="95" t="n"/>
      <c r="M188" s="55" t="b">
        <v>0</v>
      </c>
      <c r="N188" s="96" t="b">
        <v>0</v>
      </c>
      <c r="O188" s="55" t="b">
        <v>0</v>
      </c>
      <c r="P188" s="55" t="b">
        <v>0</v>
      </c>
      <c r="Q188" s="55" t="b">
        <v>0</v>
      </c>
      <c r="R188" s="55" t="b">
        <v>0</v>
      </c>
      <c r="S188" s="55" t="b">
        <v>0</v>
      </c>
      <c r="T188" s="55" t="b">
        <v>0</v>
      </c>
      <c r="U188" s="55" t="b">
        <v>0</v>
      </c>
      <c r="V188" s="55" t="b">
        <v>0</v>
      </c>
    </row>
    <row r="189" ht="69" customHeight="1" s="211">
      <c r="A189" s="92">
        <f>Accounts!A189</f>
        <v/>
      </c>
      <c r="B189" s="12" t="b">
        <v>0</v>
      </c>
      <c r="C189" s="93">
        <f>Accounts!N189</f>
        <v/>
      </c>
      <c r="D189" s="94" t="n"/>
      <c r="E189" s="93">
        <f>Accounts!F189</f>
        <v/>
      </c>
      <c r="F189" s="94">
        <f>Accounts!Q189</f>
        <v/>
      </c>
      <c r="G189" s="94">
        <f>Accounts!R189</f>
        <v/>
      </c>
      <c r="H189" s="94">
        <f>Accounts!I189</f>
        <v/>
      </c>
      <c r="I189" s="94">
        <f>Accounts!J189</f>
        <v/>
      </c>
      <c r="J189" s="93">
        <f>Accounts!S189</f>
        <v/>
      </c>
      <c r="K189" s="88" t="n"/>
      <c r="L189" s="95" t="n"/>
      <c r="M189" s="55" t="b">
        <v>0</v>
      </c>
      <c r="N189" s="96" t="b">
        <v>0</v>
      </c>
      <c r="O189" s="55" t="b">
        <v>0</v>
      </c>
      <c r="P189" s="55" t="b">
        <v>0</v>
      </c>
      <c r="Q189" s="55" t="b">
        <v>0</v>
      </c>
      <c r="R189" s="55" t="b">
        <v>0</v>
      </c>
      <c r="S189" s="55" t="b">
        <v>0</v>
      </c>
      <c r="T189" s="55" t="b">
        <v>0</v>
      </c>
      <c r="U189" s="55" t="b">
        <v>0</v>
      </c>
      <c r="V189" s="55" t="b">
        <v>0</v>
      </c>
    </row>
    <row r="190" ht="69" customHeight="1" s="211">
      <c r="A190" s="92">
        <f>Accounts!A190</f>
        <v/>
      </c>
      <c r="B190" s="12" t="b">
        <v>0</v>
      </c>
      <c r="C190" s="93">
        <f>Accounts!N190</f>
        <v/>
      </c>
      <c r="D190" s="94" t="n"/>
      <c r="E190" s="93">
        <f>Accounts!F190</f>
        <v/>
      </c>
      <c r="F190" s="94">
        <f>Accounts!Q190</f>
        <v/>
      </c>
      <c r="G190" s="94">
        <f>Accounts!R190</f>
        <v/>
      </c>
      <c r="H190" s="94">
        <f>Accounts!I190</f>
        <v/>
      </c>
      <c r="I190" s="94">
        <f>Accounts!J190</f>
        <v/>
      </c>
      <c r="J190" s="93">
        <f>Accounts!S190</f>
        <v/>
      </c>
      <c r="K190" s="88" t="n"/>
      <c r="L190" s="95" t="n"/>
      <c r="M190" s="55" t="b">
        <v>0</v>
      </c>
      <c r="N190" s="96" t="b">
        <v>0</v>
      </c>
      <c r="O190" s="55" t="b">
        <v>0</v>
      </c>
      <c r="P190" s="55" t="b">
        <v>0</v>
      </c>
      <c r="Q190" s="55" t="b">
        <v>0</v>
      </c>
      <c r="R190" s="55" t="b">
        <v>0</v>
      </c>
      <c r="S190" s="55" t="b">
        <v>0</v>
      </c>
      <c r="T190" s="55" t="b">
        <v>0</v>
      </c>
      <c r="U190" s="55" t="b">
        <v>0</v>
      </c>
      <c r="V190" s="55" t="b">
        <v>0</v>
      </c>
    </row>
    <row r="191" ht="69" customHeight="1" s="211">
      <c r="A191" s="92">
        <f>Accounts!A191</f>
        <v/>
      </c>
      <c r="B191" s="12" t="b">
        <v>0</v>
      </c>
      <c r="C191" s="93">
        <f>Accounts!N191</f>
        <v/>
      </c>
      <c r="D191" s="94" t="n"/>
      <c r="E191" s="93">
        <f>Accounts!F191</f>
        <v/>
      </c>
      <c r="F191" s="94">
        <f>Accounts!Q191</f>
        <v/>
      </c>
      <c r="G191" s="94">
        <f>Accounts!R191</f>
        <v/>
      </c>
      <c r="H191" s="94">
        <f>Accounts!I191</f>
        <v/>
      </c>
      <c r="I191" s="94">
        <f>Accounts!J191</f>
        <v/>
      </c>
      <c r="J191" s="93">
        <f>Accounts!S191</f>
        <v/>
      </c>
      <c r="K191" s="88" t="n"/>
      <c r="L191" s="95" t="n"/>
      <c r="M191" s="55" t="b">
        <v>0</v>
      </c>
      <c r="N191" s="96" t="b">
        <v>0</v>
      </c>
      <c r="O191" s="55" t="b">
        <v>0</v>
      </c>
      <c r="P191" s="55" t="b">
        <v>0</v>
      </c>
      <c r="Q191" s="55" t="b">
        <v>0</v>
      </c>
      <c r="R191" s="55" t="b">
        <v>0</v>
      </c>
      <c r="S191" s="55" t="b">
        <v>0</v>
      </c>
      <c r="T191" s="55" t="b">
        <v>0</v>
      </c>
      <c r="U191" s="55" t="b">
        <v>0</v>
      </c>
      <c r="V191" s="55" t="b">
        <v>0</v>
      </c>
    </row>
    <row r="192" ht="69" customHeight="1" s="211">
      <c r="A192" s="92">
        <f>Accounts!A192</f>
        <v/>
      </c>
      <c r="B192" s="12" t="b">
        <v>0</v>
      </c>
      <c r="C192" s="93">
        <f>Accounts!N192</f>
        <v/>
      </c>
      <c r="D192" s="94" t="n"/>
      <c r="E192" s="93">
        <f>Accounts!F192</f>
        <v/>
      </c>
      <c r="F192" s="94">
        <f>Accounts!Q192</f>
        <v/>
      </c>
      <c r="G192" s="94">
        <f>Accounts!R192</f>
        <v/>
      </c>
      <c r="H192" s="94">
        <f>Accounts!I192</f>
        <v/>
      </c>
      <c r="I192" s="94">
        <f>Accounts!J192</f>
        <v/>
      </c>
      <c r="J192" s="93">
        <f>Accounts!S192</f>
        <v/>
      </c>
      <c r="K192" s="88" t="n"/>
      <c r="L192" s="95" t="n"/>
      <c r="M192" s="55" t="b">
        <v>0</v>
      </c>
      <c r="N192" s="96" t="b">
        <v>0</v>
      </c>
      <c r="O192" s="55" t="b">
        <v>0</v>
      </c>
      <c r="P192" s="55" t="b">
        <v>0</v>
      </c>
      <c r="Q192" s="55" t="b">
        <v>0</v>
      </c>
      <c r="R192" s="55" t="b">
        <v>0</v>
      </c>
      <c r="S192" s="55" t="b">
        <v>0</v>
      </c>
      <c r="T192" s="55" t="b">
        <v>0</v>
      </c>
      <c r="U192" s="55" t="b">
        <v>0</v>
      </c>
      <c r="V192" s="55" t="b">
        <v>0</v>
      </c>
    </row>
    <row r="193" ht="69" customHeight="1" s="211">
      <c r="A193" s="92">
        <f>Accounts!A193</f>
        <v/>
      </c>
      <c r="B193" s="12" t="b">
        <v>0</v>
      </c>
      <c r="C193" s="93">
        <f>Accounts!N193</f>
        <v/>
      </c>
      <c r="D193" s="94" t="n"/>
      <c r="E193" s="93">
        <f>Accounts!F193</f>
        <v/>
      </c>
      <c r="F193" s="94">
        <f>Accounts!Q193</f>
        <v/>
      </c>
      <c r="G193" s="94">
        <f>Accounts!R193</f>
        <v/>
      </c>
      <c r="H193" s="94">
        <f>Accounts!I193</f>
        <v/>
      </c>
      <c r="I193" s="94">
        <f>Accounts!J193</f>
        <v/>
      </c>
      <c r="J193" s="93">
        <f>Accounts!S193</f>
        <v/>
      </c>
      <c r="K193" s="88" t="n"/>
      <c r="L193" s="95" t="n"/>
      <c r="M193" s="55" t="b">
        <v>0</v>
      </c>
      <c r="N193" s="96" t="b">
        <v>0</v>
      </c>
      <c r="O193" s="55" t="b">
        <v>0</v>
      </c>
      <c r="P193" s="55" t="b">
        <v>0</v>
      </c>
      <c r="Q193" s="55" t="b">
        <v>0</v>
      </c>
      <c r="R193" s="55" t="b">
        <v>0</v>
      </c>
      <c r="S193" s="55" t="b">
        <v>0</v>
      </c>
      <c r="T193" s="55" t="b">
        <v>0</v>
      </c>
      <c r="U193" s="55" t="b">
        <v>0</v>
      </c>
      <c r="V193" s="55" t="b">
        <v>0</v>
      </c>
    </row>
    <row r="194" ht="69" customHeight="1" s="211">
      <c r="A194" s="92">
        <f>Accounts!A194</f>
        <v/>
      </c>
      <c r="B194" s="12" t="b">
        <v>0</v>
      </c>
      <c r="C194" s="93">
        <f>Accounts!N194</f>
        <v/>
      </c>
      <c r="D194" s="94" t="n"/>
      <c r="E194" s="93">
        <f>Accounts!F194</f>
        <v/>
      </c>
      <c r="F194" s="94">
        <f>Accounts!Q194</f>
        <v/>
      </c>
      <c r="G194" s="94">
        <f>Accounts!R194</f>
        <v/>
      </c>
      <c r="H194" s="94">
        <f>Accounts!I194</f>
        <v/>
      </c>
      <c r="I194" s="94">
        <f>Accounts!J194</f>
        <v/>
      </c>
      <c r="J194" s="93">
        <f>Accounts!S194</f>
        <v/>
      </c>
      <c r="K194" s="88" t="n"/>
      <c r="L194" s="95" t="n"/>
      <c r="M194" s="55" t="b">
        <v>0</v>
      </c>
      <c r="N194" s="96" t="b">
        <v>0</v>
      </c>
      <c r="O194" s="55" t="b">
        <v>0</v>
      </c>
      <c r="P194" s="55" t="b">
        <v>0</v>
      </c>
      <c r="Q194" s="55" t="b">
        <v>0</v>
      </c>
      <c r="R194" s="55" t="b">
        <v>0</v>
      </c>
      <c r="S194" s="55" t="b">
        <v>0</v>
      </c>
      <c r="T194" s="55" t="b">
        <v>0</v>
      </c>
      <c r="U194" s="55" t="b">
        <v>0</v>
      </c>
      <c r="V194" s="55" t="b">
        <v>0</v>
      </c>
    </row>
    <row r="195" ht="69" customHeight="1" s="211">
      <c r="A195" s="92">
        <f>Accounts!A195</f>
        <v/>
      </c>
      <c r="B195" s="12" t="b">
        <v>0</v>
      </c>
      <c r="C195" s="93">
        <f>Accounts!N195</f>
        <v/>
      </c>
      <c r="D195" s="94" t="n"/>
      <c r="E195" s="93">
        <f>Accounts!F195</f>
        <v/>
      </c>
      <c r="F195" s="94">
        <f>Accounts!Q195</f>
        <v/>
      </c>
      <c r="G195" s="94">
        <f>Accounts!R195</f>
        <v/>
      </c>
      <c r="H195" s="94">
        <f>Accounts!I195</f>
        <v/>
      </c>
      <c r="I195" s="94">
        <f>Accounts!J195</f>
        <v/>
      </c>
      <c r="J195" s="93">
        <f>Accounts!S195</f>
        <v/>
      </c>
      <c r="K195" s="88" t="n"/>
      <c r="L195" s="95" t="n"/>
      <c r="M195" s="55" t="b">
        <v>0</v>
      </c>
      <c r="N195" s="96" t="b">
        <v>0</v>
      </c>
      <c r="O195" s="55" t="b">
        <v>0</v>
      </c>
      <c r="P195" s="55" t="b">
        <v>0</v>
      </c>
      <c r="Q195" s="55" t="b">
        <v>0</v>
      </c>
      <c r="R195" s="55" t="b">
        <v>0</v>
      </c>
      <c r="S195" s="55" t="b">
        <v>0</v>
      </c>
      <c r="T195" s="55" t="b">
        <v>0</v>
      </c>
      <c r="U195" s="55" t="b">
        <v>0</v>
      </c>
      <c r="V195" s="55" t="b">
        <v>0</v>
      </c>
    </row>
    <row r="196" ht="69" customHeight="1" s="211">
      <c r="A196" s="92">
        <f>Accounts!A196</f>
        <v/>
      </c>
      <c r="B196" s="12" t="b">
        <v>0</v>
      </c>
      <c r="C196" s="93">
        <f>Accounts!N196</f>
        <v/>
      </c>
      <c r="D196" s="94" t="n"/>
      <c r="E196" s="93">
        <f>Accounts!F196</f>
        <v/>
      </c>
      <c r="F196" s="94">
        <f>Accounts!Q196</f>
        <v/>
      </c>
      <c r="G196" s="94">
        <f>Accounts!R196</f>
        <v/>
      </c>
      <c r="H196" s="94">
        <f>Accounts!I196</f>
        <v/>
      </c>
      <c r="I196" s="94">
        <f>Accounts!J196</f>
        <v/>
      </c>
      <c r="J196" s="93">
        <f>Accounts!S196</f>
        <v/>
      </c>
      <c r="K196" s="88" t="n"/>
      <c r="L196" s="95" t="n"/>
      <c r="M196" s="55" t="b">
        <v>0</v>
      </c>
      <c r="N196" s="96" t="b">
        <v>0</v>
      </c>
      <c r="O196" s="55" t="b">
        <v>0</v>
      </c>
      <c r="P196" s="55" t="b">
        <v>0</v>
      </c>
      <c r="Q196" s="55" t="b">
        <v>0</v>
      </c>
      <c r="R196" s="55" t="b">
        <v>0</v>
      </c>
      <c r="S196" s="55" t="b">
        <v>0</v>
      </c>
      <c r="T196" s="55" t="b">
        <v>0</v>
      </c>
      <c r="U196" s="55" t="b">
        <v>0</v>
      </c>
      <c r="V196" s="55" t="b">
        <v>0</v>
      </c>
    </row>
    <row r="197" ht="69" customHeight="1" s="211">
      <c r="A197" s="92">
        <f>Accounts!A197</f>
        <v/>
      </c>
      <c r="B197" s="12" t="b">
        <v>0</v>
      </c>
      <c r="C197" s="93">
        <f>Accounts!N197</f>
        <v/>
      </c>
      <c r="D197" s="94" t="n"/>
      <c r="E197" s="93">
        <f>Accounts!F197</f>
        <v/>
      </c>
      <c r="F197" s="94">
        <f>Accounts!Q197</f>
        <v/>
      </c>
      <c r="G197" s="94">
        <f>Accounts!R197</f>
        <v/>
      </c>
      <c r="H197" s="94">
        <f>Accounts!I197</f>
        <v/>
      </c>
      <c r="I197" s="94">
        <f>Accounts!J197</f>
        <v/>
      </c>
      <c r="J197" s="93">
        <f>Accounts!S197</f>
        <v/>
      </c>
      <c r="K197" s="88" t="n"/>
      <c r="L197" s="95" t="n"/>
      <c r="M197" s="55" t="b">
        <v>0</v>
      </c>
      <c r="N197" s="96" t="b">
        <v>0</v>
      </c>
      <c r="O197" s="55" t="b">
        <v>0</v>
      </c>
      <c r="P197" s="55" t="b">
        <v>0</v>
      </c>
      <c r="Q197" s="55" t="b">
        <v>0</v>
      </c>
      <c r="R197" s="55" t="b">
        <v>0</v>
      </c>
      <c r="S197" s="55" t="b">
        <v>0</v>
      </c>
      <c r="T197" s="55" t="b">
        <v>0</v>
      </c>
      <c r="U197" s="55" t="b">
        <v>0</v>
      </c>
      <c r="V197" s="55" t="b">
        <v>0</v>
      </c>
    </row>
    <row r="198" ht="69" customHeight="1" s="211">
      <c r="A198" s="92">
        <f>Accounts!A198</f>
        <v/>
      </c>
      <c r="B198" s="12" t="b">
        <v>0</v>
      </c>
      <c r="C198" s="93">
        <f>Accounts!N198</f>
        <v/>
      </c>
      <c r="D198" s="94" t="n"/>
      <c r="E198" s="93">
        <f>Accounts!F198</f>
        <v/>
      </c>
      <c r="F198" s="94">
        <f>Accounts!Q198</f>
        <v/>
      </c>
      <c r="G198" s="94">
        <f>Accounts!R198</f>
        <v/>
      </c>
      <c r="H198" s="94">
        <f>Accounts!I198</f>
        <v/>
      </c>
      <c r="I198" s="94">
        <f>Accounts!J198</f>
        <v/>
      </c>
      <c r="J198" s="93">
        <f>Accounts!S198</f>
        <v/>
      </c>
      <c r="K198" s="88" t="n"/>
      <c r="L198" s="95" t="n"/>
      <c r="M198" s="55" t="b">
        <v>0</v>
      </c>
      <c r="N198" s="96" t="b">
        <v>0</v>
      </c>
      <c r="O198" s="55" t="b">
        <v>0</v>
      </c>
      <c r="P198" s="55" t="b">
        <v>0</v>
      </c>
      <c r="Q198" s="55" t="b">
        <v>0</v>
      </c>
      <c r="R198" s="55" t="b">
        <v>0</v>
      </c>
      <c r="S198" s="55" t="b">
        <v>0</v>
      </c>
      <c r="T198" s="55" t="b">
        <v>0</v>
      </c>
      <c r="U198" s="55" t="b">
        <v>0</v>
      </c>
      <c r="V198" s="55" t="b">
        <v>0</v>
      </c>
    </row>
    <row r="199" ht="69" customHeight="1" s="211">
      <c r="A199" s="92">
        <f>Accounts!A199</f>
        <v/>
      </c>
      <c r="B199" s="12" t="b">
        <v>0</v>
      </c>
      <c r="C199" s="93">
        <f>Accounts!N199</f>
        <v/>
      </c>
      <c r="D199" s="94" t="n"/>
      <c r="E199" s="93">
        <f>Accounts!F199</f>
        <v/>
      </c>
      <c r="F199" s="94">
        <f>Accounts!Q199</f>
        <v/>
      </c>
      <c r="G199" s="94">
        <f>Accounts!R199</f>
        <v/>
      </c>
      <c r="H199" s="94">
        <f>Accounts!I199</f>
        <v/>
      </c>
      <c r="I199" s="94">
        <f>Accounts!J199</f>
        <v/>
      </c>
      <c r="J199" s="93">
        <f>Accounts!S199</f>
        <v/>
      </c>
      <c r="K199" s="88" t="n"/>
      <c r="L199" s="95" t="n"/>
      <c r="M199" s="55" t="b">
        <v>0</v>
      </c>
      <c r="N199" s="96" t="b">
        <v>0</v>
      </c>
      <c r="O199" s="55" t="b">
        <v>0</v>
      </c>
      <c r="P199" s="55" t="b">
        <v>0</v>
      </c>
      <c r="Q199" s="55" t="b">
        <v>0</v>
      </c>
      <c r="R199" s="55" t="b">
        <v>0</v>
      </c>
      <c r="S199" s="55" t="b">
        <v>0</v>
      </c>
      <c r="T199" s="55" t="b">
        <v>0</v>
      </c>
      <c r="U199" s="55" t="b">
        <v>0</v>
      </c>
      <c r="V199" s="55" t="b">
        <v>0</v>
      </c>
    </row>
    <row r="200" ht="69" customHeight="1" s="211">
      <c r="A200" s="92">
        <f>Accounts!A200</f>
        <v/>
      </c>
      <c r="B200" s="12" t="b">
        <v>0</v>
      </c>
      <c r="C200" s="93">
        <f>Accounts!N200</f>
        <v/>
      </c>
      <c r="D200" s="94" t="n"/>
      <c r="E200" s="93">
        <f>Accounts!F200</f>
        <v/>
      </c>
      <c r="F200" s="94">
        <f>Accounts!Q200</f>
        <v/>
      </c>
      <c r="G200" s="94">
        <f>Accounts!R200</f>
        <v/>
      </c>
      <c r="H200" s="94">
        <f>Accounts!I200</f>
        <v/>
      </c>
      <c r="I200" s="94">
        <f>Accounts!J200</f>
        <v/>
      </c>
      <c r="J200" s="93">
        <f>Accounts!S200</f>
        <v/>
      </c>
      <c r="K200" s="88" t="n"/>
      <c r="L200" s="95" t="n"/>
      <c r="M200" s="55" t="b">
        <v>0</v>
      </c>
      <c r="N200" s="96" t="b">
        <v>0</v>
      </c>
      <c r="O200" s="55" t="b">
        <v>0</v>
      </c>
      <c r="P200" s="55" t="b">
        <v>0</v>
      </c>
      <c r="Q200" s="55" t="b">
        <v>0</v>
      </c>
      <c r="R200" s="55" t="b">
        <v>0</v>
      </c>
      <c r="S200" s="55" t="b">
        <v>0</v>
      </c>
      <c r="T200" s="55" t="b">
        <v>0</v>
      </c>
      <c r="U200" s="55" t="b">
        <v>0</v>
      </c>
      <c r="V200" s="55" t="b">
        <v>0</v>
      </c>
    </row>
    <row r="201" ht="69" customHeight="1" s="211">
      <c r="A201" s="92">
        <f>Accounts!A201</f>
        <v/>
      </c>
      <c r="B201" s="12" t="b">
        <v>0</v>
      </c>
      <c r="C201" s="93">
        <f>Accounts!N201</f>
        <v/>
      </c>
      <c r="D201" s="94" t="n"/>
      <c r="E201" s="93">
        <f>Accounts!F201</f>
        <v/>
      </c>
      <c r="F201" s="94">
        <f>Accounts!Q201</f>
        <v/>
      </c>
      <c r="G201" s="94">
        <f>Accounts!R201</f>
        <v/>
      </c>
      <c r="H201" s="94">
        <f>Accounts!I201</f>
        <v/>
      </c>
      <c r="I201" s="94">
        <f>Accounts!J201</f>
        <v/>
      </c>
      <c r="J201" s="93">
        <f>Accounts!S201</f>
        <v/>
      </c>
      <c r="K201" s="88" t="n"/>
      <c r="L201" s="95" t="n"/>
      <c r="M201" s="55" t="b">
        <v>0</v>
      </c>
      <c r="N201" s="96" t="b">
        <v>0</v>
      </c>
      <c r="O201" s="55" t="b">
        <v>0</v>
      </c>
      <c r="P201" s="55" t="b">
        <v>0</v>
      </c>
      <c r="Q201" s="55" t="b">
        <v>0</v>
      </c>
      <c r="R201" s="55" t="b">
        <v>0</v>
      </c>
      <c r="S201" s="55" t="b">
        <v>0</v>
      </c>
      <c r="T201" s="55" t="b">
        <v>0</v>
      </c>
      <c r="U201" s="55" t="b">
        <v>0</v>
      </c>
      <c r="V201" s="55" t="b">
        <v>0</v>
      </c>
    </row>
    <row r="202" ht="69" customHeight="1" s="211">
      <c r="A202" s="92">
        <f>Accounts!A202</f>
        <v/>
      </c>
      <c r="B202" s="12" t="b">
        <v>0</v>
      </c>
      <c r="C202" s="93">
        <f>Accounts!N202</f>
        <v/>
      </c>
      <c r="D202" s="94" t="n"/>
      <c r="E202" s="93">
        <f>Accounts!F202</f>
        <v/>
      </c>
      <c r="F202" s="94">
        <f>Accounts!Q202</f>
        <v/>
      </c>
      <c r="G202" s="94">
        <f>Accounts!R202</f>
        <v/>
      </c>
      <c r="H202" s="94">
        <f>Accounts!I202</f>
        <v/>
      </c>
      <c r="I202" s="94">
        <f>Accounts!J202</f>
        <v/>
      </c>
      <c r="J202" s="93">
        <f>Accounts!S202</f>
        <v/>
      </c>
      <c r="K202" s="88" t="n"/>
      <c r="L202" s="95" t="n"/>
      <c r="M202" s="55" t="b">
        <v>0</v>
      </c>
      <c r="N202" s="96" t="b">
        <v>0</v>
      </c>
      <c r="O202" s="55" t="b">
        <v>0</v>
      </c>
      <c r="P202" s="55" t="b">
        <v>0</v>
      </c>
      <c r="Q202" s="55" t="b">
        <v>0</v>
      </c>
      <c r="R202" s="55" t="b">
        <v>0</v>
      </c>
      <c r="S202" s="55" t="b">
        <v>0</v>
      </c>
      <c r="T202" s="55" t="b">
        <v>0</v>
      </c>
      <c r="U202" s="55" t="b">
        <v>0</v>
      </c>
      <c r="V202" s="55" t="b">
        <v>0</v>
      </c>
    </row>
    <row r="203" ht="69" customHeight="1" s="211">
      <c r="A203" s="92">
        <f>Accounts!A203</f>
        <v/>
      </c>
      <c r="B203" s="12" t="b">
        <v>0</v>
      </c>
      <c r="C203" s="93">
        <f>Accounts!N203</f>
        <v/>
      </c>
      <c r="D203" s="94" t="n"/>
      <c r="E203" s="93">
        <f>Accounts!F203</f>
        <v/>
      </c>
      <c r="F203" s="94">
        <f>Accounts!Q203</f>
        <v/>
      </c>
      <c r="G203" s="94">
        <f>Accounts!R203</f>
        <v/>
      </c>
      <c r="H203" s="94">
        <f>Accounts!I203</f>
        <v/>
      </c>
      <c r="I203" s="94">
        <f>Accounts!J203</f>
        <v/>
      </c>
      <c r="J203" s="93">
        <f>Accounts!S203</f>
        <v/>
      </c>
      <c r="K203" s="88" t="n"/>
      <c r="L203" s="95" t="n"/>
      <c r="M203" s="55" t="b">
        <v>0</v>
      </c>
      <c r="N203" s="96" t="b">
        <v>0</v>
      </c>
      <c r="O203" s="55" t="b">
        <v>0</v>
      </c>
      <c r="P203" s="55" t="b">
        <v>0</v>
      </c>
      <c r="Q203" s="55" t="b">
        <v>0</v>
      </c>
      <c r="R203" s="55" t="b">
        <v>0</v>
      </c>
      <c r="S203" s="55" t="b">
        <v>0</v>
      </c>
      <c r="T203" s="55" t="b">
        <v>0</v>
      </c>
      <c r="U203" s="55" t="b">
        <v>0</v>
      </c>
      <c r="V203" s="55" t="b">
        <v>0</v>
      </c>
    </row>
    <row r="204" ht="69" customHeight="1" s="211">
      <c r="A204" s="92">
        <f>Accounts!A204</f>
        <v/>
      </c>
      <c r="B204" s="12" t="b">
        <v>0</v>
      </c>
      <c r="C204" s="93">
        <f>Accounts!N204</f>
        <v/>
      </c>
      <c r="D204" s="94" t="n"/>
      <c r="E204" s="93">
        <f>Accounts!F204</f>
        <v/>
      </c>
      <c r="F204" s="94">
        <f>Accounts!Q204</f>
        <v/>
      </c>
      <c r="G204" s="94">
        <f>Accounts!R204</f>
        <v/>
      </c>
      <c r="H204" s="94">
        <f>Accounts!I204</f>
        <v/>
      </c>
      <c r="I204" s="94">
        <f>Accounts!J204</f>
        <v/>
      </c>
      <c r="J204" s="93">
        <f>Accounts!S204</f>
        <v/>
      </c>
      <c r="K204" s="88" t="n"/>
      <c r="L204" s="95" t="n"/>
      <c r="M204" s="55" t="b">
        <v>0</v>
      </c>
      <c r="N204" s="96" t="b">
        <v>0</v>
      </c>
      <c r="O204" s="55" t="b">
        <v>0</v>
      </c>
      <c r="P204" s="55" t="b">
        <v>0</v>
      </c>
      <c r="Q204" s="55" t="b">
        <v>0</v>
      </c>
      <c r="R204" s="55" t="b">
        <v>0</v>
      </c>
      <c r="S204" s="55" t="b">
        <v>0</v>
      </c>
      <c r="T204" s="55" t="b">
        <v>0</v>
      </c>
      <c r="U204" s="55" t="b">
        <v>0</v>
      </c>
      <c r="V204" s="55" t="b">
        <v>0</v>
      </c>
    </row>
    <row r="205" ht="69" customHeight="1" s="211">
      <c r="A205" s="92">
        <f>Accounts!A205</f>
        <v/>
      </c>
      <c r="B205" s="12" t="b">
        <v>0</v>
      </c>
      <c r="C205" s="93">
        <f>Accounts!N205</f>
        <v/>
      </c>
      <c r="D205" s="94" t="n"/>
      <c r="E205" s="93">
        <f>Accounts!F205</f>
        <v/>
      </c>
      <c r="F205" s="94">
        <f>Accounts!Q205</f>
        <v/>
      </c>
      <c r="G205" s="94">
        <f>Accounts!R205</f>
        <v/>
      </c>
      <c r="H205" s="94">
        <f>Accounts!I205</f>
        <v/>
      </c>
      <c r="I205" s="94">
        <f>Accounts!J205</f>
        <v/>
      </c>
      <c r="J205" s="93">
        <f>Accounts!S205</f>
        <v/>
      </c>
      <c r="K205" s="88" t="n"/>
      <c r="L205" s="95" t="n"/>
      <c r="M205" s="55" t="b">
        <v>0</v>
      </c>
      <c r="N205" s="96" t="b">
        <v>0</v>
      </c>
      <c r="O205" s="55" t="b">
        <v>0</v>
      </c>
      <c r="P205" s="55" t="b">
        <v>0</v>
      </c>
      <c r="Q205" s="55" t="b">
        <v>0</v>
      </c>
      <c r="R205" s="55" t="b">
        <v>0</v>
      </c>
      <c r="S205" s="55" t="b">
        <v>0</v>
      </c>
      <c r="T205" s="55" t="b">
        <v>0</v>
      </c>
      <c r="U205" s="55" t="b">
        <v>0</v>
      </c>
      <c r="V205" s="55" t="b">
        <v>0</v>
      </c>
    </row>
    <row r="206" ht="69" customHeight="1" s="211">
      <c r="A206" s="92">
        <f>Accounts!A206</f>
        <v/>
      </c>
      <c r="B206" s="12" t="b">
        <v>0</v>
      </c>
      <c r="C206" s="93">
        <f>Accounts!N206</f>
        <v/>
      </c>
      <c r="D206" s="94" t="n"/>
      <c r="E206" s="93">
        <f>Accounts!F206</f>
        <v/>
      </c>
      <c r="F206" s="94">
        <f>Accounts!Q206</f>
        <v/>
      </c>
      <c r="G206" s="94">
        <f>Accounts!R206</f>
        <v/>
      </c>
      <c r="H206" s="94">
        <f>Accounts!I206</f>
        <v/>
      </c>
      <c r="I206" s="94">
        <f>Accounts!J206</f>
        <v/>
      </c>
      <c r="J206" s="93">
        <f>Accounts!S206</f>
        <v/>
      </c>
      <c r="K206" s="88" t="n"/>
      <c r="L206" s="95" t="n"/>
      <c r="M206" s="55" t="b">
        <v>0</v>
      </c>
      <c r="N206" s="96" t="b">
        <v>0</v>
      </c>
      <c r="O206" s="55" t="b">
        <v>0</v>
      </c>
      <c r="P206" s="55" t="b">
        <v>0</v>
      </c>
      <c r="Q206" s="55" t="b">
        <v>0</v>
      </c>
      <c r="R206" s="55" t="b">
        <v>0</v>
      </c>
      <c r="S206" s="55" t="b">
        <v>0</v>
      </c>
      <c r="T206" s="55" t="b">
        <v>0</v>
      </c>
      <c r="U206" s="55" t="b">
        <v>0</v>
      </c>
      <c r="V206" s="55" t="b">
        <v>0</v>
      </c>
    </row>
    <row r="207" ht="69" customHeight="1" s="211">
      <c r="A207" s="92">
        <f>Accounts!A207</f>
        <v/>
      </c>
      <c r="B207" s="12" t="b">
        <v>0</v>
      </c>
      <c r="C207" s="93">
        <f>Accounts!N207</f>
        <v/>
      </c>
      <c r="D207" s="94" t="n"/>
      <c r="E207" s="93">
        <f>Accounts!F207</f>
        <v/>
      </c>
      <c r="F207" s="94">
        <f>Accounts!Q207</f>
        <v/>
      </c>
      <c r="G207" s="94">
        <f>Accounts!R207</f>
        <v/>
      </c>
      <c r="H207" s="94">
        <f>Accounts!I207</f>
        <v/>
      </c>
      <c r="I207" s="94">
        <f>Accounts!J207</f>
        <v/>
      </c>
      <c r="J207" s="93">
        <f>Accounts!S207</f>
        <v/>
      </c>
      <c r="K207" s="88" t="n"/>
      <c r="L207" s="95" t="n"/>
      <c r="M207" s="55" t="b">
        <v>0</v>
      </c>
      <c r="N207" s="96" t="b">
        <v>0</v>
      </c>
      <c r="O207" s="55" t="b">
        <v>0</v>
      </c>
      <c r="P207" s="55" t="b">
        <v>0</v>
      </c>
      <c r="Q207" s="55" t="b">
        <v>0</v>
      </c>
      <c r="R207" s="55" t="b">
        <v>0</v>
      </c>
      <c r="S207" s="55" t="b">
        <v>0</v>
      </c>
      <c r="T207" s="55" t="b">
        <v>0</v>
      </c>
      <c r="U207" s="55" t="b">
        <v>0</v>
      </c>
      <c r="V207" s="55" t="b">
        <v>0</v>
      </c>
    </row>
    <row r="208" ht="69" customHeight="1" s="211">
      <c r="A208" s="92">
        <f>Accounts!A208</f>
        <v/>
      </c>
      <c r="B208" s="12" t="b">
        <v>0</v>
      </c>
      <c r="C208" s="93">
        <f>Accounts!N208</f>
        <v/>
      </c>
      <c r="D208" s="94" t="n"/>
      <c r="E208" s="93">
        <f>Accounts!F208</f>
        <v/>
      </c>
      <c r="F208" s="94">
        <f>Accounts!Q208</f>
        <v/>
      </c>
      <c r="G208" s="94">
        <f>Accounts!R208</f>
        <v/>
      </c>
      <c r="H208" s="94">
        <f>Accounts!I208</f>
        <v/>
      </c>
      <c r="I208" s="94">
        <f>Accounts!J208</f>
        <v/>
      </c>
      <c r="J208" s="93">
        <f>Accounts!S208</f>
        <v/>
      </c>
      <c r="K208" s="88" t="n"/>
      <c r="L208" s="95" t="n"/>
      <c r="M208" s="55" t="b">
        <v>0</v>
      </c>
      <c r="N208" s="96" t="b">
        <v>0</v>
      </c>
      <c r="O208" s="55" t="b">
        <v>0</v>
      </c>
      <c r="P208" s="55" t="b">
        <v>0</v>
      </c>
      <c r="Q208" s="55" t="b">
        <v>0</v>
      </c>
      <c r="R208" s="55" t="b">
        <v>0</v>
      </c>
      <c r="S208" s="55" t="b">
        <v>0</v>
      </c>
      <c r="T208" s="55" t="b">
        <v>0</v>
      </c>
      <c r="U208" s="55" t="b">
        <v>0</v>
      </c>
      <c r="V208" s="55" t="b">
        <v>0</v>
      </c>
    </row>
    <row r="209" ht="69" customHeight="1" s="211">
      <c r="A209" s="92">
        <f>Accounts!A209</f>
        <v/>
      </c>
      <c r="B209" s="12" t="b">
        <v>0</v>
      </c>
      <c r="C209" s="93">
        <f>Accounts!N209</f>
        <v/>
      </c>
      <c r="D209" s="94" t="n"/>
      <c r="E209" s="93">
        <f>Accounts!F209</f>
        <v/>
      </c>
      <c r="F209" s="94">
        <f>Accounts!Q209</f>
        <v/>
      </c>
      <c r="G209" s="94">
        <f>Accounts!R209</f>
        <v/>
      </c>
      <c r="H209" s="94">
        <f>Accounts!I209</f>
        <v/>
      </c>
      <c r="I209" s="94">
        <f>Accounts!J209</f>
        <v/>
      </c>
      <c r="J209" s="93">
        <f>Accounts!S209</f>
        <v/>
      </c>
      <c r="K209" s="88" t="n"/>
      <c r="L209" s="95" t="n"/>
      <c r="M209" s="55" t="b">
        <v>0</v>
      </c>
      <c r="N209" s="96" t="b">
        <v>0</v>
      </c>
      <c r="O209" s="55" t="b">
        <v>0</v>
      </c>
      <c r="P209" s="55" t="b">
        <v>0</v>
      </c>
      <c r="Q209" s="55" t="b">
        <v>0</v>
      </c>
      <c r="R209" s="55" t="b">
        <v>0</v>
      </c>
      <c r="S209" s="55" t="b">
        <v>0</v>
      </c>
      <c r="T209" s="55" t="b">
        <v>0</v>
      </c>
      <c r="U209" s="55" t="b">
        <v>0</v>
      </c>
      <c r="V209" s="55" t="b">
        <v>0</v>
      </c>
    </row>
    <row r="210" ht="69" customHeight="1" s="211">
      <c r="A210" s="92">
        <f>Accounts!A210</f>
        <v/>
      </c>
      <c r="B210" s="12" t="b">
        <v>0</v>
      </c>
      <c r="C210" s="93">
        <f>Accounts!N210</f>
        <v/>
      </c>
      <c r="D210" s="94" t="n"/>
      <c r="E210" s="93">
        <f>Accounts!F210</f>
        <v/>
      </c>
      <c r="F210" s="94">
        <f>Accounts!Q210</f>
        <v/>
      </c>
      <c r="G210" s="94">
        <f>Accounts!R210</f>
        <v/>
      </c>
      <c r="H210" s="94">
        <f>Accounts!I210</f>
        <v/>
      </c>
      <c r="I210" s="94">
        <f>Accounts!J210</f>
        <v/>
      </c>
      <c r="J210" s="93">
        <f>Accounts!S210</f>
        <v/>
      </c>
      <c r="K210" s="88" t="n"/>
      <c r="L210" s="95" t="n"/>
      <c r="M210" s="55" t="b">
        <v>0</v>
      </c>
      <c r="N210" s="96" t="b">
        <v>0</v>
      </c>
      <c r="O210" s="55" t="b">
        <v>0</v>
      </c>
      <c r="P210" s="55" t="b">
        <v>0</v>
      </c>
      <c r="Q210" s="55" t="b">
        <v>0</v>
      </c>
      <c r="R210" s="55" t="b">
        <v>0</v>
      </c>
      <c r="S210" s="55" t="b">
        <v>0</v>
      </c>
      <c r="T210" s="55" t="b">
        <v>0</v>
      </c>
      <c r="U210" s="55" t="b">
        <v>0</v>
      </c>
      <c r="V210" s="55" t="b">
        <v>0</v>
      </c>
    </row>
    <row r="211" ht="69" customHeight="1" s="211">
      <c r="A211" s="92">
        <f>Accounts!A211</f>
        <v/>
      </c>
      <c r="B211" s="12" t="b">
        <v>0</v>
      </c>
      <c r="C211" s="93">
        <f>Accounts!N211</f>
        <v/>
      </c>
      <c r="D211" s="94" t="n"/>
      <c r="E211" s="93">
        <f>Accounts!F211</f>
        <v/>
      </c>
      <c r="F211" s="94">
        <f>Accounts!Q211</f>
        <v/>
      </c>
      <c r="G211" s="94">
        <f>Accounts!R211</f>
        <v/>
      </c>
      <c r="H211" s="94">
        <f>Accounts!I211</f>
        <v/>
      </c>
      <c r="I211" s="94">
        <f>Accounts!J211</f>
        <v/>
      </c>
      <c r="J211" s="93">
        <f>Accounts!S211</f>
        <v/>
      </c>
      <c r="K211" s="88" t="n"/>
      <c r="L211" s="95" t="n"/>
      <c r="M211" s="55" t="b">
        <v>0</v>
      </c>
      <c r="N211" s="96" t="b">
        <v>0</v>
      </c>
      <c r="O211" s="55" t="b">
        <v>0</v>
      </c>
      <c r="P211" s="55" t="b">
        <v>0</v>
      </c>
      <c r="Q211" s="55" t="b">
        <v>0</v>
      </c>
      <c r="R211" s="55" t="b">
        <v>0</v>
      </c>
      <c r="S211" s="55" t="b">
        <v>0</v>
      </c>
      <c r="T211" s="55" t="b">
        <v>0</v>
      </c>
      <c r="U211" s="55" t="b">
        <v>0</v>
      </c>
      <c r="V211" s="55" t="b">
        <v>0</v>
      </c>
    </row>
    <row r="212" ht="69" customHeight="1" s="211">
      <c r="A212" s="92">
        <f>Accounts!A212</f>
        <v/>
      </c>
      <c r="B212" s="12" t="b">
        <v>0</v>
      </c>
      <c r="C212" s="93">
        <f>Accounts!N212</f>
        <v/>
      </c>
      <c r="D212" s="94" t="n"/>
      <c r="E212" s="93">
        <f>Accounts!F212</f>
        <v/>
      </c>
      <c r="F212" s="94">
        <f>Accounts!Q212</f>
        <v/>
      </c>
      <c r="G212" s="94">
        <f>Accounts!R212</f>
        <v/>
      </c>
      <c r="H212" s="94">
        <f>Accounts!I212</f>
        <v/>
      </c>
      <c r="I212" s="94">
        <f>Accounts!J212</f>
        <v/>
      </c>
      <c r="J212" s="93">
        <f>Accounts!S212</f>
        <v/>
      </c>
      <c r="K212" s="88" t="n"/>
      <c r="L212" s="95" t="n"/>
      <c r="M212" s="55" t="b">
        <v>0</v>
      </c>
      <c r="N212" s="96" t="b">
        <v>0</v>
      </c>
      <c r="O212" s="55" t="b">
        <v>0</v>
      </c>
      <c r="P212" s="55" t="b">
        <v>0</v>
      </c>
      <c r="Q212" s="55" t="b">
        <v>0</v>
      </c>
      <c r="R212" s="55" t="b">
        <v>0</v>
      </c>
      <c r="S212" s="55" t="b">
        <v>0</v>
      </c>
      <c r="T212" s="55" t="b">
        <v>0</v>
      </c>
      <c r="U212" s="55" t="b">
        <v>0</v>
      </c>
      <c r="V212" s="55" t="b">
        <v>0</v>
      </c>
    </row>
    <row r="213" ht="69" customHeight="1" s="211">
      <c r="A213" s="92">
        <f>Accounts!A213</f>
        <v/>
      </c>
      <c r="B213" s="12" t="b">
        <v>0</v>
      </c>
      <c r="C213" s="93">
        <f>Accounts!N213</f>
        <v/>
      </c>
      <c r="D213" s="94" t="n"/>
      <c r="E213" s="93">
        <f>Accounts!F213</f>
        <v/>
      </c>
      <c r="F213" s="94">
        <f>Accounts!Q213</f>
        <v/>
      </c>
      <c r="G213" s="94">
        <f>Accounts!R213</f>
        <v/>
      </c>
      <c r="H213" s="94">
        <f>Accounts!I213</f>
        <v/>
      </c>
      <c r="I213" s="94">
        <f>Accounts!J213</f>
        <v/>
      </c>
      <c r="J213" s="93">
        <f>Accounts!S213</f>
        <v/>
      </c>
      <c r="K213" s="88" t="n"/>
      <c r="L213" s="95" t="n"/>
      <c r="M213" s="55" t="b">
        <v>0</v>
      </c>
      <c r="N213" s="96" t="b">
        <v>0</v>
      </c>
      <c r="O213" s="55" t="b">
        <v>0</v>
      </c>
      <c r="P213" s="55" t="b">
        <v>0</v>
      </c>
      <c r="Q213" s="55" t="b">
        <v>0</v>
      </c>
      <c r="R213" s="55" t="b">
        <v>0</v>
      </c>
      <c r="S213" s="55" t="b">
        <v>0</v>
      </c>
      <c r="T213" s="55" t="b">
        <v>0</v>
      </c>
      <c r="U213" s="55" t="b">
        <v>0</v>
      </c>
      <c r="V213" s="55" t="b">
        <v>0</v>
      </c>
    </row>
    <row r="214" ht="69" customHeight="1" s="211">
      <c r="A214" s="92">
        <f>Accounts!A214</f>
        <v/>
      </c>
      <c r="B214" s="12" t="b">
        <v>0</v>
      </c>
      <c r="C214" s="93">
        <f>Accounts!N214</f>
        <v/>
      </c>
      <c r="D214" s="94" t="n"/>
      <c r="E214" s="93">
        <f>Accounts!F214</f>
        <v/>
      </c>
      <c r="F214" s="94">
        <f>Accounts!Q214</f>
        <v/>
      </c>
      <c r="G214" s="94">
        <f>Accounts!R214</f>
        <v/>
      </c>
      <c r="H214" s="94">
        <f>Accounts!I214</f>
        <v/>
      </c>
      <c r="I214" s="94">
        <f>Accounts!J214</f>
        <v/>
      </c>
      <c r="J214" s="93">
        <f>Accounts!S214</f>
        <v/>
      </c>
      <c r="K214" s="88" t="n"/>
      <c r="L214" s="95" t="n"/>
      <c r="M214" s="55" t="b">
        <v>0</v>
      </c>
      <c r="N214" s="96" t="b">
        <v>0</v>
      </c>
      <c r="O214" s="55" t="b">
        <v>0</v>
      </c>
      <c r="P214" s="55" t="b">
        <v>0</v>
      </c>
      <c r="Q214" s="55" t="b">
        <v>0</v>
      </c>
      <c r="R214" s="55" t="b">
        <v>0</v>
      </c>
      <c r="S214" s="55" t="b">
        <v>0</v>
      </c>
      <c r="T214" s="55" t="b">
        <v>0</v>
      </c>
      <c r="U214" s="55" t="b">
        <v>0</v>
      </c>
      <c r="V214" s="55" t="b">
        <v>0</v>
      </c>
    </row>
    <row r="215" ht="69" customHeight="1" s="211">
      <c r="A215" s="92">
        <f>Accounts!A215</f>
        <v/>
      </c>
      <c r="B215" s="12" t="b">
        <v>0</v>
      </c>
      <c r="C215" s="93">
        <f>Accounts!N215</f>
        <v/>
      </c>
      <c r="D215" s="94" t="n"/>
      <c r="E215" s="93">
        <f>Accounts!F215</f>
        <v/>
      </c>
      <c r="F215" s="94">
        <f>Accounts!Q215</f>
        <v/>
      </c>
      <c r="G215" s="94">
        <f>Accounts!R215</f>
        <v/>
      </c>
      <c r="H215" s="94">
        <f>Accounts!I215</f>
        <v/>
      </c>
      <c r="I215" s="94">
        <f>Accounts!J215</f>
        <v/>
      </c>
      <c r="J215" s="93">
        <f>Accounts!S215</f>
        <v/>
      </c>
      <c r="K215" s="88" t="n"/>
      <c r="L215" s="95" t="n"/>
      <c r="M215" s="55" t="b">
        <v>0</v>
      </c>
      <c r="N215" s="96" t="b">
        <v>0</v>
      </c>
      <c r="O215" s="55" t="b">
        <v>0</v>
      </c>
      <c r="P215" s="55" t="b">
        <v>0</v>
      </c>
      <c r="Q215" s="55" t="b">
        <v>0</v>
      </c>
      <c r="R215" s="55" t="b">
        <v>0</v>
      </c>
      <c r="S215" s="55" t="b">
        <v>0</v>
      </c>
      <c r="T215" s="55" t="b">
        <v>0</v>
      </c>
      <c r="U215" s="55" t="b">
        <v>0</v>
      </c>
      <c r="V215" s="55" t="b">
        <v>0</v>
      </c>
    </row>
    <row r="216" ht="69" customHeight="1" s="211">
      <c r="A216" s="92">
        <f>Accounts!A216</f>
        <v/>
      </c>
      <c r="B216" s="12" t="b">
        <v>0</v>
      </c>
      <c r="C216" s="93">
        <f>Accounts!N216</f>
        <v/>
      </c>
      <c r="D216" s="94" t="n"/>
      <c r="E216" s="93">
        <f>Accounts!F216</f>
        <v/>
      </c>
      <c r="F216" s="94">
        <f>Accounts!Q216</f>
        <v/>
      </c>
      <c r="G216" s="94">
        <f>Accounts!R216</f>
        <v/>
      </c>
      <c r="H216" s="94">
        <f>Accounts!I216</f>
        <v/>
      </c>
      <c r="I216" s="94">
        <f>Accounts!J216</f>
        <v/>
      </c>
      <c r="J216" s="93">
        <f>Accounts!S216</f>
        <v/>
      </c>
      <c r="K216" s="88" t="n"/>
      <c r="L216" s="95" t="n"/>
      <c r="M216" s="55" t="b">
        <v>0</v>
      </c>
      <c r="N216" s="96" t="b">
        <v>0</v>
      </c>
      <c r="O216" s="55" t="b">
        <v>0</v>
      </c>
      <c r="P216" s="55" t="b">
        <v>0</v>
      </c>
      <c r="Q216" s="55" t="b">
        <v>0</v>
      </c>
      <c r="R216" s="55" t="b">
        <v>0</v>
      </c>
      <c r="S216" s="55" t="b">
        <v>0</v>
      </c>
      <c r="T216" s="55" t="b">
        <v>0</v>
      </c>
      <c r="U216" s="55" t="b">
        <v>0</v>
      </c>
      <c r="V216" s="55" t="b">
        <v>0</v>
      </c>
    </row>
    <row r="217" ht="69" customHeight="1" s="211">
      <c r="A217" s="92">
        <f>Accounts!A217</f>
        <v/>
      </c>
      <c r="B217" s="12" t="b">
        <v>0</v>
      </c>
      <c r="C217" s="93">
        <f>Accounts!N217</f>
        <v/>
      </c>
      <c r="D217" s="94" t="n"/>
      <c r="E217" s="93">
        <f>Accounts!F217</f>
        <v/>
      </c>
      <c r="F217" s="94">
        <f>Accounts!Q217</f>
        <v/>
      </c>
      <c r="G217" s="94">
        <f>Accounts!R217</f>
        <v/>
      </c>
      <c r="H217" s="94">
        <f>Accounts!I217</f>
        <v/>
      </c>
      <c r="I217" s="94">
        <f>Accounts!J217</f>
        <v/>
      </c>
      <c r="J217" s="93">
        <f>Accounts!S217</f>
        <v/>
      </c>
      <c r="K217" s="88" t="n"/>
      <c r="L217" s="95" t="n"/>
      <c r="M217" s="55" t="b">
        <v>0</v>
      </c>
      <c r="N217" s="96" t="b">
        <v>0</v>
      </c>
      <c r="O217" s="55" t="b">
        <v>0</v>
      </c>
      <c r="P217" s="55" t="b">
        <v>0</v>
      </c>
      <c r="Q217" s="55" t="b">
        <v>0</v>
      </c>
      <c r="R217" s="55" t="b">
        <v>0</v>
      </c>
      <c r="S217" s="55" t="b">
        <v>0</v>
      </c>
      <c r="T217" s="55" t="b">
        <v>0</v>
      </c>
      <c r="U217" s="55" t="b">
        <v>0</v>
      </c>
      <c r="V217" s="55" t="b">
        <v>0</v>
      </c>
    </row>
    <row r="218" ht="69" customHeight="1" s="211">
      <c r="A218" s="92">
        <f>Accounts!A218</f>
        <v/>
      </c>
      <c r="B218" s="12" t="b">
        <v>0</v>
      </c>
      <c r="C218" s="93">
        <f>Accounts!N218</f>
        <v/>
      </c>
      <c r="D218" s="94" t="n"/>
      <c r="E218" s="93">
        <f>Accounts!F218</f>
        <v/>
      </c>
      <c r="F218" s="94">
        <f>Accounts!Q218</f>
        <v/>
      </c>
      <c r="G218" s="94">
        <f>Accounts!R218</f>
        <v/>
      </c>
      <c r="H218" s="94">
        <f>Accounts!I218</f>
        <v/>
      </c>
      <c r="I218" s="94">
        <f>Accounts!J218</f>
        <v/>
      </c>
      <c r="J218" s="93">
        <f>Accounts!S218</f>
        <v/>
      </c>
      <c r="K218" s="88" t="n"/>
      <c r="L218" s="95" t="n"/>
      <c r="M218" s="55" t="b">
        <v>0</v>
      </c>
      <c r="N218" s="96" t="b">
        <v>0</v>
      </c>
      <c r="O218" s="55" t="b">
        <v>0</v>
      </c>
      <c r="P218" s="55" t="b">
        <v>0</v>
      </c>
      <c r="Q218" s="55" t="b">
        <v>0</v>
      </c>
      <c r="R218" s="55" t="b">
        <v>0</v>
      </c>
      <c r="S218" s="55" t="b">
        <v>0</v>
      </c>
      <c r="T218" s="55" t="b">
        <v>0</v>
      </c>
      <c r="U218" s="55" t="b">
        <v>0</v>
      </c>
      <c r="V218" s="55" t="b">
        <v>0</v>
      </c>
    </row>
    <row r="219" ht="69" customHeight="1" s="211">
      <c r="A219" s="92">
        <f>Accounts!A219</f>
        <v/>
      </c>
      <c r="B219" s="12" t="b">
        <v>0</v>
      </c>
      <c r="C219" s="93">
        <f>Accounts!N219</f>
        <v/>
      </c>
      <c r="D219" s="94" t="n"/>
      <c r="E219" s="93">
        <f>Accounts!F219</f>
        <v/>
      </c>
      <c r="F219" s="94">
        <f>Accounts!Q219</f>
        <v/>
      </c>
      <c r="G219" s="94">
        <f>Accounts!R219</f>
        <v/>
      </c>
      <c r="H219" s="94">
        <f>Accounts!I219</f>
        <v/>
      </c>
      <c r="I219" s="94">
        <f>Accounts!J219</f>
        <v/>
      </c>
      <c r="J219" s="93">
        <f>Accounts!S219</f>
        <v/>
      </c>
      <c r="K219" s="88" t="n"/>
      <c r="L219" s="95" t="n"/>
      <c r="M219" s="55" t="b">
        <v>0</v>
      </c>
      <c r="N219" s="96" t="b">
        <v>0</v>
      </c>
      <c r="O219" s="55" t="b">
        <v>0</v>
      </c>
      <c r="P219" s="55" t="b">
        <v>0</v>
      </c>
      <c r="Q219" s="55" t="b">
        <v>0</v>
      </c>
      <c r="R219" s="55" t="b">
        <v>0</v>
      </c>
      <c r="S219" s="55" t="b">
        <v>0</v>
      </c>
      <c r="T219" s="55" t="b">
        <v>0</v>
      </c>
      <c r="U219" s="55" t="b">
        <v>0</v>
      </c>
      <c r="V219" s="55" t="b">
        <v>0</v>
      </c>
    </row>
    <row r="220" ht="69" customHeight="1" s="211">
      <c r="A220" s="92">
        <f>Accounts!A220</f>
        <v/>
      </c>
      <c r="B220" s="12" t="b">
        <v>0</v>
      </c>
      <c r="C220" s="93">
        <f>Accounts!N220</f>
        <v/>
      </c>
      <c r="D220" s="94" t="n"/>
      <c r="E220" s="93">
        <f>Accounts!F220</f>
        <v/>
      </c>
      <c r="F220" s="94">
        <f>Accounts!Q220</f>
        <v/>
      </c>
      <c r="G220" s="94">
        <f>Accounts!R220</f>
        <v/>
      </c>
      <c r="H220" s="94">
        <f>Accounts!I220</f>
        <v/>
      </c>
      <c r="I220" s="94">
        <f>Accounts!J220</f>
        <v/>
      </c>
      <c r="J220" s="93">
        <f>Accounts!S220</f>
        <v/>
      </c>
      <c r="K220" s="88" t="n"/>
      <c r="L220" s="95" t="n"/>
      <c r="M220" s="55" t="b">
        <v>0</v>
      </c>
      <c r="N220" s="96" t="b">
        <v>0</v>
      </c>
      <c r="O220" s="55" t="b">
        <v>0</v>
      </c>
      <c r="P220" s="55" t="b">
        <v>0</v>
      </c>
      <c r="Q220" s="55" t="b">
        <v>0</v>
      </c>
      <c r="R220" s="55" t="b">
        <v>0</v>
      </c>
      <c r="S220" s="55" t="b">
        <v>0</v>
      </c>
      <c r="T220" s="55" t="b">
        <v>0</v>
      </c>
      <c r="U220" s="55" t="b">
        <v>0</v>
      </c>
      <c r="V220" s="55" t="b">
        <v>0</v>
      </c>
    </row>
    <row r="221" ht="69" customHeight="1" s="211">
      <c r="A221" s="92">
        <f>Accounts!A221</f>
        <v/>
      </c>
      <c r="B221" s="12" t="b">
        <v>0</v>
      </c>
      <c r="C221" s="93">
        <f>Accounts!N221</f>
        <v/>
      </c>
      <c r="D221" s="94" t="n"/>
      <c r="E221" s="93">
        <f>Accounts!F221</f>
        <v/>
      </c>
      <c r="F221" s="94">
        <f>Accounts!Q221</f>
        <v/>
      </c>
      <c r="G221" s="94">
        <f>Accounts!R221</f>
        <v/>
      </c>
      <c r="H221" s="94">
        <f>Accounts!I221</f>
        <v/>
      </c>
      <c r="I221" s="94">
        <f>Accounts!J221</f>
        <v/>
      </c>
      <c r="J221" s="93">
        <f>Accounts!S221</f>
        <v/>
      </c>
      <c r="K221" s="88" t="n"/>
      <c r="L221" s="95" t="n"/>
      <c r="M221" s="55" t="b">
        <v>0</v>
      </c>
      <c r="N221" s="96" t="b">
        <v>0</v>
      </c>
      <c r="O221" s="55" t="b">
        <v>0</v>
      </c>
      <c r="P221" s="55" t="b">
        <v>0</v>
      </c>
      <c r="Q221" s="55" t="b">
        <v>0</v>
      </c>
      <c r="R221" s="55" t="b">
        <v>0</v>
      </c>
      <c r="S221" s="55" t="b">
        <v>0</v>
      </c>
      <c r="T221" s="55" t="b">
        <v>0</v>
      </c>
      <c r="U221" s="55" t="b">
        <v>0</v>
      </c>
      <c r="V221" s="55" t="b">
        <v>0</v>
      </c>
    </row>
    <row r="222" ht="69" customHeight="1" s="211">
      <c r="A222" s="92">
        <f>Accounts!A222</f>
        <v/>
      </c>
      <c r="B222" s="12" t="b">
        <v>0</v>
      </c>
      <c r="C222" s="93">
        <f>Accounts!N222</f>
        <v/>
      </c>
      <c r="D222" s="94" t="n"/>
      <c r="E222" s="93">
        <f>Accounts!F222</f>
        <v/>
      </c>
      <c r="F222" s="94">
        <f>Accounts!Q222</f>
        <v/>
      </c>
      <c r="G222" s="94">
        <f>Accounts!R222</f>
        <v/>
      </c>
      <c r="H222" s="94">
        <f>Accounts!I222</f>
        <v/>
      </c>
      <c r="I222" s="94">
        <f>Accounts!J222</f>
        <v/>
      </c>
      <c r="J222" s="93">
        <f>Accounts!S222</f>
        <v/>
      </c>
      <c r="K222" s="88" t="n"/>
      <c r="L222" s="95" t="n"/>
      <c r="M222" s="55" t="b">
        <v>0</v>
      </c>
      <c r="N222" s="96" t="b">
        <v>0</v>
      </c>
      <c r="O222" s="55" t="b">
        <v>0</v>
      </c>
      <c r="P222" s="55" t="b">
        <v>0</v>
      </c>
      <c r="Q222" s="55" t="b">
        <v>0</v>
      </c>
      <c r="R222" s="55" t="b">
        <v>0</v>
      </c>
      <c r="S222" s="55" t="b">
        <v>0</v>
      </c>
      <c r="T222" s="55" t="b">
        <v>0</v>
      </c>
      <c r="U222" s="55" t="b">
        <v>0</v>
      </c>
      <c r="V222" s="55" t="b">
        <v>0</v>
      </c>
    </row>
    <row r="223" ht="69" customHeight="1" s="211">
      <c r="A223" s="92">
        <f>Accounts!A223</f>
        <v/>
      </c>
      <c r="B223" s="12" t="b">
        <v>0</v>
      </c>
      <c r="C223" s="93">
        <f>Accounts!N223</f>
        <v/>
      </c>
      <c r="D223" s="94" t="n"/>
      <c r="E223" s="93">
        <f>Accounts!F223</f>
        <v/>
      </c>
      <c r="F223" s="94">
        <f>Accounts!Q223</f>
        <v/>
      </c>
      <c r="G223" s="94">
        <f>Accounts!R223</f>
        <v/>
      </c>
      <c r="H223" s="94">
        <f>Accounts!I223</f>
        <v/>
      </c>
      <c r="I223" s="94">
        <f>Accounts!J223</f>
        <v/>
      </c>
      <c r="J223" s="93">
        <f>Accounts!S223</f>
        <v/>
      </c>
      <c r="K223" s="88" t="n"/>
      <c r="L223" s="95" t="n"/>
      <c r="M223" s="55" t="b">
        <v>0</v>
      </c>
      <c r="N223" s="96" t="b">
        <v>0</v>
      </c>
      <c r="O223" s="55" t="b">
        <v>0</v>
      </c>
      <c r="P223" s="55" t="b">
        <v>0</v>
      </c>
      <c r="Q223" s="55" t="b">
        <v>0</v>
      </c>
      <c r="R223" s="55" t="b">
        <v>0</v>
      </c>
      <c r="S223" s="55" t="b">
        <v>0</v>
      </c>
      <c r="T223" s="55" t="b">
        <v>0</v>
      </c>
      <c r="U223" s="55" t="b">
        <v>0</v>
      </c>
      <c r="V223" s="55" t="b">
        <v>0</v>
      </c>
    </row>
    <row r="224" ht="69" customHeight="1" s="211">
      <c r="A224" s="92">
        <f>Accounts!A224</f>
        <v/>
      </c>
      <c r="B224" s="12" t="b">
        <v>0</v>
      </c>
      <c r="C224" s="93">
        <f>Accounts!N224</f>
        <v/>
      </c>
      <c r="D224" s="94" t="n"/>
      <c r="E224" s="93">
        <f>Accounts!F224</f>
        <v/>
      </c>
      <c r="F224" s="94">
        <f>Accounts!Q224</f>
        <v/>
      </c>
      <c r="G224" s="94">
        <f>Accounts!R224</f>
        <v/>
      </c>
      <c r="H224" s="94">
        <f>Accounts!I224</f>
        <v/>
      </c>
      <c r="I224" s="94">
        <f>Accounts!J224</f>
        <v/>
      </c>
      <c r="J224" s="93">
        <f>Accounts!S224</f>
        <v/>
      </c>
      <c r="K224" s="88" t="n"/>
      <c r="L224" s="95" t="n"/>
      <c r="M224" s="55" t="b">
        <v>0</v>
      </c>
      <c r="N224" s="96" t="b">
        <v>0</v>
      </c>
      <c r="O224" s="55" t="b">
        <v>0</v>
      </c>
      <c r="P224" s="55" t="b">
        <v>0</v>
      </c>
      <c r="Q224" s="55" t="b">
        <v>0</v>
      </c>
      <c r="R224" s="55" t="b">
        <v>0</v>
      </c>
      <c r="S224" s="55" t="b">
        <v>0</v>
      </c>
      <c r="T224" s="55" t="b">
        <v>0</v>
      </c>
      <c r="U224" s="55" t="b">
        <v>0</v>
      </c>
      <c r="V224" s="55" t="b">
        <v>0</v>
      </c>
    </row>
    <row r="225" ht="69" customHeight="1" s="211">
      <c r="A225" s="92">
        <f>Accounts!A225</f>
        <v/>
      </c>
      <c r="B225" s="12" t="b">
        <v>0</v>
      </c>
      <c r="C225" s="93">
        <f>Accounts!N225</f>
        <v/>
      </c>
      <c r="D225" s="94" t="n"/>
      <c r="E225" s="93">
        <f>Accounts!F225</f>
        <v/>
      </c>
      <c r="F225" s="94">
        <f>Accounts!Q225</f>
        <v/>
      </c>
      <c r="G225" s="94">
        <f>Accounts!R225</f>
        <v/>
      </c>
      <c r="H225" s="94">
        <f>Accounts!I225</f>
        <v/>
      </c>
      <c r="I225" s="94">
        <f>Accounts!J225</f>
        <v/>
      </c>
      <c r="J225" s="93">
        <f>Accounts!S225</f>
        <v/>
      </c>
      <c r="K225" s="88" t="n"/>
      <c r="L225" s="95" t="n"/>
      <c r="M225" s="55" t="b">
        <v>0</v>
      </c>
      <c r="N225" s="96" t="b">
        <v>0</v>
      </c>
      <c r="O225" s="55" t="b">
        <v>0</v>
      </c>
      <c r="P225" s="55" t="b">
        <v>0</v>
      </c>
      <c r="Q225" s="55" t="b">
        <v>0</v>
      </c>
      <c r="R225" s="55" t="b">
        <v>0</v>
      </c>
      <c r="S225" s="55" t="b">
        <v>0</v>
      </c>
      <c r="T225" s="55" t="b">
        <v>0</v>
      </c>
      <c r="U225" s="55" t="b">
        <v>0</v>
      </c>
      <c r="V225" s="55" t="b">
        <v>0</v>
      </c>
    </row>
    <row r="226" ht="69" customHeight="1" s="211">
      <c r="A226" s="92">
        <f>Accounts!A226</f>
        <v/>
      </c>
      <c r="B226" s="12" t="b">
        <v>0</v>
      </c>
      <c r="C226" s="93">
        <f>Accounts!N226</f>
        <v/>
      </c>
      <c r="D226" s="94" t="n"/>
      <c r="E226" s="93">
        <f>Accounts!F226</f>
        <v/>
      </c>
      <c r="F226" s="94">
        <f>Accounts!Q226</f>
        <v/>
      </c>
      <c r="G226" s="94">
        <f>Accounts!R226</f>
        <v/>
      </c>
      <c r="H226" s="94">
        <f>Accounts!I226</f>
        <v/>
      </c>
      <c r="I226" s="94">
        <f>Accounts!J226</f>
        <v/>
      </c>
      <c r="J226" s="93">
        <f>Accounts!S226</f>
        <v/>
      </c>
      <c r="K226" s="88" t="n"/>
      <c r="L226" s="95" t="n"/>
      <c r="M226" s="55" t="b">
        <v>0</v>
      </c>
      <c r="N226" s="96" t="b">
        <v>0</v>
      </c>
      <c r="O226" s="55" t="b">
        <v>0</v>
      </c>
      <c r="P226" s="55" t="b">
        <v>0</v>
      </c>
      <c r="Q226" s="55" t="b">
        <v>0</v>
      </c>
      <c r="R226" s="55" t="b">
        <v>0</v>
      </c>
      <c r="S226" s="55" t="b">
        <v>0</v>
      </c>
      <c r="T226" s="55" t="b">
        <v>0</v>
      </c>
      <c r="U226" s="55" t="b">
        <v>0</v>
      </c>
      <c r="V226" s="55" t="b">
        <v>0</v>
      </c>
    </row>
    <row r="227" ht="69" customHeight="1" s="211">
      <c r="A227" s="92">
        <f>Accounts!A227</f>
        <v/>
      </c>
      <c r="B227" s="12" t="b">
        <v>0</v>
      </c>
      <c r="C227" s="93">
        <f>Accounts!N227</f>
        <v/>
      </c>
      <c r="D227" s="94" t="n"/>
      <c r="E227" s="93">
        <f>Accounts!F227</f>
        <v/>
      </c>
      <c r="F227" s="94">
        <f>Accounts!Q227</f>
        <v/>
      </c>
      <c r="G227" s="94">
        <f>Accounts!R227</f>
        <v/>
      </c>
      <c r="H227" s="94">
        <f>Accounts!I227</f>
        <v/>
      </c>
      <c r="I227" s="94">
        <f>Accounts!J227</f>
        <v/>
      </c>
      <c r="J227" s="93">
        <f>Accounts!S227</f>
        <v/>
      </c>
      <c r="K227" s="88" t="n"/>
      <c r="L227" s="95" t="n"/>
      <c r="M227" s="55" t="b">
        <v>0</v>
      </c>
      <c r="N227" s="96" t="b">
        <v>0</v>
      </c>
      <c r="O227" s="55" t="b">
        <v>0</v>
      </c>
      <c r="P227" s="55" t="b">
        <v>0</v>
      </c>
      <c r="Q227" s="55" t="b">
        <v>0</v>
      </c>
      <c r="R227" s="55" t="b">
        <v>0</v>
      </c>
      <c r="S227" s="55" t="b">
        <v>0</v>
      </c>
      <c r="T227" s="55" t="b">
        <v>0</v>
      </c>
      <c r="U227" s="55" t="b">
        <v>0</v>
      </c>
      <c r="V227" s="55" t="b">
        <v>0</v>
      </c>
    </row>
    <row r="228" ht="69" customHeight="1" s="211">
      <c r="A228" s="92">
        <f>Accounts!A228</f>
        <v/>
      </c>
      <c r="B228" s="12" t="b">
        <v>0</v>
      </c>
      <c r="C228" s="93">
        <f>Accounts!N228</f>
        <v/>
      </c>
      <c r="D228" s="94" t="n"/>
      <c r="E228" s="93">
        <f>Accounts!F228</f>
        <v/>
      </c>
      <c r="F228" s="94">
        <f>Accounts!Q228</f>
        <v/>
      </c>
      <c r="G228" s="94">
        <f>Accounts!R228</f>
        <v/>
      </c>
      <c r="H228" s="94">
        <f>Accounts!I228</f>
        <v/>
      </c>
      <c r="I228" s="94">
        <f>Accounts!J228</f>
        <v/>
      </c>
      <c r="J228" s="93">
        <f>Accounts!S228</f>
        <v/>
      </c>
      <c r="K228" s="88" t="n"/>
      <c r="L228" s="95" t="n"/>
      <c r="M228" s="55" t="b">
        <v>0</v>
      </c>
      <c r="N228" s="96" t="b">
        <v>0</v>
      </c>
      <c r="O228" s="55" t="b">
        <v>0</v>
      </c>
      <c r="P228" s="55" t="b">
        <v>0</v>
      </c>
      <c r="Q228" s="55" t="b">
        <v>0</v>
      </c>
      <c r="R228" s="55" t="b">
        <v>0</v>
      </c>
      <c r="S228" s="55" t="b">
        <v>0</v>
      </c>
      <c r="T228" s="55" t="b">
        <v>0</v>
      </c>
      <c r="U228" s="55" t="b">
        <v>0</v>
      </c>
      <c r="V228" s="55" t="b">
        <v>0</v>
      </c>
    </row>
    <row r="229" ht="69" customHeight="1" s="211">
      <c r="A229" s="92">
        <f>Accounts!A229</f>
        <v/>
      </c>
      <c r="B229" s="12" t="b">
        <v>0</v>
      </c>
      <c r="C229" s="93">
        <f>Accounts!N229</f>
        <v/>
      </c>
      <c r="D229" s="94" t="n"/>
      <c r="E229" s="93">
        <f>Accounts!F229</f>
        <v/>
      </c>
      <c r="F229" s="94">
        <f>Accounts!Q229</f>
        <v/>
      </c>
      <c r="G229" s="94">
        <f>Accounts!R229</f>
        <v/>
      </c>
      <c r="H229" s="94">
        <f>Accounts!I229</f>
        <v/>
      </c>
      <c r="I229" s="94">
        <f>Accounts!J229</f>
        <v/>
      </c>
      <c r="J229" s="93">
        <f>Accounts!S229</f>
        <v/>
      </c>
      <c r="K229" s="88" t="n"/>
      <c r="L229" s="95" t="n"/>
      <c r="M229" s="55" t="b">
        <v>0</v>
      </c>
      <c r="N229" s="96" t="b">
        <v>0</v>
      </c>
      <c r="O229" s="55" t="b">
        <v>0</v>
      </c>
      <c r="P229" s="55" t="b">
        <v>0</v>
      </c>
      <c r="Q229" s="55" t="b">
        <v>0</v>
      </c>
      <c r="R229" s="55" t="b">
        <v>0</v>
      </c>
      <c r="S229" s="55" t="b">
        <v>0</v>
      </c>
      <c r="T229" s="55" t="b">
        <v>0</v>
      </c>
      <c r="U229" s="55" t="b">
        <v>0</v>
      </c>
      <c r="V229" s="55" t="b">
        <v>0</v>
      </c>
    </row>
    <row r="230" ht="69" customHeight="1" s="211">
      <c r="A230" s="92">
        <f>Accounts!A230</f>
        <v/>
      </c>
      <c r="B230" s="12" t="b">
        <v>0</v>
      </c>
      <c r="C230" s="93">
        <f>Accounts!N230</f>
        <v/>
      </c>
      <c r="D230" s="94" t="n"/>
      <c r="E230" s="93">
        <f>Accounts!F230</f>
        <v/>
      </c>
      <c r="F230" s="94">
        <f>Accounts!Q230</f>
        <v/>
      </c>
      <c r="G230" s="94">
        <f>Accounts!R230</f>
        <v/>
      </c>
      <c r="H230" s="94">
        <f>Accounts!I230</f>
        <v/>
      </c>
      <c r="I230" s="94">
        <f>Accounts!J230</f>
        <v/>
      </c>
      <c r="J230" s="93">
        <f>Accounts!S230</f>
        <v/>
      </c>
      <c r="K230" s="88" t="n"/>
      <c r="L230" s="95" t="n"/>
      <c r="M230" s="55" t="b">
        <v>0</v>
      </c>
      <c r="N230" s="96" t="b">
        <v>0</v>
      </c>
      <c r="O230" s="55" t="b">
        <v>0</v>
      </c>
      <c r="P230" s="55" t="b">
        <v>0</v>
      </c>
      <c r="Q230" s="55" t="b">
        <v>0</v>
      </c>
      <c r="R230" s="55" t="b">
        <v>0</v>
      </c>
      <c r="S230" s="55" t="b">
        <v>0</v>
      </c>
      <c r="T230" s="55" t="b">
        <v>0</v>
      </c>
      <c r="U230" s="55" t="b">
        <v>0</v>
      </c>
      <c r="V230" s="55" t="b">
        <v>0</v>
      </c>
    </row>
    <row r="231" ht="69" customHeight="1" s="211">
      <c r="A231" s="92">
        <f>Accounts!A231</f>
        <v/>
      </c>
      <c r="B231" s="12" t="b">
        <v>0</v>
      </c>
      <c r="C231" s="93">
        <f>Accounts!N231</f>
        <v/>
      </c>
      <c r="D231" s="94" t="n"/>
      <c r="E231" s="93">
        <f>Accounts!F231</f>
        <v/>
      </c>
      <c r="F231" s="94">
        <f>Accounts!Q231</f>
        <v/>
      </c>
      <c r="G231" s="94">
        <f>Accounts!R231</f>
        <v/>
      </c>
      <c r="H231" s="94">
        <f>Accounts!I231</f>
        <v/>
      </c>
      <c r="I231" s="94">
        <f>Accounts!J231</f>
        <v/>
      </c>
      <c r="J231" s="93">
        <f>Accounts!S231</f>
        <v/>
      </c>
      <c r="K231" s="88" t="n"/>
      <c r="L231" s="95" t="n"/>
      <c r="M231" s="55" t="b">
        <v>0</v>
      </c>
      <c r="N231" s="96" t="b">
        <v>0</v>
      </c>
      <c r="O231" s="55" t="b">
        <v>0</v>
      </c>
      <c r="P231" s="55" t="b">
        <v>0</v>
      </c>
      <c r="Q231" s="55" t="b">
        <v>0</v>
      </c>
      <c r="R231" s="55" t="b">
        <v>0</v>
      </c>
      <c r="S231" s="55" t="b">
        <v>0</v>
      </c>
      <c r="T231" s="55" t="b">
        <v>0</v>
      </c>
      <c r="U231" s="55" t="b">
        <v>0</v>
      </c>
      <c r="V231" s="55" t="b">
        <v>0</v>
      </c>
    </row>
    <row r="232" ht="69" customHeight="1" s="211">
      <c r="A232" s="92">
        <f>Accounts!A232</f>
        <v/>
      </c>
      <c r="B232" s="12" t="b">
        <v>0</v>
      </c>
      <c r="C232" s="93">
        <f>Accounts!N232</f>
        <v/>
      </c>
      <c r="D232" s="94" t="n"/>
      <c r="E232" s="93">
        <f>Accounts!F232</f>
        <v/>
      </c>
      <c r="F232" s="94">
        <f>Accounts!Q232</f>
        <v/>
      </c>
      <c r="G232" s="94">
        <f>Accounts!R232</f>
        <v/>
      </c>
      <c r="H232" s="94">
        <f>Accounts!I232</f>
        <v/>
      </c>
      <c r="I232" s="94">
        <f>Accounts!J232</f>
        <v/>
      </c>
      <c r="J232" s="93">
        <f>Accounts!S232</f>
        <v/>
      </c>
      <c r="K232" s="88" t="n"/>
      <c r="L232" s="95" t="n"/>
      <c r="M232" s="55" t="b">
        <v>0</v>
      </c>
      <c r="N232" s="96" t="b">
        <v>0</v>
      </c>
      <c r="O232" s="55" t="b">
        <v>0</v>
      </c>
      <c r="P232" s="55" t="b">
        <v>0</v>
      </c>
      <c r="Q232" s="55" t="b">
        <v>0</v>
      </c>
      <c r="R232" s="55" t="b">
        <v>0</v>
      </c>
      <c r="S232" s="55" t="b">
        <v>0</v>
      </c>
      <c r="T232" s="55" t="b">
        <v>0</v>
      </c>
      <c r="U232" s="55" t="b">
        <v>0</v>
      </c>
      <c r="V232" s="55" t="b">
        <v>0</v>
      </c>
    </row>
    <row r="233" ht="69" customHeight="1" s="211">
      <c r="A233" s="92">
        <f>Accounts!A233</f>
        <v/>
      </c>
      <c r="B233" s="12" t="b">
        <v>0</v>
      </c>
      <c r="C233" s="93">
        <f>Accounts!N233</f>
        <v/>
      </c>
      <c r="D233" s="94" t="n"/>
      <c r="E233" s="93">
        <f>Accounts!F233</f>
        <v/>
      </c>
      <c r="F233" s="94">
        <f>Accounts!Q233</f>
        <v/>
      </c>
      <c r="G233" s="94">
        <f>Accounts!R233</f>
        <v/>
      </c>
      <c r="H233" s="94">
        <f>Accounts!I233</f>
        <v/>
      </c>
      <c r="I233" s="94">
        <f>Accounts!J233</f>
        <v/>
      </c>
      <c r="J233" s="93">
        <f>Accounts!S233</f>
        <v/>
      </c>
      <c r="K233" s="88" t="n"/>
      <c r="L233" s="95" t="n"/>
      <c r="M233" s="55" t="b">
        <v>0</v>
      </c>
      <c r="N233" s="96" t="b">
        <v>0</v>
      </c>
      <c r="O233" s="55" t="b">
        <v>0</v>
      </c>
      <c r="P233" s="55" t="b">
        <v>0</v>
      </c>
      <c r="Q233" s="55" t="b">
        <v>0</v>
      </c>
      <c r="R233" s="55" t="b">
        <v>0</v>
      </c>
      <c r="S233" s="55" t="b">
        <v>0</v>
      </c>
      <c r="T233" s="55" t="b">
        <v>0</v>
      </c>
      <c r="U233" s="55" t="b">
        <v>0</v>
      </c>
      <c r="V233" s="55" t="b">
        <v>0</v>
      </c>
    </row>
    <row r="234" ht="69" customHeight="1" s="211">
      <c r="A234" s="92">
        <f>Accounts!A234</f>
        <v/>
      </c>
      <c r="B234" s="12" t="b">
        <v>0</v>
      </c>
      <c r="C234" s="93">
        <f>Accounts!N234</f>
        <v/>
      </c>
      <c r="D234" s="94" t="n"/>
      <c r="E234" s="93">
        <f>Accounts!F234</f>
        <v/>
      </c>
      <c r="F234" s="94">
        <f>Accounts!Q234</f>
        <v/>
      </c>
      <c r="G234" s="94">
        <f>Accounts!R234</f>
        <v/>
      </c>
      <c r="H234" s="94">
        <f>Accounts!I234</f>
        <v/>
      </c>
      <c r="I234" s="94">
        <f>Accounts!J234</f>
        <v/>
      </c>
      <c r="J234" s="93">
        <f>Accounts!S234</f>
        <v/>
      </c>
      <c r="K234" s="88" t="n"/>
      <c r="L234" s="95" t="n"/>
      <c r="M234" s="55" t="b">
        <v>0</v>
      </c>
      <c r="N234" s="96" t="b">
        <v>0</v>
      </c>
      <c r="O234" s="55" t="b">
        <v>0</v>
      </c>
      <c r="P234" s="55" t="b">
        <v>0</v>
      </c>
      <c r="Q234" s="55" t="b">
        <v>0</v>
      </c>
      <c r="R234" s="55" t="b">
        <v>0</v>
      </c>
      <c r="S234" s="55" t="b">
        <v>0</v>
      </c>
      <c r="T234" s="55" t="b">
        <v>0</v>
      </c>
      <c r="U234" s="55" t="b">
        <v>0</v>
      </c>
      <c r="V234" s="55" t="b">
        <v>0</v>
      </c>
    </row>
    <row r="235" ht="69" customHeight="1" s="211">
      <c r="A235" s="92">
        <f>Accounts!A235</f>
        <v/>
      </c>
      <c r="B235" s="12" t="b">
        <v>0</v>
      </c>
      <c r="C235" s="93">
        <f>Accounts!N235</f>
        <v/>
      </c>
      <c r="D235" s="94" t="n"/>
      <c r="E235" s="93">
        <f>Accounts!F235</f>
        <v/>
      </c>
      <c r="F235" s="94">
        <f>Accounts!Q235</f>
        <v/>
      </c>
      <c r="G235" s="94">
        <f>Accounts!R235</f>
        <v/>
      </c>
      <c r="H235" s="94">
        <f>Accounts!I235</f>
        <v/>
      </c>
      <c r="I235" s="94">
        <f>Accounts!J235</f>
        <v/>
      </c>
      <c r="J235" s="93">
        <f>Accounts!S235</f>
        <v/>
      </c>
      <c r="K235" s="88" t="n"/>
      <c r="L235" s="95" t="n"/>
      <c r="M235" s="55" t="b">
        <v>0</v>
      </c>
      <c r="N235" s="96" t="b">
        <v>0</v>
      </c>
      <c r="O235" s="55" t="b">
        <v>0</v>
      </c>
      <c r="P235" s="55" t="b">
        <v>0</v>
      </c>
      <c r="Q235" s="55" t="b">
        <v>0</v>
      </c>
      <c r="R235" s="55" t="b">
        <v>0</v>
      </c>
      <c r="S235" s="55" t="b">
        <v>0</v>
      </c>
      <c r="T235" s="55" t="b">
        <v>0</v>
      </c>
      <c r="U235" s="55" t="b">
        <v>0</v>
      </c>
      <c r="V235" s="55" t="b">
        <v>0</v>
      </c>
    </row>
    <row r="236" ht="69" customHeight="1" s="211">
      <c r="A236" s="92">
        <f>Accounts!A236</f>
        <v/>
      </c>
      <c r="B236" s="12" t="b">
        <v>0</v>
      </c>
      <c r="C236" s="93">
        <f>Accounts!N236</f>
        <v/>
      </c>
      <c r="D236" s="94" t="n"/>
      <c r="E236" s="93">
        <f>Accounts!F236</f>
        <v/>
      </c>
      <c r="F236" s="94">
        <f>Accounts!Q236</f>
        <v/>
      </c>
      <c r="G236" s="94">
        <f>Accounts!R236</f>
        <v/>
      </c>
      <c r="H236" s="94">
        <f>Accounts!I236</f>
        <v/>
      </c>
      <c r="I236" s="94">
        <f>Accounts!J236</f>
        <v/>
      </c>
      <c r="J236" s="93">
        <f>Accounts!S236</f>
        <v/>
      </c>
      <c r="K236" s="88" t="n"/>
      <c r="L236" s="95" t="n"/>
      <c r="M236" s="55" t="b">
        <v>0</v>
      </c>
      <c r="N236" s="96" t="b">
        <v>0</v>
      </c>
      <c r="O236" s="55" t="b">
        <v>0</v>
      </c>
      <c r="P236" s="55" t="b">
        <v>0</v>
      </c>
      <c r="Q236" s="55" t="b">
        <v>0</v>
      </c>
      <c r="R236" s="55" t="b">
        <v>0</v>
      </c>
      <c r="S236" s="55" t="b">
        <v>0</v>
      </c>
      <c r="T236" s="55" t="b">
        <v>0</v>
      </c>
      <c r="U236" s="55" t="b">
        <v>0</v>
      </c>
      <c r="V236" s="55" t="b">
        <v>0</v>
      </c>
    </row>
    <row r="237" ht="69" customHeight="1" s="211">
      <c r="A237" s="92">
        <f>Accounts!A237</f>
        <v/>
      </c>
      <c r="B237" s="12" t="b">
        <v>0</v>
      </c>
      <c r="C237" s="93">
        <f>Accounts!N237</f>
        <v/>
      </c>
      <c r="D237" s="94" t="n"/>
      <c r="E237" s="93">
        <f>Accounts!F237</f>
        <v/>
      </c>
      <c r="F237" s="94">
        <f>Accounts!Q237</f>
        <v/>
      </c>
      <c r="G237" s="94">
        <f>Accounts!R237</f>
        <v/>
      </c>
      <c r="H237" s="94">
        <f>Accounts!I237</f>
        <v/>
      </c>
      <c r="I237" s="94">
        <f>Accounts!J237</f>
        <v/>
      </c>
      <c r="J237" s="93">
        <f>Accounts!S237</f>
        <v/>
      </c>
      <c r="K237" s="88" t="n"/>
      <c r="L237" s="95" t="n"/>
      <c r="M237" s="55" t="b">
        <v>0</v>
      </c>
      <c r="N237" s="96" t="b">
        <v>0</v>
      </c>
      <c r="O237" s="55" t="b">
        <v>0</v>
      </c>
      <c r="P237" s="55" t="b">
        <v>0</v>
      </c>
      <c r="Q237" s="55" t="b">
        <v>0</v>
      </c>
      <c r="R237" s="55" t="b">
        <v>0</v>
      </c>
      <c r="S237" s="55" t="b">
        <v>0</v>
      </c>
      <c r="T237" s="55" t="b">
        <v>0</v>
      </c>
      <c r="U237" s="55" t="b">
        <v>0</v>
      </c>
      <c r="V237" s="55" t="b">
        <v>0</v>
      </c>
    </row>
    <row r="238" ht="69" customHeight="1" s="211">
      <c r="A238" s="92">
        <f>Accounts!A238</f>
        <v/>
      </c>
      <c r="B238" s="12" t="b">
        <v>0</v>
      </c>
      <c r="C238" s="93">
        <f>Accounts!N238</f>
        <v/>
      </c>
      <c r="D238" s="94" t="n"/>
      <c r="E238" s="93">
        <f>Accounts!F238</f>
        <v/>
      </c>
      <c r="F238" s="94">
        <f>Accounts!Q238</f>
        <v/>
      </c>
      <c r="G238" s="94">
        <f>Accounts!R238</f>
        <v/>
      </c>
      <c r="H238" s="94">
        <f>Accounts!I238</f>
        <v/>
      </c>
      <c r="I238" s="94">
        <f>Accounts!J238</f>
        <v/>
      </c>
      <c r="J238" s="93">
        <f>Accounts!S238</f>
        <v/>
      </c>
      <c r="K238" s="88" t="n"/>
      <c r="L238" s="95" t="n"/>
      <c r="M238" s="55" t="b">
        <v>0</v>
      </c>
      <c r="N238" s="96" t="b">
        <v>0</v>
      </c>
      <c r="O238" s="55" t="b">
        <v>0</v>
      </c>
      <c r="P238" s="55" t="b">
        <v>0</v>
      </c>
      <c r="Q238" s="55" t="b">
        <v>0</v>
      </c>
      <c r="R238" s="55" t="b">
        <v>0</v>
      </c>
      <c r="S238" s="55" t="b">
        <v>0</v>
      </c>
      <c r="T238" s="55" t="b">
        <v>0</v>
      </c>
      <c r="U238" s="55" t="b">
        <v>0</v>
      </c>
      <c r="V238" s="55" t="b">
        <v>0</v>
      </c>
    </row>
    <row r="239" ht="69" customHeight="1" s="211">
      <c r="A239" s="92">
        <f>Accounts!A239</f>
        <v/>
      </c>
      <c r="B239" s="12" t="b">
        <v>0</v>
      </c>
      <c r="C239" s="93">
        <f>Accounts!N239</f>
        <v/>
      </c>
      <c r="D239" s="94" t="n"/>
      <c r="E239" s="93">
        <f>Accounts!F239</f>
        <v/>
      </c>
      <c r="F239" s="94">
        <f>Accounts!Q239</f>
        <v/>
      </c>
      <c r="G239" s="94">
        <f>Accounts!R239</f>
        <v/>
      </c>
      <c r="H239" s="94">
        <f>Accounts!I239</f>
        <v/>
      </c>
      <c r="I239" s="94">
        <f>Accounts!J239</f>
        <v/>
      </c>
      <c r="J239" s="93">
        <f>Accounts!S239</f>
        <v/>
      </c>
      <c r="K239" s="88" t="n"/>
      <c r="L239" s="95" t="n"/>
      <c r="M239" s="55" t="b">
        <v>0</v>
      </c>
      <c r="N239" s="96" t="b">
        <v>0</v>
      </c>
      <c r="O239" s="55" t="b">
        <v>0</v>
      </c>
      <c r="P239" s="55" t="b">
        <v>0</v>
      </c>
      <c r="Q239" s="55" t="b">
        <v>0</v>
      </c>
      <c r="R239" s="55" t="b">
        <v>0</v>
      </c>
      <c r="S239" s="55" t="b">
        <v>0</v>
      </c>
      <c r="T239" s="55" t="b">
        <v>0</v>
      </c>
      <c r="U239" s="55" t="b">
        <v>0</v>
      </c>
      <c r="V239" s="55" t="b">
        <v>0</v>
      </c>
    </row>
    <row r="240" ht="69" customHeight="1" s="211">
      <c r="A240" s="92">
        <f>Accounts!A240</f>
        <v/>
      </c>
      <c r="B240" s="12" t="b">
        <v>0</v>
      </c>
      <c r="C240" s="93">
        <f>Accounts!N240</f>
        <v/>
      </c>
      <c r="D240" s="94" t="n"/>
      <c r="E240" s="93">
        <f>Accounts!F240</f>
        <v/>
      </c>
      <c r="F240" s="94">
        <f>Accounts!Q240</f>
        <v/>
      </c>
      <c r="G240" s="94">
        <f>Accounts!R240</f>
        <v/>
      </c>
      <c r="H240" s="94">
        <f>Accounts!I240</f>
        <v/>
      </c>
      <c r="I240" s="94">
        <f>Accounts!J240</f>
        <v/>
      </c>
      <c r="J240" s="93">
        <f>Accounts!S240</f>
        <v/>
      </c>
      <c r="K240" s="88" t="n"/>
      <c r="L240" s="95" t="n"/>
      <c r="M240" s="55" t="b">
        <v>0</v>
      </c>
      <c r="N240" s="96" t="b">
        <v>0</v>
      </c>
      <c r="O240" s="55" t="b">
        <v>0</v>
      </c>
      <c r="P240" s="55" t="b">
        <v>0</v>
      </c>
      <c r="Q240" s="55" t="b">
        <v>0</v>
      </c>
      <c r="R240" s="55" t="b">
        <v>0</v>
      </c>
      <c r="S240" s="55" t="b">
        <v>0</v>
      </c>
      <c r="T240" s="55" t="b">
        <v>0</v>
      </c>
      <c r="U240" s="55" t="b">
        <v>0</v>
      </c>
      <c r="V240" s="55" t="b">
        <v>0</v>
      </c>
    </row>
    <row r="241" ht="69" customHeight="1" s="211">
      <c r="A241" s="92">
        <f>Accounts!A241</f>
        <v/>
      </c>
      <c r="B241" s="12" t="b">
        <v>0</v>
      </c>
      <c r="C241" s="93">
        <f>Accounts!N241</f>
        <v/>
      </c>
      <c r="D241" s="94" t="n"/>
      <c r="E241" s="93">
        <f>Accounts!F241</f>
        <v/>
      </c>
      <c r="F241" s="94">
        <f>Accounts!Q241</f>
        <v/>
      </c>
      <c r="G241" s="94">
        <f>Accounts!R241</f>
        <v/>
      </c>
      <c r="H241" s="94">
        <f>Accounts!I241</f>
        <v/>
      </c>
      <c r="I241" s="94">
        <f>Accounts!J241</f>
        <v/>
      </c>
      <c r="J241" s="93">
        <f>Accounts!S241</f>
        <v/>
      </c>
      <c r="K241" s="88" t="n"/>
      <c r="L241" s="95" t="n"/>
      <c r="M241" s="55" t="b">
        <v>0</v>
      </c>
      <c r="N241" s="96" t="b">
        <v>0</v>
      </c>
      <c r="O241" s="55" t="b">
        <v>0</v>
      </c>
      <c r="P241" s="55" t="b">
        <v>0</v>
      </c>
      <c r="Q241" s="55" t="b">
        <v>0</v>
      </c>
      <c r="R241" s="55" t="b">
        <v>0</v>
      </c>
      <c r="S241" s="55" t="b">
        <v>0</v>
      </c>
      <c r="T241" s="55" t="b">
        <v>0</v>
      </c>
      <c r="U241" s="55" t="b">
        <v>0</v>
      </c>
      <c r="V241" s="55" t="b">
        <v>0</v>
      </c>
    </row>
    <row r="242" ht="69" customHeight="1" s="211">
      <c r="A242" s="92">
        <f>Accounts!A242</f>
        <v/>
      </c>
      <c r="B242" s="12" t="b">
        <v>0</v>
      </c>
      <c r="C242" s="93">
        <f>Accounts!N242</f>
        <v/>
      </c>
      <c r="D242" s="94" t="n"/>
      <c r="E242" s="93">
        <f>Accounts!F242</f>
        <v/>
      </c>
      <c r="F242" s="94">
        <f>Accounts!Q242</f>
        <v/>
      </c>
      <c r="G242" s="94">
        <f>Accounts!R242</f>
        <v/>
      </c>
      <c r="H242" s="94">
        <f>Accounts!I242</f>
        <v/>
      </c>
      <c r="I242" s="94">
        <f>Accounts!J242</f>
        <v/>
      </c>
      <c r="J242" s="93">
        <f>Accounts!S242</f>
        <v/>
      </c>
      <c r="K242" s="88" t="n"/>
      <c r="L242" s="95" t="n"/>
      <c r="M242" s="55" t="b">
        <v>0</v>
      </c>
      <c r="N242" s="96" t="b">
        <v>0</v>
      </c>
      <c r="O242" s="55" t="b">
        <v>0</v>
      </c>
      <c r="P242" s="55" t="b">
        <v>0</v>
      </c>
      <c r="Q242" s="55" t="b">
        <v>0</v>
      </c>
      <c r="R242" s="55" t="b">
        <v>0</v>
      </c>
      <c r="S242" s="55" t="b">
        <v>0</v>
      </c>
      <c r="T242" s="55" t="b">
        <v>0</v>
      </c>
      <c r="U242" s="55" t="b">
        <v>0</v>
      </c>
      <c r="V242" s="55" t="b">
        <v>0</v>
      </c>
    </row>
    <row r="243" ht="69" customHeight="1" s="211">
      <c r="A243" s="92">
        <f>Accounts!A243</f>
        <v/>
      </c>
      <c r="B243" s="12" t="b">
        <v>0</v>
      </c>
      <c r="C243" s="93">
        <f>Accounts!N243</f>
        <v/>
      </c>
      <c r="D243" s="94" t="n"/>
      <c r="E243" s="93">
        <f>Accounts!F243</f>
        <v/>
      </c>
      <c r="F243" s="94">
        <f>Accounts!Q243</f>
        <v/>
      </c>
      <c r="G243" s="94">
        <f>Accounts!R243</f>
        <v/>
      </c>
      <c r="H243" s="94">
        <f>Accounts!I243</f>
        <v/>
      </c>
      <c r="I243" s="94">
        <f>Accounts!J243</f>
        <v/>
      </c>
      <c r="J243" s="93">
        <f>Accounts!S243</f>
        <v/>
      </c>
      <c r="K243" s="88" t="n"/>
      <c r="L243" s="95" t="n"/>
      <c r="M243" s="55" t="b">
        <v>0</v>
      </c>
      <c r="N243" s="96" t="b">
        <v>0</v>
      </c>
      <c r="O243" s="55" t="b">
        <v>0</v>
      </c>
      <c r="P243" s="55" t="b">
        <v>0</v>
      </c>
      <c r="Q243" s="55" t="b">
        <v>0</v>
      </c>
      <c r="R243" s="55" t="b">
        <v>0</v>
      </c>
      <c r="S243" s="55" t="b">
        <v>0</v>
      </c>
      <c r="T243" s="55" t="b">
        <v>0</v>
      </c>
      <c r="U243" s="55" t="b">
        <v>0</v>
      </c>
      <c r="V243" s="55" t="b">
        <v>0</v>
      </c>
    </row>
    <row r="244" ht="69" customHeight="1" s="211">
      <c r="A244" s="92">
        <f>Accounts!A244</f>
        <v/>
      </c>
      <c r="B244" s="12" t="b">
        <v>0</v>
      </c>
      <c r="C244" s="93">
        <f>Accounts!N244</f>
        <v/>
      </c>
      <c r="D244" s="94" t="n"/>
      <c r="E244" s="93">
        <f>Accounts!F244</f>
        <v/>
      </c>
      <c r="F244" s="94">
        <f>Accounts!Q244</f>
        <v/>
      </c>
      <c r="G244" s="94">
        <f>Accounts!R244</f>
        <v/>
      </c>
      <c r="H244" s="94">
        <f>Accounts!I244</f>
        <v/>
      </c>
      <c r="I244" s="94">
        <f>Accounts!J244</f>
        <v/>
      </c>
      <c r="J244" s="93">
        <f>Accounts!S244</f>
        <v/>
      </c>
      <c r="K244" s="88" t="n"/>
      <c r="L244" s="95" t="n"/>
      <c r="M244" s="55" t="b">
        <v>0</v>
      </c>
      <c r="N244" s="96" t="b">
        <v>0</v>
      </c>
      <c r="O244" s="55" t="b">
        <v>0</v>
      </c>
      <c r="P244" s="55" t="b">
        <v>0</v>
      </c>
      <c r="Q244" s="55" t="b">
        <v>0</v>
      </c>
      <c r="R244" s="55" t="b">
        <v>0</v>
      </c>
      <c r="S244" s="55" t="b">
        <v>0</v>
      </c>
      <c r="T244" s="55" t="b">
        <v>0</v>
      </c>
      <c r="U244" s="55" t="b">
        <v>0</v>
      </c>
      <c r="V244" s="55" t="b">
        <v>0</v>
      </c>
    </row>
    <row r="245" ht="69" customHeight="1" s="211">
      <c r="A245" s="92">
        <f>Accounts!A245</f>
        <v/>
      </c>
      <c r="B245" s="12" t="b">
        <v>0</v>
      </c>
      <c r="C245" s="93">
        <f>Accounts!N245</f>
        <v/>
      </c>
      <c r="D245" s="94" t="n"/>
      <c r="E245" s="93">
        <f>Accounts!F245</f>
        <v/>
      </c>
      <c r="F245" s="94">
        <f>Accounts!Q245</f>
        <v/>
      </c>
      <c r="G245" s="94">
        <f>Accounts!R245</f>
        <v/>
      </c>
      <c r="H245" s="94">
        <f>Accounts!I245</f>
        <v/>
      </c>
      <c r="I245" s="94">
        <f>Accounts!J245</f>
        <v/>
      </c>
      <c r="J245" s="93">
        <f>Accounts!S245</f>
        <v/>
      </c>
      <c r="K245" s="88" t="n"/>
      <c r="L245" s="95" t="n"/>
      <c r="M245" s="55" t="b">
        <v>0</v>
      </c>
      <c r="N245" s="96" t="b">
        <v>0</v>
      </c>
      <c r="O245" s="55" t="b">
        <v>0</v>
      </c>
      <c r="P245" s="55" t="b">
        <v>0</v>
      </c>
      <c r="Q245" s="55" t="b">
        <v>0</v>
      </c>
      <c r="R245" s="55" t="b">
        <v>0</v>
      </c>
      <c r="S245" s="55" t="b">
        <v>0</v>
      </c>
      <c r="T245" s="55" t="b">
        <v>0</v>
      </c>
      <c r="U245" s="55" t="b">
        <v>0</v>
      </c>
      <c r="V245" s="55" t="b">
        <v>0</v>
      </c>
    </row>
    <row r="246" ht="69" customHeight="1" s="211">
      <c r="A246" s="92">
        <f>Accounts!A246</f>
        <v/>
      </c>
      <c r="B246" s="12" t="b">
        <v>0</v>
      </c>
      <c r="C246" s="93">
        <f>Accounts!N246</f>
        <v/>
      </c>
      <c r="D246" s="94" t="n"/>
      <c r="E246" s="93">
        <f>Accounts!F246</f>
        <v/>
      </c>
      <c r="F246" s="94">
        <f>Accounts!Q246</f>
        <v/>
      </c>
      <c r="G246" s="94">
        <f>Accounts!R246</f>
        <v/>
      </c>
      <c r="H246" s="94">
        <f>Accounts!I246</f>
        <v/>
      </c>
      <c r="I246" s="94">
        <f>Accounts!J246</f>
        <v/>
      </c>
      <c r="J246" s="93">
        <f>Accounts!S246</f>
        <v/>
      </c>
      <c r="K246" s="88" t="n"/>
      <c r="L246" s="95" t="n"/>
      <c r="M246" s="55" t="b">
        <v>0</v>
      </c>
      <c r="N246" s="96" t="b">
        <v>0</v>
      </c>
      <c r="O246" s="55" t="b">
        <v>0</v>
      </c>
      <c r="P246" s="55" t="b">
        <v>0</v>
      </c>
      <c r="Q246" s="55" t="b">
        <v>0</v>
      </c>
      <c r="R246" s="55" t="b">
        <v>0</v>
      </c>
      <c r="S246" s="55" t="b">
        <v>0</v>
      </c>
      <c r="T246" s="55" t="b">
        <v>0</v>
      </c>
      <c r="U246" s="55" t="b">
        <v>0</v>
      </c>
      <c r="V246" s="55" t="b">
        <v>0</v>
      </c>
    </row>
    <row r="247" ht="69" customHeight="1" s="211">
      <c r="A247" s="92">
        <f>Accounts!A247</f>
        <v/>
      </c>
      <c r="B247" s="12" t="b">
        <v>0</v>
      </c>
      <c r="C247" s="93">
        <f>Accounts!N247</f>
        <v/>
      </c>
      <c r="D247" s="94" t="n"/>
      <c r="E247" s="93">
        <f>Accounts!F247</f>
        <v/>
      </c>
      <c r="F247" s="94">
        <f>Accounts!Q247</f>
        <v/>
      </c>
      <c r="G247" s="94">
        <f>Accounts!R247</f>
        <v/>
      </c>
      <c r="H247" s="94">
        <f>Accounts!I247</f>
        <v/>
      </c>
      <c r="I247" s="94">
        <f>Accounts!J247</f>
        <v/>
      </c>
      <c r="J247" s="93">
        <f>Accounts!S247</f>
        <v/>
      </c>
      <c r="K247" s="88" t="n"/>
      <c r="L247" s="95" t="n"/>
      <c r="M247" s="55" t="b">
        <v>0</v>
      </c>
      <c r="N247" s="96" t="b">
        <v>0</v>
      </c>
      <c r="O247" s="55" t="b">
        <v>0</v>
      </c>
      <c r="P247" s="55" t="b">
        <v>0</v>
      </c>
      <c r="Q247" s="55" t="b">
        <v>0</v>
      </c>
      <c r="R247" s="55" t="b">
        <v>0</v>
      </c>
      <c r="S247" s="55" t="b">
        <v>0</v>
      </c>
      <c r="T247" s="55" t="b">
        <v>0</v>
      </c>
      <c r="U247" s="55" t="b">
        <v>0</v>
      </c>
      <c r="V247" s="55" t="b">
        <v>0</v>
      </c>
    </row>
    <row r="248" ht="69" customHeight="1" s="211">
      <c r="A248" s="92">
        <f>Accounts!A248</f>
        <v/>
      </c>
      <c r="B248" s="12" t="b">
        <v>0</v>
      </c>
      <c r="C248" s="93">
        <f>Accounts!N248</f>
        <v/>
      </c>
      <c r="D248" s="94" t="n"/>
      <c r="E248" s="93">
        <f>Accounts!F248</f>
        <v/>
      </c>
      <c r="F248" s="94">
        <f>Accounts!Q248</f>
        <v/>
      </c>
      <c r="G248" s="94">
        <f>Accounts!R248</f>
        <v/>
      </c>
      <c r="H248" s="94">
        <f>Accounts!I248</f>
        <v/>
      </c>
      <c r="I248" s="94">
        <f>Accounts!J248</f>
        <v/>
      </c>
      <c r="J248" s="93">
        <f>Accounts!S248</f>
        <v/>
      </c>
      <c r="K248" s="88" t="n"/>
      <c r="L248" s="95" t="n"/>
      <c r="M248" s="55" t="b">
        <v>0</v>
      </c>
      <c r="N248" s="96" t="b">
        <v>0</v>
      </c>
      <c r="O248" s="55" t="b">
        <v>0</v>
      </c>
      <c r="P248" s="55" t="b">
        <v>0</v>
      </c>
      <c r="Q248" s="55" t="b">
        <v>0</v>
      </c>
      <c r="R248" s="55" t="b">
        <v>0</v>
      </c>
      <c r="S248" s="55" t="b">
        <v>0</v>
      </c>
      <c r="T248" s="55" t="b">
        <v>0</v>
      </c>
      <c r="U248" s="55" t="b">
        <v>0</v>
      </c>
      <c r="V248" s="55" t="b">
        <v>0</v>
      </c>
    </row>
    <row r="249" ht="69" customHeight="1" s="211">
      <c r="A249" s="92">
        <f>Accounts!A249</f>
        <v/>
      </c>
      <c r="B249" s="12" t="b">
        <v>0</v>
      </c>
      <c r="C249" s="93">
        <f>Accounts!N249</f>
        <v/>
      </c>
      <c r="D249" s="94" t="n"/>
      <c r="E249" s="93">
        <f>Accounts!F249</f>
        <v/>
      </c>
      <c r="F249" s="94">
        <f>Accounts!Q249</f>
        <v/>
      </c>
      <c r="G249" s="94">
        <f>Accounts!R249</f>
        <v/>
      </c>
      <c r="H249" s="94">
        <f>Accounts!I249</f>
        <v/>
      </c>
      <c r="I249" s="94">
        <f>Accounts!J249</f>
        <v/>
      </c>
      <c r="J249" s="93">
        <f>Accounts!S249</f>
        <v/>
      </c>
      <c r="K249" s="88" t="n"/>
      <c r="L249" s="95" t="n"/>
      <c r="M249" s="55" t="b">
        <v>0</v>
      </c>
      <c r="N249" s="96" t="b">
        <v>0</v>
      </c>
      <c r="O249" s="55" t="b">
        <v>0</v>
      </c>
      <c r="P249" s="55" t="b">
        <v>0</v>
      </c>
      <c r="Q249" s="55" t="b">
        <v>0</v>
      </c>
      <c r="R249" s="55" t="b">
        <v>0</v>
      </c>
      <c r="S249" s="55" t="b">
        <v>0</v>
      </c>
      <c r="T249" s="55" t="b">
        <v>0</v>
      </c>
      <c r="U249" s="55" t="b">
        <v>0</v>
      </c>
      <c r="V249" s="55" t="b">
        <v>0</v>
      </c>
    </row>
    <row r="250" ht="69" customHeight="1" s="211">
      <c r="A250" s="92">
        <f>Accounts!A250</f>
        <v/>
      </c>
      <c r="B250" s="12" t="b">
        <v>0</v>
      </c>
      <c r="C250" s="93">
        <f>Accounts!N250</f>
        <v/>
      </c>
      <c r="D250" s="94" t="n"/>
      <c r="E250" s="93">
        <f>Accounts!F250</f>
        <v/>
      </c>
      <c r="F250" s="94">
        <f>Accounts!Q250</f>
        <v/>
      </c>
      <c r="G250" s="94">
        <f>Accounts!R250</f>
        <v/>
      </c>
      <c r="H250" s="94">
        <f>Accounts!I250</f>
        <v/>
      </c>
      <c r="I250" s="94">
        <f>Accounts!J250</f>
        <v/>
      </c>
      <c r="J250" s="93">
        <f>Accounts!S250</f>
        <v/>
      </c>
      <c r="K250" s="88" t="n"/>
      <c r="L250" s="95" t="n"/>
      <c r="M250" s="55" t="b">
        <v>0</v>
      </c>
      <c r="N250" s="96" t="b">
        <v>0</v>
      </c>
      <c r="O250" s="55" t="b">
        <v>0</v>
      </c>
      <c r="P250" s="55" t="b">
        <v>0</v>
      </c>
      <c r="Q250" s="55" t="b">
        <v>0</v>
      </c>
      <c r="R250" s="55" t="b">
        <v>0</v>
      </c>
      <c r="S250" s="55" t="b">
        <v>0</v>
      </c>
      <c r="T250" s="55" t="b">
        <v>0</v>
      </c>
      <c r="U250" s="55" t="b">
        <v>0</v>
      </c>
      <c r="V250" s="55" t="b">
        <v>0</v>
      </c>
    </row>
    <row r="251" ht="69" customHeight="1" s="211">
      <c r="A251" s="92">
        <f>Accounts!A251</f>
        <v/>
      </c>
      <c r="B251" s="12" t="b">
        <v>0</v>
      </c>
      <c r="C251" s="93">
        <f>Accounts!N251</f>
        <v/>
      </c>
      <c r="D251" s="94" t="n"/>
      <c r="E251" s="93">
        <f>Accounts!F251</f>
        <v/>
      </c>
      <c r="F251" s="94">
        <f>Accounts!Q251</f>
        <v/>
      </c>
      <c r="G251" s="94">
        <f>Accounts!R251</f>
        <v/>
      </c>
      <c r="H251" s="94">
        <f>Accounts!I251</f>
        <v/>
      </c>
      <c r="I251" s="94">
        <f>Accounts!J251</f>
        <v/>
      </c>
      <c r="J251" s="93">
        <f>Accounts!S251</f>
        <v/>
      </c>
      <c r="K251" s="88" t="n"/>
      <c r="L251" s="95" t="n"/>
      <c r="M251" s="55" t="b">
        <v>0</v>
      </c>
      <c r="N251" s="96" t="b">
        <v>0</v>
      </c>
      <c r="O251" s="55" t="b">
        <v>0</v>
      </c>
      <c r="P251" s="55" t="b">
        <v>0</v>
      </c>
      <c r="Q251" s="55" t="b">
        <v>0</v>
      </c>
      <c r="R251" s="55" t="b">
        <v>0</v>
      </c>
      <c r="S251" s="55" t="b">
        <v>0</v>
      </c>
      <c r="T251" s="55" t="b">
        <v>0</v>
      </c>
      <c r="U251" s="55" t="b">
        <v>0</v>
      </c>
      <c r="V251" s="55" t="b">
        <v>0</v>
      </c>
    </row>
    <row r="252" ht="69" customHeight="1" s="211">
      <c r="A252" s="92">
        <f>Accounts!A252</f>
        <v/>
      </c>
      <c r="B252" s="12" t="b">
        <v>0</v>
      </c>
      <c r="C252" s="93">
        <f>Accounts!N252</f>
        <v/>
      </c>
      <c r="D252" s="94" t="n"/>
      <c r="E252" s="93">
        <f>Accounts!F252</f>
        <v/>
      </c>
      <c r="F252" s="94">
        <f>Accounts!Q252</f>
        <v/>
      </c>
      <c r="G252" s="94">
        <f>Accounts!R252</f>
        <v/>
      </c>
      <c r="H252" s="94">
        <f>Accounts!I252</f>
        <v/>
      </c>
      <c r="I252" s="94">
        <f>Accounts!J252</f>
        <v/>
      </c>
      <c r="J252" s="93">
        <f>Accounts!S252</f>
        <v/>
      </c>
      <c r="K252" s="88" t="n"/>
      <c r="L252" s="95" t="n"/>
      <c r="M252" s="55" t="b">
        <v>0</v>
      </c>
      <c r="N252" s="96" t="b">
        <v>0</v>
      </c>
      <c r="O252" s="55" t="b">
        <v>0</v>
      </c>
      <c r="P252" s="55" t="b">
        <v>0</v>
      </c>
      <c r="Q252" s="55" t="b">
        <v>0</v>
      </c>
      <c r="R252" s="55" t="b">
        <v>0</v>
      </c>
      <c r="S252" s="55" t="b">
        <v>0</v>
      </c>
      <c r="T252" s="55" t="b">
        <v>0</v>
      </c>
      <c r="U252" s="55" t="b">
        <v>0</v>
      </c>
      <c r="V252" s="55" t="b">
        <v>0</v>
      </c>
    </row>
    <row r="253" ht="69" customHeight="1" s="211">
      <c r="A253" s="92">
        <f>Accounts!A253</f>
        <v/>
      </c>
      <c r="B253" s="12" t="b">
        <v>0</v>
      </c>
      <c r="C253" s="93">
        <f>Accounts!N253</f>
        <v/>
      </c>
      <c r="D253" s="94" t="n"/>
      <c r="E253" s="93">
        <f>Accounts!F253</f>
        <v/>
      </c>
      <c r="F253" s="94">
        <f>Accounts!Q253</f>
        <v/>
      </c>
      <c r="G253" s="94">
        <f>Accounts!R253</f>
        <v/>
      </c>
      <c r="H253" s="94">
        <f>Accounts!I253</f>
        <v/>
      </c>
      <c r="I253" s="94">
        <f>Accounts!J253</f>
        <v/>
      </c>
      <c r="J253" s="93">
        <f>Accounts!S253</f>
        <v/>
      </c>
      <c r="K253" s="88" t="n"/>
      <c r="L253" s="95" t="n"/>
      <c r="M253" s="55" t="b">
        <v>0</v>
      </c>
      <c r="N253" s="96" t="b">
        <v>0</v>
      </c>
      <c r="O253" s="55" t="b">
        <v>0</v>
      </c>
      <c r="P253" s="55" t="b">
        <v>0</v>
      </c>
      <c r="Q253" s="55" t="b">
        <v>0</v>
      </c>
      <c r="R253" s="55" t="b">
        <v>0</v>
      </c>
      <c r="S253" s="55" t="b">
        <v>0</v>
      </c>
      <c r="T253" s="55" t="b">
        <v>0</v>
      </c>
      <c r="U253" s="55" t="b">
        <v>0</v>
      </c>
      <c r="V253" s="55" t="b">
        <v>0</v>
      </c>
    </row>
    <row r="254" ht="69" customHeight="1" s="211">
      <c r="A254" s="92">
        <f>Accounts!A254</f>
        <v/>
      </c>
      <c r="B254" s="12" t="b">
        <v>0</v>
      </c>
      <c r="C254" s="93">
        <f>Accounts!N254</f>
        <v/>
      </c>
      <c r="D254" s="94" t="n"/>
      <c r="E254" s="93">
        <f>Accounts!F254</f>
        <v/>
      </c>
      <c r="F254" s="94">
        <f>Accounts!Q254</f>
        <v/>
      </c>
      <c r="G254" s="94">
        <f>Accounts!R254</f>
        <v/>
      </c>
      <c r="H254" s="94">
        <f>Accounts!I254</f>
        <v/>
      </c>
      <c r="I254" s="94">
        <f>Accounts!J254</f>
        <v/>
      </c>
      <c r="J254" s="93">
        <f>Accounts!S254</f>
        <v/>
      </c>
      <c r="K254" s="88" t="n"/>
      <c r="L254" s="95" t="n"/>
      <c r="M254" s="55" t="b">
        <v>0</v>
      </c>
      <c r="N254" s="96" t="b">
        <v>0</v>
      </c>
      <c r="O254" s="55" t="b">
        <v>0</v>
      </c>
      <c r="P254" s="55" t="b">
        <v>0</v>
      </c>
      <c r="Q254" s="55" t="b">
        <v>0</v>
      </c>
      <c r="R254" s="55" t="b">
        <v>0</v>
      </c>
      <c r="S254" s="55" t="b">
        <v>0</v>
      </c>
      <c r="T254" s="55" t="b">
        <v>0</v>
      </c>
      <c r="U254" s="55" t="b">
        <v>0</v>
      </c>
      <c r="V254" s="55" t="b">
        <v>0</v>
      </c>
    </row>
    <row r="255" ht="69" customHeight="1" s="211">
      <c r="A255" s="92">
        <f>Accounts!A255</f>
        <v/>
      </c>
      <c r="B255" s="12" t="b">
        <v>0</v>
      </c>
      <c r="C255" s="93">
        <f>Accounts!N255</f>
        <v/>
      </c>
      <c r="D255" s="94" t="n"/>
      <c r="E255" s="93">
        <f>Accounts!F255</f>
        <v/>
      </c>
      <c r="F255" s="94">
        <f>Accounts!Q255</f>
        <v/>
      </c>
      <c r="G255" s="94">
        <f>Accounts!R255</f>
        <v/>
      </c>
      <c r="H255" s="94">
        <f>Accounts!I255</f>
        <v/>
      </c>
      <c r="I255" s="94">
        <f>Accounts!J255</f>
        <v/>
      </c>
      <c r="J255" s="93">
        <f>Accounts!S255</f>
        <v/>
      </c>
      <c r="K255" s="88" t="n"/>
      <c r="L255" s="95" t="n"/>
      <c r="M255" s="55" t="b">
        <v>0</v>
      </c>
      <c r="N255" s="96" t="b">
        <v>0</v>
      </c>
      <c r="O255" s="55" t="b">
        <v>0</v>
      </c>
      <c r="P255" s="55" t="b">
        <v>0</v>
      </c>
      <c r="Q255" s="55" t="b">
        <v>0</v>
      </c>
      <c r="R255" s="55" t="b">
        <v>0</v>
      </c>
      <c r="S255" s="55" t="b">
        <v>0</v>
      </c>
      <c r="T255" s="55" t="b">
        <v>0</v>
      </c>
      <c r="U255" s="55" t="b">
        <v>0</v>
      </c>
      <c r="V255" s="55" t="b">
        <v>0</v>
      </c>
    </row>
    <row r="256" ht="69" customHeight="1" s="211">
      <c r="A256" s="92">
        <f>Accounts!A256</f>
        <v/>
      </c>
      <c r="B256" s="12" t="b">
        <v>0</v>
      </c>
      <c r="C256" s="93">
        <f>Accounts!N256</f>
        <v/>
      </c>
      <c r="D256" s="94" t="n"/>
      <c r="E256" s="93">
        <f>Accounts!F256</f>
        <v/>
      </c>
      <c r="F256" s="94">
        <f>Accounts!Q256</f>
        <v/>
      </c>
      <c r="G256" s="94">
        <f>Accounts!R256</f>
        <v/>
      </c>
      <c r="H256" s="94">
        <f>Accounts!I256</f>
        <v/>
      </c>
      <c r="I256" s="94">
        <f>Accounts!J256</f>
        <v/>
      </c>
      <c r="J256" s="93">
        <f>Accounts!S256</f>
        <v/>
      </c>
      <c r="K256" s="88" t="n"/>
      <c r="L256" s="95" t="n"/>
      <c r="M256" s="55" t="b">
        <v>0</v>
      </c>
      <c r="N256" s="96" t="b">
        <v>0</v>
      </c>
      <c r="O256" s="55" t="b">
        <v>0</v>
      </c>
      <c r="P256" s="55" t="b">
        <v>0</v>
      </c>
      <c r="Q256" s="55" t="b">
        <v>0</v>
      </c>
      <c r="R256" s="55" t="b">
        <v>0</v>
      </c>
      <c r="S256" s="55" t="b">
        <v>0</v>
      </c>
      <c r="T256" s="55" t="b">
        <v>0</v>
      </c>
      <c r="U256" s="55" t="b">
        <v>0</v>
      </c>
      <c r="V256" s="55" t="b">
        <v>0</v>
      </c>
    </row>
    <row r="257" ht="69" customHeight="1" s="211">
      <c r="A257" s="92">
        <f>Accounts!A257</f>
        <v/>
      </c>
      <c r="B257" s="12" t="b">
        <v>0</v>
      </c>
      <c r="C257" s="93">
        <f>Accounts!N257</f>
        <v/>
      </c>
      <c r="D257" s="94" t="n"/>
      <c r="E257" s="93">
        <f>Accounts!F257</f>
        <v/>
      </c>
      <c r="F257" s="94">
        <f>Accounts!Q257</f>
        <v/>
      </c>
      <c r="G257" s="94">
        <f>Accounts!R257</f>
        <v/>
      </c>
      <c r="H257" s="94">
        <f>Accounts!I257</f>
        <v/>
      </c>
      <c r="I257" s="94">
        <f>Accounts!J257</f>
        <v/>
      </c>
      <c r="J257" s="93">
        <f>Accounts!S257</f>
        <v/>
      </c>
      <c r="K257" s="88" t="n"/>
      <c r="L257" s="95" t="n"/>
      <c r="M257" s="55" t="b">
        <v>0</v>
      </c>
      <c r="N257" s="96" t="b">
        <v>0</v>
      </c>
      <c r="O257" s="55" t="b">
        <v>0</v>
      </c>
      <c r="P257" s="55" t="b">
        <v>0</v>
      </c>
      <c r="Q257" s="55" t="b">
        <v>0</v>
      </c>
      <c r="R257" s="55" t="b">
        <v>0</v>
      </c>
      <c r="S257" s="55" t="b">
        <v>0</v>
      </c>
      <c r="T257" s="55" t="b">
        <v>0</v>
      </c>
      <c r="U257" s="55" t="b">
        <v>0</v>
      </c>
      <c r="V257" s="55" t="b">
        <v>0</v>
      </c>
    </row>
    <row r="258" ht="69" customHeight="1" s="211">
      <c r="A258" s="92">
        <f>Accounts!A258</f>
        <v/>
      </c>
      <c r="B258" s="12" t="b">
        <v>0</v>
      </c>
      <c r="C258" s="93">
        <f>Accounts!N258</f>
        <v/>
      </c>
      <c r="D258" s="94" t="n"/>
      <c r="E258" s="93">
        <f>Accounts!F258</f>
        <v/>
      </c>
      <c r="F258" s="94">
        <f>Accounts!Q258</f>
        <v/>
      </c>
      <c r="G258" s="94">
        <f>Accounts!R258</f>
        <v/>
      </c>
      <c r="H258" s="94">
        <f>Accounts!I258</f>
        <v/>
      </c>
      <c r="I258" s="94">
        <f>Accounts!J258</f>
        <v/>
      </c>
      <c r="J258" s="93">
        <f>Accounts!S258</f>
        <v/>
      </c>
      <c r="K258" s="88" t="n"/>
      <c r="L258" s="95" t="n"/>
      <c r="M258" s="55" t="b">
        <v>0</v>
      </c>
      <c r="N258" s="96" t="b">
        <v>0</v>
      </c>
      <c r="O258" s="55" t="b">
        <v>0</v>
      </c>
      <c r="P258" s="55" t="b">
        <v>0</v>
      </c>
      <c r="Q258" s="55" t="b">
        <v>0</v>
      </c>
      <c r="R258" s="55" t="b">
        <v>0</v>
      </c>
      <c r="S258" s="55" t="b">
        <v>0</v>
      </c>
      <c r="T258" s="55" t="b">
        <v>0</v>
      </c>
      <c r="U258" s="55" t="b">
        <v>0</v>
      </c>
      <c r="V258" s="55" t="b">
        <v>0</v>
      </c>
    </row>
    <row r="259" ht="69" customHeight="1" s="211">
      <c r="A259" s="92">
        <f>Accounts!A259</f>
        <v/>
      </c>
      <c r="B259" s="12" t="b">
        <v>0</v>
      </c>
      <c r="C259" s="93">
        <f>Accounts!N259</f>
        <v/>
      </c>
      <c r="D259" s="94" t="n"/>
      <c r="E259" s="93">
        <f>Accounts!F259</f>
        <v/>
      </c>
      <c r="F259" s="94">
        <f>Accounts!Q259</f>
        <v/>
      </c>
      <c r="G259" s="94">
        <f>Accounts!R259</f>
        <v/>
      </c>
      <c r="H259" s="94">
        <f>Accounts!I259</f>
        <v/>
      </c>
      <c r="I259" s="94">
        <f>Accounts!J259</f>
        <v/>
      </c>
      <c r="J259" s="93">
        <f>Accounts!S259</f>
        <v/>
      </c>
      <c r="K259" s="88" t="n"/>
      <c r="L259" s="95" t="n"/>
      <c r="M259" s="55" t="b">
        <v>0</v>
      </c>
      <c r="N259" s="96" t="b">
        <v>0</v>
      </c>
      <c r="O259" s="55" t="b">
        <v>0</v>
      </c>
      <c r="P259" s="55" t="b">
        <v>0</v>
      </c>
      <c r="Q259" s="55" t="b">
        <v>0</v>
      </c>
      <c r="R259" s="55" t="b">
        <v>0</v>
      </c>
      <c r="S259" s="55" t="b">
        <v>0</v>
      </c>
      <c r="T259" s="55" t="b">
        <v>0</v>
      </c>
      <c r="U259" s="55" t="b">
        <v>0</v>
      </c>
      <c r="V259" s="55" t="b">
        <v>0</v>
      </c>
    </row>
    <row r="260" ht="69" customHeight="1" s="211">
      <c r="A260" s="92">
        <f>Accounts!A260</f>
        <v/>
      </c>
      <c r="B260" s="12" t="b">
        <v>0</v>
      </c>
      <c r="C260" s="93">
        <f>Accounts!N260</f>
        <v/>
      </c>
      <c r="D260" s="94" t="n"/>
      <c r="E260" s="93">
        <f>Accounts!F260</f>
        <v/>
      </c>
      <c r="F260" s="94">
        <f>Accounts!Q260</f>
        <v/>
      </c>
      <c r="G260" s="94">
        <f>Accounts!R260</f>
        <v/>
      </c>
      <c r="H260" s="94">
        <f>Accounts!I260</f>
        <v/>
      </c>
      <c r="I260" s="94">
        <f>Accounts!J260</f>
        <v/>
      </c>
      <c r="J260" s="93">
        <f>Accounts!S260</f>
        <v/>
      </c>
      <c r="K260" s="88" t="n"/>
      <c r="L260" s="95" t="n"/>
      <c r="M260" s="55" t="b">
        <v>0</v>
      </c>
      <c r="N260" s="96" t="b">
        <v>0</v>
      </c>
      <c r="O260" s="55" t="b">
        <v>0</v>
      </c>
      <c r="P260" s="55" t="b">
        <v>0</v>
      </c>
      <c r="Q260" s="55" t="b">
        <v>0</v>
      </c>
      <c r="R260" s="55" t="b">
        <v>0</v>
      </c>
      <c r="S260" s="55" t="b">
        <v>0</v>
      </c>
      <c r="T260" s="55" t="b">
        <v>0</v>
      </c>
      <c r="U260" s="55" t="b">
        <v>0</v>
      </c>
      <c r="V260" s="55" t="b">
        <v>0</v>
      </c>
    </row>
    <row r="261" ht="69" customHeight="1" s="211">
      <c r="A261" s="92">
        <f>Accounts!A261</f>
        <v/>
      </c>
      <c r="B261" s="12" t="b">
        <v>0</v>
      </c>
      <c r="C261" s="93">
        <f>Accounts!N261</f>
        <v/>
      </c>
      <c r="D261" s="94" t="n"/>
      <c r="E261" s="93">
        <f>Accounts!F261</f>
        <v/>
      </c>
      <c r="F261" s="94">
        <f>Accounts!Q261</f>
        <v/>
      </c>
      <c r="G261" s="94">
        <f>Accounts!R261</f>
        <v/>
      </c>
      <c r="H261" s="94">
        <f>Accounts!I261</f>
        <v/>
      </c>
      <c r="I261" s="94">
        <f>Accounts!J261</f>
        <v/>
      </c>
      <c r="J261" s="93">
        <f>Accounts!S261</f>
        <v/>
      </c>
      <c r="K261" s="88" t="n"/>
      <c r="L261" s="95" t="n"/>
      <c r="M261" s="55" t="b">
        <v>0</v>
      </c>
      <c r="N261" s="96" t="b">
        <v>0</v>
      </c>
      <c r="O261" s="55" t="b">
        <v>0</v>
      </c>
      <c r="P261" s="55" t="b">
        <v>0</v>
      </c>
      <c r="Q261" s="55" t="b">
        <v>0</v>
      </c>
      <c r="R261" s="55" t="b">
        <v>0</v>
      </c>
      <c r="S261" s="55" t="b">
        <v>0</v>
      </c>
      <c r="T261" s="55" t="b">
        <v>0</v>
      </c>
      <c r="U261" s="55" t="b">
        <v>0</v>
      </c>
      <c r="V261" s="55" t="b">
        <v>0</v>
      </c>
    </row>
    <row r="262" ht="69" customHeight="1" s="211">
      <c r="A262" s="92">
        <f>Accounts!A262</f>
        <v/>
      </c>
      <c r="B262" s="12" t="b">
        <v>0</v>
      </c>
      <c r="C262" s="93">
        <f>Accounts!N262</f>
        <v/>
      </c>
      <c r="D262" s="94" t="n"/>
      <c r="E262" s="93">
        <f>Accounts!F262</f>
        <v/>
      </c>
      <c r="F262" s="94">
        <f>Accounts!Q262</f>
        <v/>
      </c>
      <c r="G262" s="94">
        <f>Accounts!R262</f>
        <v/>
      </c>
      <c r="H262" s="94">
        <f>Accounts!I262</f>
        <v/>
      </c>
      <c r="I262" s="94">
        <f>Accounts!J262</f>
        <v/>
      </c>
      <c r="J262" s="93">
        <f>Accounts!S262</f>
        <v/>
      </c>
      <c r="K262" s="88" t="n"/>
      <c r="L262" s="95" t="n"/>
      <c r="M262" s="55" t="b">
        <v>0</v>
      </c>
      <c r="N262" s="96" t="b">
        <v>0</v>
      </c>
      <c r="O262" s="55" t="b">
        <v>0</v>
      </c>
      <c r="P262" s="55" t="b">
        <v>0</v>
      </c>
      <c r="Q262" s="55" t="b">
        <v>0</v>
      </c>
      <c r="R262" s="55" t="b">
        <v>0</v>
      </c>
      <c r="S262" s="55" t="b">
        <v>0</v>
      </c>
      <c r="T262" s="55" t="b">
        <v>0</v>
      </c>
      <c r="U262" s="55" t="b">
        <v>0</v>
      </c>
      <c r="V262" s="55" t="b">
        <v>0</v>
      </c>
    </row>
    <row r="263" ht="69" customHeight="1" s="211">
      <c r="A263" s="92">
        <f>Accounts!A263</f>
        <v/>
      </c>
      <c r="B263" s="12" t="b">
        <v>0</v>
      </c>
      <c r="C263" s="93">
        <f>Accounts!N263</f>
        <v/>
      </c>
      <c r="D263" s="94" t="n"/>
      <c r="E263" s="93">
        <f>Accounts!F263</f>
        <v/>
      </c>
      <c r="F263" s="94">
        <f>Accounts!Q263</f>
        <v/>
      </c>
      <c r="G263" s="94">
        <f>Accounts!R263</f>
        <v/>
      </c>
      <c r="H263" s="94">
        <f>Accounts!I263</f>
        <v/>
      </c>
      <c r="I263" s="94">
        <f>Accounts!J263</f>
        <v/>
      </c>
      <c r="J263" s="93">
        <f>Accounts!S263</f>
        <v/>
      </c>
      <c r="K263" s="88" t="n"/>
      <c r="L263" s="95" t="n"/>
      <c r="M263" s="55" t="b">
        <v>0</v>
      </c>
      <c r="N263" s="96" t="b">
        <v>0</v>
      </c>
      <c r="O263" s="55" t="b">
        <v>0</v>
      </c>
      <c r="P263" s="55" t="b">
        <v>0</v>
      </c>
      <c r="Q263" s="55" t="b">
        <v>0</v>
      </c>
      <c r="R263" s="55" t="b">
        <v>0</v>
      </c>
      <c r="S263" s="55" t="b">
        <v>0</v>
      </c>
      <c r="T263" s="55" t="b">
        <v>0</v>
      </c>
      <c r="U263" s="55" t="b">
        <v>0</v>
      </c>
      <c r="V263" s="55" t="b">
        <v>0</v>
      </c>
    </row>
    <row r="264" ht="69" customHeight="1" s="211">
      <c r="A264" s="92">
        <f>Accounts!A264</f>
        <v/>
      </c>
      <c r="B264" s="12" t="b">
        <v>0</v>
      </c>
      <c r="C264" s="93">
        <f>Accounts!N264</f>
        <v/>
      </c>
      <c r="D264" s="94" t="n"/>
      <c r="E264" s="93">
        <f>Accounts!F264</f>
        <v/>
      </c>
      <c r="F264" s="94">
        <f>Accounts!Q264</f>
        <v/>
      </c>
      <c r="G264" s="94">
        <f>Accounts!R264</f>
        <v/>
      </c>
      <c r="H264" s="94">
        <f>Accounts!I264</f>
        <v/>
      </c>
      <c r="I264" s="94">
        <f>Accounts!J264</f>
        <v/>
      </c>
      <c r="J264" s="93">
        <f>Accounts!S264</f>
        <v/>
      </c>
      <c r="K264" s="88" t="n"/>
      <c r="L264" s="95" t="n"/>
      <c r="M264" s="55" t="b">
        <v>0</v>
      </c>
      <c r="N264" s="96" t="b">
        <v>0</v>
      </c>
      <c r="O264" s="55" t="b">
        <v>0</v>
      </c>
      <c r="P264" s="55" t="b">
        <v>0</v>
      </c>
      <c r="Q264" s="55" t="b">
        <v>0</v>
      </c>
      <c r="R264" s="55" t="b">
        <v>0</v>
      </c>
      <c r="S264" s="55" t="b">
        <v>0</v>
      </c>
      <c r="T264" s="55" t="b">
        <v>0</v>
      </c>
      <c r="U264" s="55" t="b">
        <v>0</v>
      </c>
      <c r="V264" s="55" t="b">
        <v>0</v>
      </c>
    </row>
    <row r="265" ht="69" customHeight="1" s="211">
      <c r="A265" s="92">
        <f>Accounts!A265</f>
        <v/>
      </c>
      <c r="B265" s="12" t="b">
        <v>0</v>
      </c>
      <c r="C265" s="93">
        <f>Accounts!N265</f>
        <v/>
      </c>
      <c r="D265" s="94" t="n"/>
      <c r="E265" s="93">
        <f>Accounts!F265</f>
        <v/>
      </c>
      <c r="F265" s="94">
        <f>Accounts!Q265</f>
        <v/>
      </c>
      <c r="G265" s="94">
        <f>Accounts!R265</f>
        <v/>
      </c>
      <c r="H265" s="94">
        <f>Accounts!I265</f>
        <v/>
      </c>
      <c r="I265" s="94">
        <f>Accounts!J265</f>
        <v/>
      </c>
      <c r="J265" s="93">
        <f>Accounts!S265</f>
        <v/>
      </c>
      <c r="K265" s="88" t="n"/>
      <c r="L265" s="95" t="n"/>
      <c r="M265" s="55" t="b">
        <v>0</v>
      </c>
      <c r="N265" s="96" t="b">
        <v>0</v>
      </c>
      <c r="O265" s="55" t="b">
        <v>0</v>
      </c>
      <c r="P265" s="55" t="b">
        <v>0</v>
      </c>
      <c r="Q265" s="55" t="b">
        <v>0</v>
      </c>
      <c r="R265" s="55" t="b">
        <v>0</v>
      </c>
      <c r="S265" s="55" t="b">
        <v>0</v>
      </c>
      <c r="T265" s="55" t="b">
        <v>0</v>
      </c>
      <c r="U265" s="55" t="b">
        <v>0</v>
      </c>
      <c r="V265" s="55" t="b">
        <v>0</v>
      </c>
    </row>
    <row r="266" ht="69" customHeight="1" s="211">
      <c r="A266" s="92">
        <f>Accounts!A266</f>
        <v/>
      </c>
      <c r="B266" s="12" t="b">
        <v>0</v>
      </c>
      <c r="C266" s="93">
        <f>Accounts!N266</f>
        <v/>
      </c>
      <c r="D266" s="94" t="n"/>
      <c r="E266" s="93">
        <f>Accounts!F266</f>
        <v/>
      </c>
      <c r="F266" s="94">
        <f>Accounts!Q266</f>
        <v/>
      </c>
      <c r="G266" s="94">
        <f>Accounts!R266</f>
        <v/>
      </c>
      <c r="H266" s="94">
        <f>Accounts!I266</f>
        <v/>
      </c>
      <c r="I266" s="94">
        <f>Accounts!J266</f>
        <v/>
      </c>
      <c r="J266" s="93">
        <f>Accounts!S266</f>
        <v/>
      </c>
      <c r="K266" s="88" t="n"/>
      <c r="L266" s="95" t="n"/>
      <c r="M266" s="55" t="b">
        <v>0</v>
      </c>
      <c r="N266" s="96" t="b">
        <v>0</v>
      </c>
      <c r="O266" s="55" t="b">
        <v>0</v>
      </c>
      <c r="P266" s="55" t="b">
        <v>0</v>
      </c>
      <c r="Q266" s="55" t="b">
        <v>0</v>
      </c>
      <c r="R266" s="55" t="b">
        <v>0</v>
      </c>
      <c r="S266" s="55" t="b">
        <v>0</v>
      </c>
      <c r="T266" s="55" t="b">
        <v>0</v>
      </c>
      <c r="U266" s="55" t="b">
        <v>0</v>
      </c>
      <c r="V266" s="55" t="b">
        <v>0</v>
      </c>
    </row>
    <row r="267" ht="69" customHeight="1" s="211">
      <c r="A267" s="92">
        <f>Accounts!A267</f>
        <v/>
      </c>
      <c r="B267" s="12" t="b">
        <v>0</v>
      </c>
      <c r="C267" s="93">
        <f>Accounts!N267</f>
        <v/>
      </c>
      <c r="D267" s="94" t="n"/>
      <c r="E267" s="93">
        <f>Accounts!F267</f>
        <v/>
      </c>
      <c r="F267" s="94">
        <f>Accounts!Q267</f>
        <v/>
      </c>
      <c r="G267" s="94">
        <f>Accounts!R267</f>
        <v/>
      </c>
      <c r="H267" s="94">
        <f>Accounts!I267</f>
        <v/>
      </c>
      <c r="I267" s="94">
        <f>Accounts!J267</f>
        <v/>
      </c>
      <c r="J267" s="93">
        <f>Accounts!S267</f>
        <v/>
      </c>
      <c r="K267" s="88" t="n"/>
      <c r="L267" s="95" t="n"/>
      <c r="M267" s="55" t="b">
        <v>0</v>
      </c>
      <c r="N267" s="96" t="b">
        <v>0</v>
      </c>
      <c r="O267" s="55" t="b">
        <v>0</v>
      </c>
      <c r="P267" s="55" t="b">
        <v>0</v>
      </c>
      <c r="Q267" s="55" t="b">
        <v>0</v>
      </c>
      <c r="R267" s="55" t="b">
        <v>0</v>
      </c>
      <c r="S267" s="55" t="b">
        <v>0</v>
      </c>
      <c r="T267" s="55" t="b">
        <v>0</v>
      </c>
      <c r="U267" s="55" t="b">
        <v>0</v>
      </c>
      <c r="V267" s="55" t="b">
        <v>0</v>
      </c>
    </row>
    <row r="268" ht="69" customHeight="1" s="211">
      <c r="A268" s="92">
        <f>Accounts!A268</f>
        <v/>
      </c>
      <c r="B268" s="12" t="b">
        <v>0</v>
      </c>
      <c r="C268" s="93">
        <f>Accounts!N268</f>
        <v/>
      </c>
      <c r="D268" s="94" t="n"/>
      <c r="E268" s="93">
        <f>Accounts!F268</f>
        <v/>
      </c>
      <c r="F268" s="94">
        <f>Accounts!Q268</f>
        <v/>
      </c>
      <c r="G268" s="94">
        <f>Accounts!R268</f>
        <v/>
      </c>
      <c r="H268" s="94">
        <f>Accounts!I268</f>
        <v/>
      </c>
      <c r="I268" s="94">
        <f>Accounts!J268</f>
        <v/>
      </c>
      <c r="J268" s="93">
        <f>Accounts!S268</f>
        <v/>
      </c>
      <c r="K268" s="88" t="n"/>
      <c r="L268" s="95" t="n"/>
      <c r="M268" s="55" t="b">
        <v>0</v>
      </c>
      <c r="N268" s="96" t="b">
        <v>0</v>
      </c>
      <c r="O268" s="55" t="b">
        <v>0</v>
      </c>
      <c r="P268" s="55" t="b">
        <v>0</v>
      </c>
      <c r="Q268" s="55" t="b">
        <v>0</v>
      </c>
      <c r="R268" s="55" t="b">
        <v>0</v>
      </c>
      <c r="S268" s="55" t="b">
        <v>0</v>
      </c>
      <c r="T268" s="55" t="b">
        <v>0</v>
      </c>
      <c r="U268" s="55" t="b">
        <v>0</v>
      </c>
      <c r="V268" s="55" t="b">
        <v>0</v>
      </c>
    </row>
    <row r="269" ht="69" customHeight="1" s="211">
      <c r="A269" s="92">
        <f>Accounts!A269</f>
        <v/>
      </c>
      <c r="B269" s="12" t="b">
        <v>0</v>
      </c>
      <c r="C269" s="93">
        <f>Accounts!N269</f>
        <v/>
      </c>
      <c r="D269" s="94" t="n"/>
      <c r="E269" s="93">
        <f>Accounts!F269</f>
        <v/>
      </c>
      <c r="F269" s="94">
        <f>Accounts!Q269</f>
        <v/>
      </c>
      <c r="G269" s="94">
        <f>Accounts!R269</f>
        <v/>
      </c>
      <c r="H269" s="94">
        <f>Accounts!I269</f>
        <v/>
      </c>
      <c r="I269" s="94">
        <f>Accounts!J269</f>
        <v/>
      </c>
      <c r="J269" s="93">
        <f>Accounts!S269</f>
        <v/>
      </c>
      <c r="K269" s="88" t="n"/>
      <c r="L269" s="95" t="n"/>
      <c r="M269" s="55" t="b">
        <v>0</v>
      </c>
      <c r="N269" s="96" t="b">
        <v>0</v>
      </c>
      <c r="O269" s="55" t="b">
        <v>0</v>
      </c>
      <c r="P269" s="55" t="b">
        <v>0</v>
      </c>
      <c r="Q269" s="55" t="b">
        <v>0</v>
      </c>
      <c r="R269" s="55" t="b">
        <v>0</v>
      </c>
      <c r="S269" s="55" t="b">
        <v>0</v>
      </c>
      <c r="T269" s="55" t="b">
        <v>0</v>
      </c>
      <c r="U269" s="55" t="b">
        <v>0</v>
      </c>
      <c r="V269" s="55" t="b">
        <v>0</v>
      </c>
    </row>
    <row r="270" ht="69" customHeight="1" s="211">
      <c r="A270" s="92">
        <f>Accounts!A270</f>
        <v/>
      </c>
      <c r="B270" s="12" t="b">
        <v>0</v>
      </c>
      <c r="C270" s="93">
        <f>Accounts!N270</f>
        <v/>
      </c>
      <c r="D270" s="94" t="n"/>
      <c r="E270" s="93">
        <f>Accounts!F270</f>
        <v/>
      </c>
      <c r="F270" s="94">
        <f>Accounts!Q270</f>
        <v/>
      </c>
      <c r="G270" s="94">
        <f>Accounts!R270</f>
        <v/>
      </c>
      <c r="H270" s="94">
        <f>Accounts!I270</f>
        <v/>
      </c>
      <c r="I270" s="94">
        <f>Accounts!J270</f>
        <v/>
      </c>
      <c r="J270" s="93">
        <f>Accounts!S270</f>
        <v/>
      </c>
      <c r="K270" s="88" t="n"/>
      <c r="L270" s="95" t="n"/>
      <c r="M270" s="55" t="b">
        <v>0</v>
      </c>
      <c r="N270" s="96" t="b">
        <v>0</v>
      </c>
      <c r="O270" s="55" t="b">
        <v>0</v>
      </c>
      <c r="P270" s="55" t="b">
        <v>0</v>
      </c>
      <c r="Q270" s="55" t="b">
        <v>0</v>
      </c>
      <c r="R270" s="55" t="b">
        <v>0</v>
      </c>
      <c r="S270" s="55" t="b">
        <v>0</v>
      </c>
      <c r="T270" s="55" t="b">
        <v>0</v>
      </c>
      <c r="U270" s="55" t="b">
        <v>0</v>
      </c>
      <c r="V270" s="55" t="b">
        <v>0</v>
      </c>
    </row>
    <row r="271" ht="69" customHeight="1" s="211">
      <c r="A271" s="92">
        <f>Accounts!A271</f>
        <v/>
      </c>
      <c r="B271" s="12" t="b">
        <v>0</v>
      </c>
      <c r="C271" s="93">
        <f>Accounts!N271</f>
        <v/>
      </c>
      <c r="D271" s="94" t="n"/>
      <c r="E271" s="93">
        <f>Accounts!F271</f>
        <v/>
      </c>
      <c r="F271" s="94">
        <f>Accounts!Q271</f>
        <v/>
      </c>
      <c r="G271" s="94">
        <f>Accounts!R271</f>
        <v/>
      </c>
      <c r="H271" s="94">
        <f>Accounts!I271</f>
        <v/>
      </c>
      <c r="I271" s="94">
        <f>Accounts!J271</f>
        <v/>
      </c>
      <c r="J271" s="93">
        <f>Accounts!S271</f>
        <v/>
      </c>
      <c r="K271" s="88" t="n"/>
      <c r="L271" s="95" t="n"/>
      <c r="M271" s="55" t="b">
        <v>0</v>
      </c>
      <c r="N271" s="96" t="b">
        <v>0</v>
      </c>
      <c r="O271" s="55" t="b">
        <v>0</v>
      </c>
      <c r="P271" s="55" t="b">
        <v>0</v>
      </c>
      <c r="Q271" s="55" t="b">
        <v>0</v>
      </c>
      <c r="R271" s="55" t="b">
        <v>0</v>
      </c>
      <c r="S271" s="55" t="b">
        <v>0</v>
      </c>
      <c r="T271" s="55" t="b">
        <v>0</v>
      </c>
      <c r="U271" s="55" t="b">
        <v>0</v>
      </c>
      <c r="V271" s="55" t="b">
        <v>0</v>
      </c>
    </row>
    <row r="272" ht="69" customHeight="1" s="211">
      <c r="A272" s="92">
        <f>Accounts!A272</f>
        <v/>
      </c>
      <c r="B272" s="12" t="b">
        <v>0</v>
      </c>
      <c r="C272" s="93">
        <f>Accounts!N272</f>
        <v/>
      </c>
      <c r="D272" s="94" t="n"/>
      <c r="E272" s="93">
        <f>Accounts!F272</f>
        <v/>
      </c>
      <c r="F272" s="94">
        <f>Accounts!Q272</f>
        <v/>
      </c>
      <c r="G272" s="94">
        <f>Accounts!R272</f>
        <v/>
      </c>
      <c r="H272" s="94">
        <f>Accounts!I272</f>
        <v/>
      </c>
      <c r="I272" s="94">
        <f>Accounts!J272</f>
        <v/>
      </c>
      <c r="J272" s="93">
        <f>Accounts!S272</f>
        <v/>
      </c>
      <c r="K272" s="88" t="n"/>
      <c r="L272" s="95" t="n"/>
      <c r="M272" s="55" t="b">
        <v>0</v>
      </c>
      <c r="N272" s="96" t="b">
        <v>0</v>
      </c>
      <c r="O272" s="55" t="b">
        <v>0</v>
      </c>
      <c r="P272" s="55" t="b">
        <v>0</v>
      </c>
      <c r="Q272" s="55" t="b">
        <v>0</v>
      </c>
      <c r="R272" s="55" t="b">
        <v>0</v>
      </c>
      <c r="S272" s="55" t="b">
        <v>0</v>
      </c>
      <c r="T272" s="55" t="b">
        <v>0</v>
      </c>
      <c r="U272" s="55" t="b">
        <v>0</v>
      </c>
      <c r="V272" s="55" t="b">
        <v>0</v>
      </c>
    </row>
    <row r="273" ht="69" customHeight="1" s="211">
      <c r="A273" s="92">
        <f>Accounts!A273</f>
        <v/>
      </c>
      <c r="B273" s="12" t="b">
        <v>0</v>
      </c>
      <c r="C273" s="93">
        <f>Accounts!N273</f>
        <v/>
      </c>
      <c r="D273" s="94" t="n"/>
      <c r="E273" s="93">
        <f>Accounts!F273</f>
        <v/>
      </c>
      <c r="F273" s="94">
        <f>Accounts!Q273</f>
        <v/>
      </c>
      <c r="G273" s="94">
        <f>Accounts!R273</f>
        <v/>
      </c>
      <c r="H273" s="94">
        <f>Accounts!I273</f>
        <v/>
      </c>
      <c r="I273" s="94">
        <f>Accounts!J273</f>
        <v/>
      </c>
      <c r="J273" s="93">
        <f>Accounts!S273</f>
        <v/>
      </c>
      <c r="K273" s="88" t="n"/>
      <c r="L273" s="95" t="n"/>
      <c r="M273" s="55" t="b">
        <v>0</v>
      </c>
      <c r="N273" s="96" t="b">
        <v>0</v>
      </c>
      <c r="O273" s="55" t="b">
        <v>0</v>
      </c>
      <c r="P273" s="55" t="b">
        <v>0</v>
      </c>
      <c r="Q273" s="55" t="b">
        <v>0</v>
      </c>
      <c r="R273" s="55" t="b">
        <v>0</v>
      </c>
      <c r="S273" s="55" t="b">
        <v>0</v>
      </c>
      <c r="T273" s="55" t="b">
        <v>0</v>
      </c>
      <c r="U273" s="55" t="b">
        <v>0</v>
      </c>
      <c r="V273" s="55" t="b">
        <v>0</v>
      </c>
    </row>
    <row r="274" ht="69" customHeight="1" s="211">
      <c r="A274" s="92">
        <f>Accounts!A274</f>
        <v/>
      </c>
      <c r="B274" s="12" t="b">
        <v>0</v>
      </c>
      <c r="C274" s="93">
        <f>Accounts!N274</f>
        <v/>
      </c>
      <c r="D274" s="94" t="n"/>
      <c r="E274" s="93">
        <f>Accounts!F274</f>
        <v/>
      </c>
      <c r="F274" s="94">
        <f>Accounts!Q274</f>
        <v/>
      </c>
      <c r="G274" s="94">
        <f>Accounts!R274</f>
        <v/>
      </c>
      <c r="H274" s="94">
        <f>Accounts!I274</f>
        <v/>
      </c>
      <c r="I274" s="94">
        <f>Accounts!J274</f>
        <v/>
      </c>
      <c r="J274" s="93">
        <f>Accounts!S274</f>
        <v/>
      </c>
      <c r="K274" s="88" t="n"/>
      <c r="L274" s="95" t="n"/>
      <c r="M274" s="55" t="b">
        <v>0</v>
      </c>
      <c r="N274" s="96" t="b">
        <v>0</v>
      </c>
      <c r="O274" s="55" t="b">
        <v>0</v>
      </c>
      <c r="P274" s="55" t="b">
        <v>0</v>
      </c>
      <c r="Q274" s="55" t="b">
        <v>0</v>
      </c>
      <c r="R274" s="55" t="b">
        <v>0</v>
      </c>
      <c r="S274" s="55" t="b">
        <v>0</v>
      </c>
      <c r="T274" s="55" t="b">
        <v>0</v>
      </c>
      <c r="U274" s="55" t="b">
        <v>0</v>
      </c>
      <c r="V274" s="55" t="b">
        <v>0</v>
      </c>
    </row>
    <row r="275" ht="69" customHeight="1" s="211">
      <c r="A275" s="92">
        <f>Accounts!A275</f>
        <v/>
      </c>
      <c r="B275" s="12" t="b">
        <v>0</v>
      </c>
      <c r="C275" s="93">
        <f>Accounts!N275</f>
        <v/>
      </c>
      <c r="D275" s="94" t="n"/>
      <c r="E275" s="93">
        <f>Accounts!F275</f>
        <v/>
      </c>
      <c r="F275" s="94">
        <f>Accounts!Q275</f>
        <v/>
      </c>
      <c r="G275" s="94">
        <f>Accounts!R275</f>
        <v/>
      </c>
      <c r="H275" s="94">
        <f>Accounts!I275</f>
        <v/>
      </c>
      <c r="I275" s="94">
        <f>Accounts!J275</f>
        <v/>
      </c>
      <c r="J275" s="93">
        <f>Accounts!S275</f>
        <v/>
      </c>
      <c r="K275" s="88" t="n"/>
      <c r="L275" s="95" t="n"/>
      <c r="M275" s="55" t="b">
        <v>0</v>
      </c>
      <c r="N275" s="96" t="b">
        <v>0</v>
      </c>
      <c r="O275" s="55" t="b">
        <v>0</v>
      </c>
      <c r="P275" s="55" t="b">
        <v>0</v>
      </c>
      <c r="Q275" s="55" t="b">
        <v>0</v>
      </c>
      <c r="R275" s="55" t="b">
        <v>0</v>
      </c>
      <c r="S275" s="55" t="b">
        <v>0</v>
      </c>
      <c r="T275" s="55" t="b">
        <v>0</v>
      </c>
      <c r="U275" s="55" t="b">
        <v>0</v>
      </c>
      <c r="V275" s="55" t="b">
        <v>0</v>
      </c>
    </row>
    <row r="276" ht="69" customHeight="1" s="211">
      <c r="A276" s="92">
        <f>Accounts!A276</f>
        <v/>
      </c>
      <c r="B276" s="12" t="b">
        <v>0</v>
      </c>
      <c r="C276" s="93">
        <f>Accounts!N276</f>
        <v/>
      </c>
      <c r="D276" s="94" t="n"/>
      <c r="E276" s="93">
        <f>Accounts!F276</f>
        <v/>
      </c>
      <c r="F276" s="94">
        <f>Accounts!Q276</f>
        <v/>
      </c>
      <c r="G276" s="94">
        <f>Accounts!R276</f>
        <v/>
      </c>
      <c r="H276" s="94">
        <f>Accounts!I276</f>
        <v/>
      </c>
      <c r="I276" s="94">
        <f>Accounts!J276</f>
        <v/>
      </c>
      <c r="J276" s="93">
        <f>Accounts!S276</f>
        <v/>
      </c>
      <c r="K276" s="88" t="n"/>
      <c r="L276" s="95" t="n"/>
      <c r="M276" s="55" t="b">
        <v>0</v>
      </c>
      <c r="N276" s="96" t="b">
        <v>0</v>
      </c>
      <c r="O276" s="55" t="b">
        <v>0</v>
      </c>
      <c r="P276" s="55" t="b">
        <v>0</v>
      </c>
      <c r="Q276" s="55" t="b">
        <v>0</v>
      </c>
      <c r="R276" s="55" t="b">
        <v>0</v>
      </c>
      <c r="S276" s="55" t="b">
        <v>0</v>
      </c>
      <c r="T276" s="55" t="b">
        <v>0</v>
      </c>
      <c r="U276" s="55" t="b">
        <v>0</v>
      </c>
      <c r="V276" s="55" t="b">
        <v>0</v>
      </c>
    </row>
    <row r="277" ht="69" customHeight="1" s="211">
      <c r="A277" s="92">
        <f>Accounts!A277</f>
        <v/>
      </c>
      <c r="B277" s="12" t="b">
        <v>0</v>
      </c>
      <c r="C277" s="93">
        <f>Accounts!N277</f>
        <v/>
      </c>
      <c r="D277" s="94" t="n"/>
      <c r="E277" s="93">
        <f>Accounts!F277</f>
        <v/>
      </c>
      <c r="F277" s="94">
        <f>Accounts!Q277</f>
        <v/>
      </c>
      <c r="G277" s="94">
        <f>Accounts!R277</f>
        <v/>
      </c>
      <c r="H277" s="94">
        <f>Accounts!I277</f>
        <v/>
      </c>
      <c r="I277" s="94">
        <f>Accounts!J277</f>
        <v/>
      </c>
      <c r="J277" s="93">
        <f>Accounts!S277</f>
        <v/>
      </c>
      <c r="K277" s="88" t="n"/>
      <c r="L277" s="95" t="n"/>
      <c r="M277" s="55" t="b">
        <v>0</v>
      </c>
      <c r="N277" s="96" t="b">
        <v>0</v>
      </c>
      <c r="O277" s="55" t="b">
        <v>0</v>
      </c>
      <c r="P277" s="55" t="b">
        <v>0</v>
      </c>
      <c r="Q277" s="55" t="b">
        <v>0</v>
      </c>
      <c r="R277" s="55" t="b">
        <v>0</v>
      </c>
      <c r="S277" s="55" t="b">
        <v>0</v>
      </c>
      <c r="T277" s="55" t="b">
        <v>0</v>
      </c>
      <c r="U277" s="55" t="b">
        <v>0</v>
      </c>
      <c r="V277" s="55" t="b">
        <v>0</v>
      </c>
    </row>
    <row r="278" ht="69" customHeight="1" s="211">
      <c r="A278" s="92">
        <f>Accounts!A278</f>
        <v/>
      </c>
      <c r="B278" s="12" t="b">
        <v>0</v>
      </c>
      <c r="C278" s="93">
        <f>Accounts!N278</f>
        <v/>
      </c>
      <c r="D278" s="94" t="n"/>
      <c r="E278" s="93">
        <f>Accounts!F278</f>
        <v/>
      </c>
      <c r="F278" s="94">
        <f>Accounts!Q278</f>
        <v/>
      </c>
      <c r="G278" s="94">
        <f>Accounts!R278</f>
        <v/>
      </c>
      <c r="H278" s="94">
        <f>Accounts!I278</f>
        <v/>
      </c>
      <c r="I278" s="94">
        <f>Accounts!J278</f>
        <v/>
      </c>
      <c r="J278" s="93">
        <f>Accounts!S278</f>
        <v/>
      </c>
      <c r="K278" s="88" t="n"/>
      <c r="L278" s="95" t="n"/>
      <c r="M278" s="55" t="b">
        <v>0</v>
      </c>
      <c r="N278" s="96" t="b">
        <v>0</v>
      </c>
      <c r="O278" s="55" t="b">
        <v>0</v>
      </c>
      <c r="P278" s="55" t="b">
        <v>0</v>
      </c>
      <c r="Q278" s="55" t="b">
        <v>0</v>
      </c>
      <c r="R278" s="55" t="b">
        <v>0</v>
      </c>
      <c r="S278" s="55" t="b">
        <v>0</v>
      </c>
      <c r="T278" s="55" t="b">
        <v>0</v>
      </c>
      <c r="U278" s="55" t="b">
        <v>0</v>
      </c>
      <c r="V278" s="55" t="b">
        <v>0</v>
      </c>
    </row>
    <row r="279" ht="69" customHeight="1" s="211">
      <c r="A279" s="92">
        <f>Accounts!A279</f>
        <v/>
      </c>
      <c r="B279" s="12" t="b">
        <v>0</v>
      </c>
      <c r="C279" s="93">
        <f>Accounts!N279</f>
        <v/>
      </c>
      <c r="D279" s="94" t="n"/>
      <c r="E279" s="93">
        <f>Accounts!F279</f>
        <v/>
      </c>
      <c r="F279" s="94">
        <f>Accounts!Q279</f>
        <v/>
      </c>
      <c r="G279" s="94">
        <f>Accounts!R279</f>
        <v/>
      </c>
      <c r="H279" s="94">
        <f>Accounts!I279</f>
        <v/>
      </c>
      <c r="I279" s="94">
        <f>Accounts!J279</f>
        <v/>
      </c>
      <c r="J279" s="93">
        <f>Accounts!S279</f>
        <v/>
      </c>
      <c r="K279" s="88" t="n"/>
      <c r="L279" s="95" t="n"/>
      <c r="M279" s="55" t="b">
        <v>0</v>
      </c>
      <c r="N279" s="96" t="b">
        <v>0</v>
      </c>
      <c r="O279" s="55" t="b">
        <v>0</v>
      </c>
      <c r="P279" s="55" t="b">
        <v>0</v>
      </c>
      <c r="Q279" s="55" t="b">
        <v>0</v>
      </c>
      <c r="R279" s="55" t="b">
        <v>0</v>
      </c>
      <c r="S279" s="55" t="b">
        <v>0</v>
      </c>
      <c r="T279" s="55" t="b">
        <v>0</v>
      </c>
      <c r="U279" s="55" t="b">
        <v>0</v>
      </c>
      <c r="V279" s="55" t="b">
        <v>0</v>
      </c>
    </row>
    <row r="280" ht="69" customHeight="1" s="211">
      <c r="A280" s="92">
        <f>Accounts!A280</f>
        <v/>
      </c>
      <c r="B280" s="12" t="b">
        <v>0</v>
      </c>
      <c r="C280" s="93">
        <f>Accounts!N280</f>
        <v/>
      </c>
      <c r="D280" s="94" t="n"/>
      <c r="E280" s="93">
        <f>Accounts!F280</f>
        <v/>
      </c>
      <c r="F280" s="94">
        <f>Accounts!Q280</f>
        <v/>
      </c>
      <c r="G280" s="94">
        <f>Accounts!R280</f>
        <v/>
      </c>
      <c r="H280" s="94">
        <f>Accounts!I280</f>
        <v/>
      </c>
      <c r="I280" s="94">
        <f>Accounts!J280</f>
        <v/>
      </c>
      <c r="J280" s="93">
        <f>Accounts!S280</f>
        <v/>
      </c>
      <c r="K280" s="88" t="n"/>
      <c r="L280" s="95" t="n"/>
      <c r="M280" s="55" t="b">
        <v>0</v>
      </c>
      <c r="N280" s="96" t="b">
        <v>0</v>
      </c>
      <c r="O280" s="55" t="b">
        <v>0</v>
      </c>
      <c r="P280" s="55" t="b">
        <v>0</v>
      </c>
      <c r="Q280" s="55" t="b">
        <v>0</v>
      </c>
      <c r="R280" s="55" t="b">
        <v>0</v>
      </c>
      <c r="S280" s="55" t="b">
        <v>0</v>
      </c>
      <c r="T280" s="55" t="b">
        <v>0</v>
      </c>
      <c r="U280" s="55" t="b">
        <v>0</v>
      </c>
      <c r="V280" s="55" t="b">
        <v>0</v>
      </c>
    </row>
    <row r="281" ht="69" customHeight="1" s="211">
      <c r="A281" s="92">
        <f>Accounts!A281</f>
        <v/>
      </c>
      <c r="B281" s="12" t="b">
        <v>0</v>
      </c>
      <c r="C281" s="93">
        <f>Accounts!N281</f>
        <v/>
      </c>
      <c r="D281" s="94" t="n"/>
      <c r="E281" s="93">
        <f>Accounts!F281</f>
        <v/>
      </c>
      <c r="F281" s="94">
        <f>Accounts!Q281</f>
        <v/>
      </c>
      <c r="G281" s="94">
        <f>Accounts!R281</f>
        <v/>
      </c>
      <c r="H281" s="94">
        <f>Accounts!I281</f>
        <v/>
      </c>
      <c r="I281" s="94">
        <f>Accounts!J281</f>
        <v/>
      </c>
      <c r="J281" s="93">
        <f>Accounts!S281</f>
        <v/>
      </c>
      <c r="K281" s="88" t="n"/>
      <c r="L281" s="95" t="n"/>
      <c r="M281" s="55" t="b">
        <v>0</v>
      </c>
      <c r="N281" s="96" t="b">
        <v>0</v>
      </c>
      <c r="O281" s="55" t="b">
        <v>0</v>
      </c>
      <c r="P281" s="55" t="b">
        <v>0</v>
      </c>
      <c r="Q281" s="55" t="b">
        <v>0</v>
      </c>
      <c r="R281" s="55" t="b">
        <v>0</v>
      </c>
      <c r="S281" s="55" t="b">
        <v>0</v>
      </c>
      <c r="T281" s="55" t="b">
        <v>0</v>
      </c>
      <c r="U281" s="55" t="b">
        <v>0</v>
      </c>
      <c r="V281" s="55" t="b">
        <v>0</v>
      </c>
    </row>
    <row r="282" ht="69" customHeight="1" s="211">
      <c r="A282" s="92">
        <f>Accounts!A282</f>
        <v/>
      </c>
      <c r="B282" s="12" t="b">
        <v>0</v>
      </c>
      <c r="C282" s="93">
        <f>Accounts!N282</f>
        <v/>
      </c>
      <c r="D282" s="94" t="n"/>
      <c r="E282" s="93">
        <f>Accounts!F282</f>
        <v/>
      </c>
      <c r="F282" s="94">
        <f>Accounts!Q282</f>
        <v/>
      </c>
      <c r="G282" s="94">
        <f>Accounts!R282</f>
        <v/>
      </c>
      <c r="H282" s="94">
        <f>Accounts!I282</f>
        <v/>
      </c>
      <c r="I282" s="94">
        <f>Accounts!J282</f>
        <v/>
      </c>
      <c r="J282" s="93">
        <f>Accounts!S282</f>
        <v/>
      </c>
      <c r="K282" s="88" t="n"/>
      <c r="L282" s="95" t="n"/>
      <c r="M282" s="55" t="b">
        <v>0</v>
      </c>
      <c r="N282" s="96" t="b">
        <v>0</v>
      </c>
      <c r="O282" s="55" t="b">
        <v>0</v>
      </c>
      <c r="P282" s="55" t="b">
        <v>0</v>
      </c>
      <c r="Q282" s="55" t="b">
        <v>0</v>
      </c>
      <c r="R282" s="55" t="b">
        <v>0</v>
      </c>
      <c r="S282" s="55" t="b">
        <v>0</v>
      </c>
      <c r="T282" s="55" t="b">
        <v>0</v>
      </c>
      <c r="U282" s="55" t="b">
        <v>0</v>
      </c>
      <c r="V282" s="55" t="b">
        <v>0</v>
      </c>
    </row>
    <row r="283" ht="69" customHeight="1" s="211">
      <c r="A283" s="92">
        <f>Accounts!A283</f>
        <v/>
      </c>
      <c r="B283" s="12" t="b">
        <v>0</v>
      </c>
      <c r="C283" s="93">
        <f>Accounts!N283</f>
        <v/>
      </c>
      <c r="D283" s="94" t="n"/>
      <c r="E283" s="93">
        <f>Accounts!F283</f>
        <v/>
      </c>
      <c r="F283" s="94">
        <f>Accounts!Q283</f>
        <v/>
      </c>
      <c r="G283" s="94">
        <f>Accounts!R283</f>
        <v/>
      </c>
      <c r="H283" s="94">
        <f>Accounts!I283</f>
        <v/>
      </c>
      <c r="I283" s="94">
        <f>Accounts!J283</f>
        <v/>
      </c>
      <c r="J283" s="93">
        <f>Accounts!S283</f>
        <v/>
      </c>
      <c r="K283" s="88" t="n"/>
      <c r="L283" s="95" t="n"/>
      <c r="M283" s="55" t="b">
        <v>0</v>
      </c>
      <c r="N283" s="96" t="b">
        <v>0</v>
      </c>
      <c r="O283" s="55" t="b">
        <v>0</v>
      </c>
      <c r="P283" s="55" t="b">
        <v>0</v>
      </c>
      <c r="Q283" s="55" t="b">
        <v>0</v>
      </c>
      <c r="R283" s="55" t="b">
        <v>0</v>
      </c>
      <c r="S283" s="55" t="b">
        <v>0</v>
      </c>
      <c r="T283" s="55" t="b">
        <v>0</v>
      </c>
      <c r="U283" s="55" t="b">
        <v>0</v>
      </c>
      <c r="V283" s="55" t="b">
        <v>0</v>
      </c>
    </row>
    <row r="284" ht="69" customHeight="1" s="211">
      <c r="A284" s="92">
        <f>Accounts!A284</f>
        <v/>
      </c>
      <c r="B284" s="12" t="b">
        <v>0</v>
      </c>
      <c r="C284" s="93">
        <f>Accounts!N284</f>
        <v/>
      </c>
      <c r="D284" s="94" t="n"/>
      <c r="E284" s="93">
        <f>Accounts!F284</f>
        <v/>
      </c>
      <c r="F284" s="94">
        <f>Accounts!Q284</f>
        <v/>
      </c>
      <c r="G284" s="94">
        <f>Accounts!R284</f>
        <v/>
      </c>
      <c r="H284" s="94">
        <f>Accounts!I284</f>
        <v/>
      </c>
      <c r="I284" s="94">
        <f>Accounts!J284</f>
        <v/>
      </c>
      <c r="J284" s="93">
        <f>Accounts!S284</f>
        <v/>
      </c>
      <c r="K284" s="88" t="n"/>
      <c r="L284" s="95" t="n"/>
      <c r="M284" s="55" t="b">
        <v>0</v>
      </c>
      <c r="N284" s="96" t="b">
        <v>0</v>
      </c>
      <c r="O284" s="55" t="b">
        <v>0</v>
      </c>
      <c r="P284" s="55" t="b">
        <v>0</v>
      </c>
      <c r="Q284" s="55" t="b">
        <v>0</v>
      </c>
      <c r="R284" s="55" t="b">
        <v>0</v>
      </c>
      <c r="S284" s="55" t="b">
        <v>0</v>
      </c>
      <c r="T284" s="55" t="b">
        <v>0</v>
      </c>
      <c r="U284" s="55" t="b">
        <v>0</v>
      </c>
      <c r="V284" s="55" t="b">
        <v>0</v>
      </c>
    </row>
    <row r="285" ht="69" customHeight="1" s="211">
      <c r="A285" s="92">
        <f>Accounts!A285</f>
        <v/>
      </c>
      <c r="B285" s="12" t="b">
        <v>0</v>
      </c>
      <c r="C285" s="93">
        <f>Accounts!N285</f>
        <v/>
      </c>
      <c r="D285" s="94" t="n"/>
      <c r="E285" s="93">
        <f>Accounts!F285</f>
        <v/>
      </c>
      <c r="F285" s="94">
        <f>Accounts!Q285</f>
        <v/>
      </c>
      <c r="G285" s="94">
        <f>Accounts!R285</f>
        <v/>
      </c>
      <c r="H285" s="94">
        <f>Accounts!I285</f>
        <v/>
      </c>
      <c r="I285" s="94">
        <f>Accounts!J285</f>
        <v/>
      </c>
      <c r="J285" s="93">
        <f>Accounts!S285</f>
        <v/>
      </c>
      <c r="K285" s="88" t="n"/>
      <c r="L285" s="95" t="n"/>
      <c r="M285" s="55" t="b">
        <v>0</v>
      </c>
      <c r="N285" s="96" t="b">
        <v>0</v>
      </c>
      <c r="O285" s="55" t="b">
        <v>0</v>
      </c>
      <c r="P285" s="55" t="b">
        <v>0</v>
      </c>
      <c r="Q285" s="55" t="b">
        <v>0</v>
      </c>
      <c r="R285" s="55" t="b">
        <v>0</v>
      </c>
      <c r="S285" s="55" t="b">
        <v>0</v>
      </c>
      <c r="T285" s="55" t="b">
        <v>0</v>
      </c>
      <c r="U285" s="55" t="b">
        <v>0</v>
      </c>
      <c r="V285" s="55" t="b">
        <v>0</v>
      </c>
    </row>
    <row r="286" ht="69" customHeight="1" s="211">
      <c r="A286" s="92">
        <f>Accounts!A286</f>
        <v/>
      </c>
      <c r="B286" s="12" t="b">
        <v>0</v>
      </c>
      <c r="C286" s="93">
        <f>Accounts!N286</f>
        <v/>
      </c>
      <c r="D286" s="94" t="n"/>
      <c r="E286" s="93">
        <f>Accounts!F286</f>
        <v/>
      </c>
      <c r="F286" s="94">
        <f>Accounts!Q286</f>
        <v/>
      </c>
      <c r="G286" s="94">
        <f>Accounts!R286</f>
        <v/>
      </c>
      <c r="H286" s="94">
        <f>Accounts!I286</f>
        <v/>
      </c>
      <c r="I286" s="94">
        <f>Accounts!J286</f>
        <v/>
      </c>
      <c r="J286" s="93">
        <f>Accounts!S286</f>
        <v/>
      </c>
      <c r="K286" s="88" t="n"/>
      <c r="L286" s="95" t="n"/>
      <c r="M286" s="55" t="b">
        <v>0</v>
      </c>
      <c r="N286" s="96" t="b">
        <v>0</v>
      </c>
      <c r="O286" s="55" t="b">
        <v>0</v>
      </c>
      <c r="P286" s="55" t="b">
        <v>0</v>
      </c>
      <c r="Q286" s="55" t="b">
        <v>0</v>
      </c>
      <c r="R286" s="55" t="b">
        <v>0</v>
      </c>
      <c r="S286" s="55" t="b">
        <v>0</v>
      </c>
      <c r="T286" s="55" t="b">
        <v>0</v>
      </c>
      <c r="U286" s="55" t="b">
        <v>0</v>
      </c>
      <c r="V286" s="55" t="b">
        <v>0</v>
      </c>
    </row>
    <row r="287" ht="69" customHeight="1" s="211">
      <c r="A287" s="92">
        <f>Accounts!A287</f>
        <v/>
      </c>
      <c r="B287" s="12" t="b">
        <v>0</v>
      </c>
      <c r="C287" s="93">
        <f>Accounts!N287</f>
        <v/>
      </c>
      <c r="D287" s="94" t="n"/>
      <c r="E287" s="93">
        <f>Accounts!F287</f>
        <v/>
      </c>
      <c r="F287" s="94">
        <f>Accounts!Q287</f>
        <v/>
      </c>
      <c r="G287" s="94">
        <f>Accounts!R287</f>
        <v/>
      </c>
      <c r="H287" s="94">
        <f>Accounts!I287</f>
        <v/>
      </c>
      <c r="I287" s="94">
        <f>Accounts!J287</f>
        <v/>
      </c>
      <c r="J287" s="93">
        <f>Accounts!S287</f>
        <v/>
      </c>
      <c r="K287" s="88" t="n"/>
      <c r="L287" s="95" t="n"/>
      <c r="M287" s="55" t="b">
        <v>0</v>
      </c>
      <c r="N287" s="96" t="b">
        <v>0</v>
      </c>
      <c r="O287" s="55" t="b">
        <v>0</v>
      </c>
      <c r="P287" s="55" t="b">
        <v>0</v>
      </c>
      <c r="Q287" s="55" t="b">
        <v>0</v>
      </c>
      <c r="R287" s="55" t="b">
        <v>0</v>
      </c>
      <c r="S287" s="55" t="b">
        <v>0</v>
      </c>
      <c r="T287" s="55" t="b">
        <v>0</v>
      </c>
      <c r="U287" s="55" t="b">
        <v>0</v>
      </c>
      <c r="V287" s="55" t="b">
        <v>0</v>
      </c>
    </row>
    <row r="288" ht="69" customHeight="1" s="211">
      <c r="A288" s="92">
        <f>Accounts!A288</f>
        <v/>
      </c>
      <c r="B288" s="12" t="b">
        <v>0</v>
      </c>
      <c r="C288" s="93">
        <f>Accounts!N288</f>
        <v/>
      </c>
      <c r="D288" s="94" t="n"/>
      <c r="E288" s="93">
        <f>Accounts!F288</f>
        <v/>
      </c>
      <c r="F288" s="94">
        <f>Accounts!Q288</f>
        <v/>
      </c>
      <c r="G288" s="94">
        <f>Accounts!R288</f>
        <v/>
      </c>
      <c r="H288" s="94">
        <f>Accounts!I288</f>
        <v/>
      </c>
      <c r="I288" s="94">
        <f>Accounts!J288</f>
        <v/>
      </c>
      <c r="J288" s="93">
        <f>Accounts!S288</f>
        <v/>
      </c>
      <c r="K288" s="88" t="n"/>
      <c r="L288" s="95" t="n"/>
      <c r="M288" s="55" t="b">
        <v>0</v>
      </c>
      <c r="N288" s="96" t="b">
        <v>0</v>
      </c>
      <c r="O288" s="55" t="b">
        <v>0</v>
      </c>
      <c r="P288" s="55" t="b">
        <v>0</v>
      </c>
      <c r="Q288" s="55" t="b">
        <v>0</v>
      </c>
      <c r="R288" s="55" t="b">
        <v>0</v>
      </c>
      <c r="S288" s="55" t="b">
        <v>0</v>
      </c>
      <c r="T288" s="55" t="b">
        <v>0</v>
      </c>
      <c r="U288" s="55" t="b">
        <v>0</v>
      </c>
      <c r="V288" s="55" t="b">
        <v>0</v>
      </c>
    </row>
    <row r="289" ht="69" customHeight="1" s="211">
      <c r="A289" s="92">
        <f>Accounts!A289</f>
        <v/>
      </c>
      <c r="B289" s="12" t="b">
        <v>0</v>
      </c>
      <c r="C289" s="93">
        <f>Accounts!N289</f>
        <v/>
      </c>
      <c r="D289" s="94" t="n"/>
      <c r="E289" s="93">
        <f>Accounts!F289</f>
        <v/>
      </c>
      <c r="F289" s="94">
        <f>Accounts!Q289</f>
        <v/>
      </c>
      <c r="G289" s="94">
        <f>Accounts!R289</f>
        <v/>
      </c>
      <c r="H289" s="94">
        <f>Accounts!I289</f>
        <v/>
      </c>
      <c r="I289" s="94">
        <f>Accounts!J289</f>
        <v/>
      </c>
      <c r="J289" s="93">
        <f>Accounts!S289</f>
        <v/>
      </c>
      <c r="K289" s="88" t="n"/>
      <c r="L289" s="95" t="n"/>
      <c r="M289" s="55" t="b">
        <v>0</v>
      </c>
      <c r="N289" s="96" t="b">
        <v>0</v>
      </c>
      <c r="O289" s="55" t="b">
        <v>0</v>
      </c>
      <c r="P289" s="55" t="b">
        <v>0</v>
      </c>
      <c r="Q289" s="55" t="b">
        <v>0</v>
      </c>
      <c r="R289" s="55" t="b">
        <v>0</v>
      </c>
      <c r="S289" s="55" t="b">
        <v>0</v>
      </c>
      <c r="T289" s="55" t="b">
        <v>0</v>
      </c>
      <c r="U289" s="55" t="b">
        <v>0</v>
      </c>
      <c r="V289" s="55" t="b">
        <v>0</v>
      </c>
    </row>
    <row r="290" ht="69" customHeight="1" s="211">
      <c r="A290" s="92">
        <f>Accounts!A290</f>
        <v/>
      </c>
      <c r="B290" s="12" t="b">
        <v>0</v>
      </c>
      <c r="C290" s="93">
        <f>Accounts!N290</f>
        <v/>
      </c>
      <c r="D290" s="94" t="n"/>
      <c r="E290" s="93">
        <f>Accounts!F290</f>
        <v/>
      </c>
      <c r="F290" s="94">
        <f>Accounts!Q290</f>
        <v/>
      </c>
      <c r="G290" s="94">
        <f>Accounts!R290</f>
        <v/>
      </c>
      <c r="H290" s="94">
        <f>Accounts!I290</f>
        <v/>
      </c>
      <c r="I290" s="94">
        <f>Accounts!J290</f>
        <v/>
      </c>
      <c r="J290" s="93">
        <f>Accounts!S290</f>
        <v/>
      </c>
      <c r="K290" s="88" t="n"/>
      <c r="L290" s="95" t="n"/>
      <c r="M290" s="55" t="b">
        <v>0</v>
      </c>
      <c r="N290" s="96" t="b">
        <v>0</v>
      </c>
      <c r="O290" s="55" t="b">
        <v>0</v>
      </c>
      <c r="P290" s="55" t="b">
        <v>0</v>
      </c>
      <c r="Q290" s="55" t="b">
        <v>0</v>
      </c>
      <c r="R290" s="55" t="b">
        <v>0</v>
      </c>
      <c r="S290" s="55" t="b">
        <v>0</v>
      </c>
      <c r="T290" s="55" t="b">
        <v>0</v>
      </c>
      <c r="U290" s="55" t="b">
        <v>0</v>
      </c>
      <c r="V290" s="55" t="b">
        <v>0</v>
      </c>
    </row>
    <row r="291" ht="69" customHeight="1" s="211">
      <c r="A291" s="92">
        <f>Accounts!A291</f>
        <v/>
      </c>
      <c r="B291" s="12" t="b">
        <v>0</v>
      </c>
      <c r="C291" s="93">
        <f>Accounts!N291</f>
        <v/>
      </c>
      <c r="D291" s="94" t="n"/>
      <c r="E291" s="93">
        <f>Accounts!F291</f>
        <v/>
      </c>
      <c r="F291" s="94">
        <f>Accounts!Q291</f>
        <v/>
      </c>
      <c r="G291" s="94">
        <f>Accounts!R291</f>
        <v/>
      </c>
      <c r="H291" s="94">
        <f>Accounts!I291</f>
        <v/>
      </c>
      <c r="I291" s="94">
        <f>Accounts!J291</f>
        <v/>
      </c>
      <c r="J291" s="93">
        <f>Accounts!S291</f>
        <v/>
      </c>
      <c r="K291" s="88" t="n"/>
      <c r="L291" s="95" t="n"/>
      <c r="M291" s="55" t="b">
        <v>0</v>
      </c>
      <c r="N291" s="96" t="b">
        <v>0</v>
      </c>
      <c r="O291" s="55" t="b">
        <v>0</v>
      </c>
      <c r="P291" s="55" t="b">
        <v>0</v>
      </c>
      <c r="Q291" s="55" t="b">
        <v>0</v>
      </c>
      <c r="R291" s="55" t="b">
        <v>0</v>
      </c>
      <c r="S291" s="55" t="b">
        <v>0</v>
      </c>
      <c r="T291" s="55" t="b">
        <v>0</v>
      </c>
      <c r="U291" s="55" t="b">
        <v>0</v>
      </c>
      <c r="V291" s="55" t="b">
        <v>0</v>
      </c>
    </row>
    <row r="292" ht="69" customHeight="1" s="211">
      <c r="A292" s="92">
        <f>Accounts!A292</f>
        <v/>
      </c>
      <c r="B292" s="12" t="b">
        <v>0</v>
      </c>
      <c r="C292" s="93">
        <f>Accounts!N292</f>
        <v/>
      </c>
      <c r="D292" s="94" t="n"/>
      <c r="E292" s="93">
        <f>Accounts!F292</f>
        <v/>
      </c>
      <c r="F292" s="94">
        <f>Accounts!Q292</f>
        <v/>
      </c>
      <c r="G292" s="94">
        <f>Accounts!R292</f>
        <v/>
      </c>
      <c r="H292" s="94">
        <f>Accounts!I292</f>
        <v/>
      </c>
      <c r="I292" s="94">
        <f>Accounts!J292</f>
        <v/>
      </c>
      <c r="J292" s="93">
        <f>Accounts!S292</f>
        <v/>
      </c>
      <c r="K292" s="88" t="n"/>
      <c r="L292" s="95" t="n"/>
      <c r="M292" s="55" t="b">
        <v>0</v>
      </c>
      <c r="N292" s="96" t="b">
        <v>0</v>
      </c>
      <c r="O292" s="55" t="b">
        <v>0</v>
      </c>
      <c r="P292" s="55" t="b">
        <v>0</v>
      </c>
      <c r="Q292" s="55" t="b">
        <v>0</v>
      </c>
      <c r="R292" s="55" t="b">
        <v>0</v>
      </c>
      <c r="S292" s="55" t="b">
        <v>0</v>
      </c>
      <c r="T292" s="55" t="b">
        <v>0</v>
      </c>
      <c r="U292" s="55" t="b">
        <v>0</v>
      </c>
      <c r="V292" s="55" t="b">
        <v>0</v>
      </c>
    </row>
    <row r="293" ht="69" customHeight="1" s="211">
      <c r="A293" s="92">
        <f>Accounts!A293</f>
        <v/>
      </c>
      <c r="B293" s="12" t="b">
        <v>0</v>
      </c>
      <c r="C293" s="93">
        <f>Accounts!N293</f>
        <v/>
      </c>
      <c r="D293" s="94" t="n"/>
      <c r="E293" s="93">
        <f>Accounts!F293</f>
        <v/>
      </c>
      <c r="F293" s="94">
        <f>Accounts!Q293</f>
        <v/>
      </c>
      <c r="G293" s="94">
        <f>Accounts!R293</f>
        <v/>
      </c>
      <c r="H293" s="94">
        <f>Accounts!I293</f>
        <v/>
      </c>
      <c r="I293" s="94">
        <f>Accounts!J293</f>
        <v/>
      </c>
      <c r="J293" s="93">
        <f>Accounts!S293</f>
        <v/>
      </c>
      <c r="K293" s="88" t="n"/>
      <c r="L293" s="95" t="n"/>
      <c r="M293" s="55" t="b">
        <v>0</v>
      </c>
      <c r="N293" s="96" t="b">
        <v>0</v>
      </c>
      <c r="O293" s="55" t="b">
        <v>0</v>
      </c>
      <c r="P293" s="55" t="b">
        <v>0</v>
      </c>
      <c r="Q293" s="55" t="b">
        <v>0</v>
      </c>
      <c r="R293" s="55" t="b">
        <v>0</v>
      </c>
      <c r="S293" s="55" t="b">
        <v>0</v>
      </c>
      <c r="T293" s="55" t="b">
        <v>0</v>
      </c>
      <c r="U293" s="55" t="b">
        <v>0</v>
      </c>
      <c r="V293" s="55" t="b">
        <v>0</v>
      </c>
    </row>
    <row r="294" ht="69" customHeight="1" s="211">
      <c r="A294" s="92">
        <f>Accounts!A294</f>
        <v/>
      </c>
      <c r="B294" s="12" t="b">
        <v>0</v>
      </c>
      <c r="C294" s="93">
        <f>Accounts!N294</f>
        <v/>
      </c>
      <c r="D294" s="94" t="n"/>
      <c r="E294" s="93">
        <f>Accounts!F294</f>
        <v/>
      </c>
      <c r="F294" s="94">
        <f>Accounts!Q294</f>
        <v/>
      </c>
      <c r="G294" s="94">
        <f>Accounts!R294</f>
        <v/>
      </c>
      <c r="H294" s="94">
        <f>Accounts!I294</f>
        <v/>
      </c>
      <c r="I294" s="94">
        <f>Accounts!J294</f>
        <v/>
      </c>
      <c r="J294" s="93">
        <f>Accounts!S294</f>
        <v/>
      </c>
      <c r="K294" s="88" t="n"/>
      <c r="L294" s="95" t="n"/>
      <c r="M294" s="55" t="b">
        <v>0</v>
      </c>
      <c r="N294" s="96" t="b">
        <v>0</v>
      </c>
      <c r="O294" s="55" t="b">
        <v>0</v>
      </c>
      <c r="P294" s="55" t="b">
        <v>0</v>
      </c>
      <c r="Q294" s="55" t="b">
        <v>0</v>
      </c>
      <c r="R294" s="55" t="b">
        <v>0</v>
      </c>
      <c r="S294" s="55" t="b">
        <v>0</v>
      </c>
      <c r="T294" s="55" t="b">
        <v>0</v>
      </c>
      <c r="U294" s="55" t="b">
        <v>0</v>
      </c>
      <c r="V294" s="55" t="b">
        <v>0</v>
      </c>
    </row>
    <row r="295" ht="69" customHeight="1" s="211">
      <c r="A295" s="92">
        <f>Accounts!A295</f>
        <v/>
      </c>
      <c r="B295" s="12" t="b">
        <v>0</v>
      </c>
      <c r="C295" s="93">
        <f>Accounts!N295</f>
        <v/>
      </c>
      <c r="D295" s="94" t="n"/>
      <c r="E295" s="93">
        <f>Accounts!F295</f>
        <v/>
      </c>
      <c r="F295" s="94">
        <f>Accounts!Q295</f>
        <v/>
      </c>
      <c r="G295" s="94">
        <f>Accounts!R295</f>
        <v/>
      </c>
      <c r="H295" s="94">
        <f>Accounts!I295</f>
        <v/>
      </c>
      <c r="I295" s="94">
        <f>Accounts!J295</f>
        <v/>
      </c>
      <c r="J295" s="93">
        <f>Accounts!S295</f>
        <v/>
      </c>
      <c r="K295" s="88" t="n"/>
      <c r="L295" s="95" t="n"/>
      <c r="M295" s="55" t="b">
        <v>0</v>
      </c>
      <c r="N295" s="96" t="b">
        <v>0</v>
      </c>
      <c r="O295" s="55" t="b">
        <v>0</v>
      </c>
      <c r="P295" s="55" t="b">
        <v>0</v>
      </c>
      <c r="Q295" s="55" t="b">
        <v>0</v>
      </c>
      <c r="R295" s="55" t="b">
        <v>0</v>
      </c>
      <c r="S295" s="55" t="b">
        <v>0</v>
      </c>
      <c r="T295" s="55" t="b">
        <v>0</v>
      </c>
      <c r="U295" s="55" t="b">
        <v>0</v>
      </c>
      <c r="V295" s="55" t="b">
        <v>0</v>
      </c>
    </row>
    <row r="296" ht="69" customHeight="1" s="211">
      <c r="A296" s="92">
        <f>Accounts!A296</f>
        <v/>
      </c>
      <c r="B296" s="12" t="b">
        <v>0</v>
      </c>
      <c r="C296" s="93">
        <f>Accounts!N296</f>
        <v/>
      </c>
      <c r="D296" s="94" t="n"/>
      <c r="E296" s="93">
        <f>Accounts!F296</f>
        <v/>
      </c>
      <c r="F296" s="94">
        <f>Accounts!Q296</f>
        <v/>
      </c>
      <c r="G296" s="94">
        <f>Accounts!R296</f>
        <v/>
      </c>
      <c r="H296" s="94">
        <f>Accounts!I296</f>
        <v/>
      </c>
      <c r="I296" s="94">
        <f>Accounts!J296</f>
        <v/>
      </c>
      <c r="J296" s="93">
        <f>Accounts!S296</f>
        <v/>
      </c>
      <c r="K296" s="88" t="n"/>
      <c r="L296" s="95" t="n"/>
      <c r="M296" s="55" t="b">
        <v>0</v>
      </c>
      <c r="N296" s="96" t="b">
        <v>0</v>
      </c>
      <c r="O296" s="55" t="b">
        <v>0</v>
      </c>
      <c r="P296" s="55" t="b">
        <v>0</v>
      </c>
      <c r="Q296" s="55" t="b">
        <v>0</v>
      </c>
      <c r="R296" s="55" t="b">
        <v>0</v>
      </c>
      <c r="S296" s="55" t="b">
        <v>0</v>
      </c>
      <c r="T296" s="55" t="b">
        <v>0</v>
      </c>
      <c r="U296" s="55" t="b">
        <v>0</v>
      </c>
      <c r="V296" s="55" t="b">
        <v>0</v>
      </c>
    </row>
    <row r="297" ht="69" customHeight="1" s="211">
      <c r="A297" s="92">
        <f>Accounts!A297</f>
        <v/>
      </c>
      <c r="B297" s="12" t="b">
        <v>0</v>
      </c>
      <c r="C297" s="93">
        <f>Accounts!N297</f>
        <v/>
      </c>
      <c r="D297" s="94" t="n"/>
      <c r="E297" s="93">
        <f>Accounts!F297</f>
        <v/>
      </c>
      <c r="F297" s="94">
        <f>Accounts!Q297</f>
        <v/>
      </c>
      <c r="G297" s="94">
        <f>Accounts!R297</f>
        <v/>
      </c>
      <c r="H297" s="94">
        <f>Accounts!I297</f>
        <v/>
      </c>
      <c r="I297" s="94">
        <f>Accounts!J297</f>
        <v/>
      </c>
      <c r="J297" s="93">
        <f>Accounts!S297</f>
        <v/>
      </c>
      <c r="K297" s="88" t="n"/>
      <c r="L297" s="95" t="n"/>
      <c r="M297" s="55" t="b">
        <v>0</v>
      </c>
      <c r="N297" s="96" t="b">
        <v>0</v>
      </c>
      <c r="O297" s="55" t="b">
        <v>0</v>
      </c>
      <c r="P297" s="55" t="b">
        <v>0</v>
      </c>
      <c r="Q297" s="55" t="b">
        <v>0</v>
      </c>
      <c r="R297" s="55" t="b">
        <v>0</v>
      </c>
      <c r="S297" s="55" t="b">
        <v>0</v>
      </c>
      <c r="T297" s="55" t="b">
        <v>0</v>
      </c>
      <c r="U297" s="55" t="b">
        <v>0</v>
      </c>
      <c r="V297" s="55" t="b">
        <v>0</v>
      </c>
    </row>
    <row r="298" ht="69" customHeight="1" s="211">
      <c r="A298" s="92">
        <f>Accounts!A298</f>
        <v/>
      </c>
      <c r="B298" s="12" t="b">
        <v>0</v>
      </c>
      <c r="C298" s="93">
        <f>Accounts!N298</f>
        <v/>
      </c>
      <c r="D298" s="94" t="n"/>
      <c r="E298" s="93">
        <f>Accounts!F298</f>
        <v/>
      </c>
      <c r="F298" s="94">
        <f>Accounts!Q298</f>
        <v/>
      </c>
      <c r="G298" s="94">
        <f>Accounts!R298</f>
        <v/>
      </c>
      <c r="H298" s="94">
        <f>Accounts!I298</f>
        <v/>
      </c>
      <c r="I298" s="94">
        <f>Accounts!J298</f>
        <v/>
      </c>
      <c r="J298" s="93">
        <f>Accounts!S298</f>
        <v/>
      </c>
      <c r="K298" s="88" t="n"/>
      <c r="L298" s="95" t="n"/>
      <c r="M298" s="55" t="b">
        <v>0</v>
      </c>
      <c r="N298" s="96" t="b">
        <v>0</v>
      </c>
      <c r="O298" s="55" t="b">
        <v>0</v>
      </c>
      <c r="P298" s="55" t="b">
        <v>0</v>
      </c>
      <c r="Q298" s="55" t="b">
        <v>0</v>
      </c>
      <c r="R298" s="55" t="b">
        <v>0</v>
      </c>
      <c r="S298" s="55" t="b">
        <v>0</v>
      </c>
      <c r="T298" s="55" t="b">
        <v>0</v>
      </c>
      <c r="U298" s="55" t="b">
        <v>0</v>
      </c>
      <c r="V298" s="55" t="b">
        <v>0</v>
      </c>
    </row>
    <row r="299" ht="69" customHeight="1" s="211">
      <c r="A299" s="92">
        <f>Accounts!A299</f>
        <v/>
      </c>
      <c r="B299" s="12" t="b">
        <v>0</v>
      </c>
      <c r="C299" s="93">
        <f>Accounts!N299</f>
        <v/>
      </c>
      <c r="D299" s="94" t="n"/>
      <c r="E299" s="93">
        <f>Accounts!F299</f>
        <v/>
      </c>
      <c r="F299" s="94">
        <f>Accounts!Q299</f>
        <v/>
      </c>
      <c r="G299" s="94">
        <f>Accounts!R299</f>
        <v/>
      </c>
      <c r="H299" s="94">
        <f>Accounts!I299</f>
        <v/>
      </c>
      <c r="I299" s="94">
        <f>Accounts!J299</f>
        <v/>
      </c>
      <c r="J299" s="93">
        <f>Accounts!S299</f>
        <v/>
      </c>
      <c r="K299" s="88" t="n"/>
      <c r="L299" s="95" t="n"/>
      <c r="M299" s="55" t="b">
        <v>0</v>
      </c>
      <c r="N299" s="96" t="b">
        <v>0</v>
      </c>
      <c r="O299" s="55" t="b">
        <v>0</v>
      </c>
      <c r="P299" s="55" t="b">
        <v>0</v>
      </c>
      <c r="Q299" s="55" t="b">
        <v>0</v>
      </c>
      <c r="R299" s="55" t="b">
        <v>0</v>
      </c>
      <c r="S299" s="55" t="b">
        <v>0</v>
      </c>
      <c r="T299" s="55" t="b">
        <v>0</v>
      </c>
      <c r="U299" s="55" t="b">
        <v>0</v>
      </c>
      <c r="V299" s="55" t="b">
        <v>0</v>
      </c>
    </row>
    <row r="300" ht="69" customHeight="1" s="211">
      <c r="A300" s="92">
        <f>Accounts!A300</f>
        <v/>
      </c>
      <c r="B300" s="12" t="b">
        <v>0</v>
      </c>
      <c r="C300" s="93">
        <f>Accounts!N300</f>
        <v/>
      </c>
      <c r="D300" s="94" t="n"/>
      <c r="E300" s="93">
        <f>Accounts!F300</f>
        <v/>
      </c>
      <c r="F300" s="94">
        <f>Accounts!Q300</f>
        <v/>
      </c>
      <c r="G300" s="94">
        <f>Accounts!R300</f>
        <v/>
      </c>
      <c r="H300" s="94">
        <f>Accounts!I300</f>
        <v/>
      </c>
      <c r="I300" s="94">
        <f>Accounts!J300</f>
        <v/>
      </c>
      <c r="J300" s="93">
        <f>Accounts!S300</f>
        <v/>
      </c>
      <c r="K300" s="88" t="n"/>
      <c r="L300" s="95" t="n"/>
      <c r="M300" s="55" t="b">
        <v>0</v>
      </c>
      <c r="N300" s="96" t="b">
        <v>0</v>
      </c>
      <c r="O300" s="55" t="b">
        <v>0</v>
      </c>
      <c r="P300" s="55" t="b">
        <v>0</v>
      </c>
      <c r="Q300" s="55" t="b">
        <v>0</v>
      </c>
      <c r="R300" s="55" t="b">
        <v>0</v>
      </c>
      <c r="S300" s="55" t="b">
        <v>0</v>
      </c>
      <c r="T300" s="55" t="b">
        <v>0</v>
      </c>
      <c r="U300" s="55" t="b">
        <v>0</v>
      </c>
      <c r="V300" s="55" t="b">
        <v>0</v>
      </c>
    </row>
    <row r="301" ht="69" customHeight="1" s="211">
      <c r="A301" s="92">
        <f>Accounts!A301</f>
        <v/>
      </c>
      <c r="B301" s="12" t="b">
        <v>0</v>
      </c>
      <c r="C301" s="93">
        <f>Accounts!N301</f>
        <v/>
      </c>
      <c r="D301" s="94" t="n"/>
      <c r="E301" s="93">
        <f>Accounts!F301</f>
        <v/>
      </c>
      <c r="F301" s="94">
        <f>Accounts!Q301</f>
        <v/>
      </c>
      <c r="G301" s="94">
        <f>Accounts!R301</f>
        <v/>
      </c>
      <c r="H301" s="94">
        <f>Accounts!I301</f>
        <v/>
      </c>
      <c r="I301" s="94">
        <f>Accounts!J301</f>
        <v/>
      </c>
      <c r="J301" s="93">
        <f>Accounts!S301</f>
        <v/>
      </c>
      <c r="K301" s="88" t="n"/>
      <c r="L301" s="95" t="n"/>
      <c r="M301" s="55" t="b">
        <v>0</v>
      </c>
      <c r="N301" s="96" t="b">
        <v>0</v>
      </c>
      <c r="O301" s="55" t="b">
        <v>0</v>
      </c>
      <c r="P301" s="55" t="b">
        <v>0</v>
      </c>
      <c r="Q301" s="55" t="b">
        <v>0</v>
      </c>
      <c r="R301" s="55" t="b">
        <v>0</v>
      </c>
      <c r="S301" s="55" t="b">
        <v>0</v>
      </c>
      <c r="T301" s="55" t="b">
        <v>0</v>
      </c>
      <c r="U301" s="55" t="b">
        <v>0</v>
      </c>
      <c r="V301" s="55" t="b">
        <v>0</v>
      </c>
    </row>
    <row r="302" ht="69" customHeight="1" s="211">
      <c r="A302" s="92">
        <f>Accounts!A302</f>
        <v/>
      </c>
      <c r="B302" s="12" t="b">
        <v>0</v>
      </c>
      <c r="C302" s="93">
        <f>Accounts!N302</f>
        <v/>
      </c>
      <c r="D302" s="94" t="n"/>
      <c r="E302" s="93">
        <f>Accounts!F302</f>
        <v/>
      </c>
      <c r="F302" s="94">
        <f>Accounts!Q302</f>
        <v/>
      </c>
      <c r="G302" s="94">
        <f>Accounts!R302</f>
        <v/>
      </c>
      <c r="H302" s="94">
        <f>Accounts!I302</f>
        <v/>
      </c>
      <c r="I302" s="94">
        <f>Accounts!J302</f>
        <v/>
      </c>
      <c r="J302" s="93">
        <f>Accounts!S302</f>
        <v/>
      </c>
      <c r="K302" s="88" t="n"/>
      <c r="L302" s="95" t="n"/>
      <c r="M302" s="55" t="b">
        <v>0</v>
      </c>
      <c r="N302" s="96" t="b">
        <v>0</v>
      </c>
      <c r="O302" s="55" t="b">
        <v>0</v>
      </c>
      <c r="P302" s="55" t="b">
        <v>0</v>
      </c>
      <c r="Q302" s="55" t="b">
        <v>0</v>
      </c>
      <c r="R302" s="55" t="b">
        <v>0</v>
      </c>
      <c r="S302" s="55" t="b">
        <v>0</v>
      </c>
      <c r="T302" s="55" t="b">
        <v>0</v>
      </c>
      <c r="U302" s="55" t="b">
        <v>0</v>
      </c>
      <c r="V302" s="55" t="b">
        <v>0</v>
      </c>
    </row>
    <row r="303" ht="69" customHeight="1" s="211">
      <c r="A303" s="92">
        <f>Accounts!A303</f>
        <v/>
      </c>
      <c r="B303" s="12" t="b">
        <v>0</v>
      </c>
      <c r="C303" s="93">
        <f>Accounts!N303</f>
        <v/>
      </c>
      <c r="D303" s="94" t="n"/>
      <c r="E303" s="93">
        <f>Accounts!F303</f>
        <v/>
      </c>
      <c r="F303" s="94">
        <f>Accounts!Q303</f>
        <v/>
      </c>
      <c r="G303" s="94">
        <f>Accounts!R303</f>
        <v/>
      </c>
      <c r="H303" s="94">
        <f>Accounts!I303</f>
        <v/>
      </c>
      <c r="I303" s="94">
        <f>Accounts!J303</f>
        <v/>
      </c>
      <c r="J303" s="93">
        <f>Accounts!S303</f>
        <v/>
      </c>
      <c r="K303" s="88" t="n"/>
      <c r="L303" s="95" t="n"/>
      <c r="M303" s="55" t="b">
        <v>0</v>
      </c>
      <c r="N303" s="96" t="b">
        <v>0</v>
      </c>
      <c r="O303" s="55" t="b">
        <v>0</v>
      </c>
      <c r="P303" s="55" t="b">
        <v>0</v>
      </c>
      <c r="Q303" s="55" t="b">
        <v>0</v>
      </c>
      <c r="R303" s="55" t="b">
        <v>0</v>
      </c>
      <c r="S303" s="55" t="b">
        <v>0</v>
      </c>
      <c r="T303" s="55" t="b">
        <v>0</v>
      </c>
      <c r="U303" s="55" t="b">
        <v>0</v>
      </c>
      <c r="V303" s="55" t="b">
        <v>0</v>
      </c>
    </row>
    <row r="304" ht="69" customHeight="1" s="211">
      <c r="A304" s="92">
        <f>Accounts!A304</f>
        <v/>
      </c>
      <c r="B304" s="12" t="b">
        <v>0</v>
      </c>
      <c r="C304" s="93">
        <f>Accounts!N304</f>
        <v/>
      </c>
      <c r="D304" s="94" t="n"/>
      <c r="E304" s="93">
        <f>Accounts!F304</f>
        <v/>
      </c>
      <c r="F304" s="94">
        <f>Accounts!Q304</f>
        <v/>
      </c>
      <c r="G304" s="94">
        <f>Accounts!R304</f>
        <v/>
      </c>
      <c r="H304" s="94">
        <f>Accounts!I304</f>
        <v/>
      </c>
      <c r="I304" s="94">
        <f>Accounts!J304</f>
        <v/>
      </c>
      <c r="J304" s="93">
        <f>Accounts!S304</f>
        <v/>
      </c>
      <c r="K304" s="88" t="n"/>
      <c r="L304" s="95" t="n"/>
      <c r="M304" s="55" t="b">
        <v>0</v>
      </c>
      <c r="N304" s="96" t="b">
        <v>0</v>
      </c>
      <c r="O304" s="55" t="b">
        <v>0</v>
      </c>
      <c r="P304" s="55" t="b">
        <v>0</v>
      </c>
      <c r="Q304" s="55" t="b">
        <v>0</v>
      </c>
      <c r="R304" s="55" t="b">
        <v>0</v>
      </c>
      <c r="S304" s="55" t="b">
        <v>0</v>
      </c>
      <c r="T304" s="55" t="b">
        <v>0</v>
      </c>
      <c r="U304" s="55" t="b">
        <v>0</v>
      </c>
      <c r="V304" s="55" t="b">
        <v>0</v>
      </c>
    </row>
    <row r="305" ht="69" customHeight="1" s="211">
      <c r="A305" s="92">
        <f>Accounts!A305</f>
        <v/>
      </c>
      <c r="B305" s="12" t="b">
        <v>0</v>
      </c>
      <c r="C305" s="93">
        <f>Accounts!N305</f>
        <v/>
      </c>
      <c r="D305" s="94" t="n"/>
      <c r="E305" s="93">
        <f>Accounts!F305</f>
        <v/>
      </c>
      <c r="F305" s="94">
        <f>Accounts!Q305</f>
        <v/>
      </c>
      <c r="G305" s="94">
        <f>Accounts!R305</f>
        <v/>
      </c>
      <c r="H305" s="94">
        <f>Accounts!I305</f>
        <v/>
      </c>
      <c r="I305" s="94">
        <f>Accounts!J305</f>
        <v/>
      </c>
      <c r="J305" s="93">
        <f>Accounts!S305</f>
        <v/>
      </c>
      <c r="K305" s="88" t="n"/>
      <c r="L305" s="95" t="n"/>
      <c r="M305" s="55" t="b">
        <v>0</v>
      </c>
      <c r="N305" s="96" t="b">
        <v>0</v>
      </c>
      <c r="O305" s="55" t="b">
        <v>0</v>
      </c>
      <c r="P305" s="55" t="b">
        <v>0</v>
      </c>
      <c r="Q305" s="55" t="b">
        <v>0</v>
      </c>
      <c r="R305" s="55" t="b">
        <v>0</v>
      </c>
      <c r="S305" s="55" t="b">
        <v>0</v>
      </c>
      <c r="T305" s="55" t="b">
        <v>0</v>
      </c>
      <c r="U305" s="55" t="b">
        <v>0</v>
      </c>
      <c r="V305" s="55" t="b">
        <v>0</v>
      </c>
    </row>
    <row r="306" ht="69" customHeight="1" s="211">
      <c r="A306" s="92">
        <f>Accounts!A306</f>
        <v/>
      </c>
      <c r="B306" s="12" t="b">
        <v>0</v>
      </c>
      <c r="C306" s="93">
        <f>Accounts!N306</f>
        <v/>
      </c>
      <c r="D306" s="94" t="n"/>
      <c r="E306" s="93">
        <f>Accounts!F306</f>
        <v/>
      </c>
      <c r="F306" s="94">
        <f>Accounts!Q306</f>
        <v/>
      </c>
      <c r="G306" s="94">
        <f>Accounts!R306</f>
        <v/>
      </c>
      <c r="H306" s="94">
        <f>Accounts!I306</f>
        <v/>
      </c>
      <c r="I306" s="94">
        <f>Accounts!J306</f>
        <v/>
      </c>
      <c r="J306" s="93">
        <f>Accounts!S306</f>
        <v/>
      </c>
      <c r="K306" s="88" t="n"/>
      <c r="L306" s="95" t="n"/>
      <c r="M306" s="55" t="b">
        <v>0</v>
      </c>
      <c r="N306" s="96" t="b">
        <v>0</v>
      </c>
      <c r="O306" s="55" t="b">
        <v>0</v>
      </c>
      <c r="P306" s="55" t="b">
        <v>0</v>
      </c>
      <c r="Q306" s="55" t="b">
        <v>0</v>
      </c>
      <c r="R306" s="55" t="b">
        <v>0</v>
      </c>
      <c r="S306" s="55" t="b">
        <v>0</v>
      </c>
      <c r="T306" s="55" t="b">
        <v>0</v>
      </c>
      <c r="U306" s="55" t="b">
        <v>0</v>
      </c>
      <c r="V306" s="55" t="b">
        <v>0</v>
      </c>
    </row>
    <row r="307" ht="69" customHeight="1" s="211">
      <c r="A307" s="92">
        <f>Accounts!A307</f>
        <v/>
      </c>
      <c r="B307" s="12" t="b">
        <v>0</v>
      </c>
      <c r="C307" s="93">
        <f>Accounts!N307</f>
        <v/>
      </c>
      <c r="D307" s="94" t="n"/>
      <c r="E307" s="93">
        <f>Accounts!F307</f>
        <v/>
      </c>
      <c r="F307" s="94">
        <f>Accounts!Q307</f>
        <v/>
      </c>
      <c r="G307" s="94">
        <f>Accounts!R307</f>
        <v/>
      </c>
      <c r="H307" s="94">
        <f>Accounts!I307</f>
        <v/>
      </c>
      <c r="I307" s="94">
        <f>Accounts!J307</f>
        <v/>
      </c>
      <c r="J307" s="93">
        <f>Accounts!S307</f>
        <v/>
      </c>
      <c r="K307" s="88" t="n"/>
      <c r="L307" s="95" t="n"/>
      <c r="M307" s="55" t="b">
        <v>0</v>
      </c>
      <c r="N307" s="96" t="b">
        <v>0</v>
      </c>
      <c r="O307" s="55" t="b">
        <v>0</v>
      </c>
      <c r="P307" s="55" t="b">
        <v>0</v>
      </c>
      <c r="Q307" s="55" t="b">
        <v>0</v>
      </c>
      <c r="R307" s="55" t="b">
        <v>0</v>
      </c>
      <c r="S307" s="55" t="b">
        <v>0</v>
      </c>
      <c r="T307" s="55" t="b">
        <v>0</v>
      </c>
      <c r="U307" s="55" t="b">
        <v>0</v>
      </c>
      <c r="V307" s="55" t="b">
        <v>0</v>
      </c>
    </row>
    <row r="308" ht="69" customHeight="1" s="211">
      <c r="A308" s="92">
        <f>Accounts!A308</f>
        <v/>
      </c>
      <c r="B308" s="12" t="b">
        <v>0</v>
      </c>
      <c r="C308" s="93">
        <f>Accounts!N308</f>
        <v/>
      </c>
      <c r="D308" s="94" t="n"/>
      <c r="E308" s="93">
        <f>Accounts!F308</f>
        <v/>
      </c>
      <c r="F308" s="94">
        <f>Accounts!Q308</f>
        <v/>
      </c>
      <c r="G308" s="94">
        <f>Accounts!R308</f>
        <v/>
      </c>
      <c r="H308" s="94">
        <f>Accounts!I308</f>
        <v/>
      </c>
      <c r="I308" s="94">
        <f>Accounts!J308</f>
        <v/>
      </c>
      <c r="J308" s="93">
        <f>Accounts!S308</f>
        <v/>
      </c>
      <c r="K308" s="88" t="n"/>
      <c r="L308" s="95" t="n"/>
      <c r="M308" s="55" t="b">
        <v>0</v>
      </c>
      <c r="N308" s="96" t="b">
        <v>0</v>
      </c>
      <c r="O308" s="55" t="b">
        <v>0</v>
      </c>
      <c r="P308" s="55" t="b">
        <v>0</v>
      </c>
      <c r="Q308" s="55" t="b">
        <v>0</v>
      </c>
      <c r="R308" s="55" t="b">
        <v>0</v>
      </c>
      <c r="S308" s="55" t="b">
        <v>0</v>
      </c>
      <c r="T308" s="55" t="b">
        <v>0</v>
      </c>
      <c r="U308" s="55" t="b">
        <v>0</v>
      </c>
      <c r="V308" s="55" t="b">
        <v>0</v>
      </c>
    </row>
    <row r="309" ht="69" customHeight="1" s="211">
      <c r="A309" s="92">
        <f>Accounts!A309</f>
        <v/>
      </c>
      <c r="B309" s="12" t="b">
        <v>0</v>
      </c>
      <c r="C309" s="93">
        <f>Accounts!N309</f>
        <v/>
      </c>
      <c r="D309" s="94" t="n"/>
      <c r="E309" s="93">
        <f>Accounts!F309</f>
        <v/>
      </c>
      <c r="F309" s="94">
        <f>Accounts!Q309</f>
        <v/>
      </c>
      <c r="G309" s="94">
        <f>Accounts!R309</f>
        <v/>
      </c>
      <c r="H309" s="94">
        <f>Accounts!I309</f>
        <v/>
      </c>
      <c r="I309" s="94">
        <f>Accounts!J309</f>
        <v/>
      </c>
      <c r="J309" s="93">
        <f>Accounts!S309</f>
        <v/>
      </c>
      <c r="K309" s="88" t="n"/>
      <c r="L309" s="95" t="n"/>
      <c r="M309" s="55" t="b">
        <v>0</v>
      </c>
      <c r="N309" s="96" t="b">
        <v>0</v>
      </c>
      <c r="O309" s="55" t="b">
        <v>0</v>
      </c>
      <c r="P309" s="55" t="b">
        <v>0</v>
      </c>
      <c r="Q309" s="55" t="b">
        <v>0</v>
      </c>
      <c r="R309" s="55" t="b">
        <v>0</v>
      </c>
      <c r="S309" s="55" t="b">
        <v>0</v>
      </c>
      <c r="T309" s="55" t="b">
        <v>0</v>
      </c>
      <c r="U309" s="55" t="b">
        <v>0</v>
      </c>
      <c r="V309" s="55" t="b">
        <v>0</v>
      </c>
    </row>
    <row r="310" ht="69" customHeight="1" s="211">
      <c r="A310" s="92">
        <f>Accounts!A310</f>
        <v/>
      </c>
      <c r="B310" s="12" t="b">
        <v>0</v>
      </c>
      <c r="C310" s="93">
        <f>Accounts!N310</f>
        <v/>
      </c>
      <c r="D310" s="94" t="n"/>
      <c r="E310" s="93">
        <f>Accounts!F310</f>
        <v/>
      </c>
      <c r="F310" s="94">
        <f>Accounts!Q310</f>
        <v/>
      </c>
      <c r="G310" s="94">
        <f>Accounts!R310</f>
        <v/>
      </c>
      <c r="H310" s="94">
        <f>Accounts!I310</f>
        <v/>
      </c>
      <c r="I310" s="94">
        <f>Accounts!J310</f>
        <v/>
      </c>
      <c r="J310" s="93">
        <f>Accounts!S310</f>
        <v/>
      </c>
      <c r="K310" s="88" t="n"/>
      <c r="L310" s="95" t="n"/>
      <c r="M310" s="55" t="b">
        <v>0</v>
      </c>
      <c r="N310" s="96" t="b">
        <v>0</v>
      </c>
      <c r="O310" s="55" t="b">
        <v>0</v>
      </c>
      <c r="P310" s="55" t="b">
        <v>0</v>
      </c>
      <c r="Q310" s="55" t="b">
        <v>0</v>
      </c>
      <c r="R310" s="55" t="b">
        <v>0</v>
      </c>
      <c r="S310" s="55" t="b">
        <v>0</v>
      </c>
      <c r="T310" s="55" t="b">
        <v>0</v>
      </c>
      <c r="U310" s="55" t="b">
        <v>0</v>
      </c>
      <c r="V310" s="55" t="b">
        <v>0</v>
      </c>
    </row>
    <row r="311" ht="69" customHeight="1" s="211">
      <c r="A311" s="92">
        <f>Accounts!A311</f>
        <v/>
      </c>
      <c r="B311" s="12" t="b">
        <v>0</v>
      </c>
      <c r="C311" s="93">
        <f>Accounts!N311</f>
        <v/>
      </c>
      <c r="D311" s="94" t="n"/>
      <c r="E311" s="93">
        <f>Accounts!F311</f>
        <v/>
      </c>
      <c r="F311" s="94">
        <f>Accounts!Q311</f>
        <v/>
      </c>
      <c r="G311" s="94">
        <f>Accounts!R311</f>
        <v/>
      </c>
      <c r="H311" s="94">
        <f>Accounts!I311</f>
        <v/>
      </c>
      <c r="I311" s="94">
        <f>Accounts!J311</f>
        <v/>
      </c>
      <c r="J311" s="93">
        <f>Accounts!S311</f>
        <v/>
      </c>
      <c r="K311" s="88" t="n"/>
      <c r="L311" s="95" t="n"/>
      <c r="M311" s="55" t="b">
        <v>0</v>
      </c>
      <c r="N311" s="96" t="b">
        <v>0</v>
      </c>
      <c r="O311" s="55" t="b">
        <v>0</v>
      </c>
      <c r="P311" s="55" t="b">
        <v>0</v>
      </c>
      <c r="Q311" s="55" t="b">
        <v>0</v>
      </c>
      <c r="R311" s="55" t="b">
        <v>0</v>
      </c>
      <c r="S311" s="55" t="b">
        <v>0</v>
      </c>
      <c r="T311" s="55" t="b">
        <v>0</v>
      </c>
      <c r="U311" s="55" t="b">
        <v>0</v>
      </c>
      <c r="V311" s="55" t="b">
        <v>0</v>
      </c>
    </row>
    <row r="312" ht="69" customHeight="1" s="211">
      <c r="A312" s="92">
        <f>Accounts!A312</f>
        <v/>
      </c>
      <c r="B312" s="12" t="b">
        <v>0</v>
      </c>
      <c r="C312" s="93">
        <f>Accounts!N312</f>
        <v/>
      </c>
      <c r="D312" s="94" t="n"/>
      <c r="E312" s="93">
        <f>Accounts!F312</f>
        <v/>
      </c>
      <c r="F312" s="94">
        <f>Accounts!Q312</f>
        <v/>
      </c>
      <c r="G312" s="94">
        <f>Accounts!R312</f>
        <v/>
      </c>
      <c r="H312" s="94">
        <f>Accounts!I312</f>
        <v/>
      </c>
      <c r="I312" s="94">
        <f>Accounts!J312</f>
        <v/>
      </c>
      <c r="J312" s="93">
        <f>Accounts!S312</f>
        <v/>
      </c>
      <c r="K312" s="88" t="n"/>
      <c r="L312" s="95" t="n"/>
      <c r="M312" s="55" t="b">
        <v>0</v>
      </c>
      <c r="N312" s="96" t="b">
        <v>0</v>
      </c>
      <c r="O312" s="55" t="b">
        <v>0</v>
      </c>
      <c r="P312" s="55" t="b">
        <v>0</v>
      </c>
      <c r="Q312" s="55" t="b">
        <v>0</v>
      </c>
      <c r="R312" s="55" t="b">
        <v>0</v>
      </c>
      <c r="S312" s="55" t="b">
        <v>0</v>
      </c>
      <c r="T312" s="55" t="b">
        <v>0</v>
      </c>
      <c r="U312" s="55" t="b">
        <v>0</v>
      </c>
      <c r="V312" s="55" t="b">
        <v>0</v>
      </c>
    </row>
    <row r="313" ht="69" customHeight="1" s="211">
      <c r="A313" s="92">
        <f>Accounts!A313</f>
        <v/>
      </c>
      <c r="B313" s="12" t="b">
        <v>0</v>
      </c>
      <c r="C313" s="93">
        <f>Accounts!N313</f>
        <v/>
      </c>
      <c r="D313" s="94" t="n"/>
      <c r="E313" s="93">
        <f>Accounts!F313</f>
        <v/>
      </c>
      <c r="F313" s="94">
        <f>Accounts!Q313</f>
        <v/>
      </c>
      <c r="G313" s="94">
        <f>Accounts!R313</f>
        <v/>
      </c>
      <c r="H313" s="94">
        <f>Accounts!I313</f>
        <v/>
      </c>
      <c r="I313" s="94">
        <f>Accounts!J313</f>
        <v/>
      </c>
      <c r="J313" s="93">
        <f>Accounts!S313</f>
        <v/>
      </c>
      <c r="K313" s="88" t="n"/>
      <c r="L313" s="95" t="n"/>
      <c r="M313" s="55" t="b">
        <v>0</v>
      </c>
      <c r="N313" s="96" t="b">
        <v>0</v>
      </c>
      <c r="O313" s="55" t="b">
        <v>0</v>
      </c>
      <c r="P313" s="55" t="b">
        <v>0</v>
      </c>
      <c r="Q313" s="55" t="b">
        <v>0</v>
      </c>
      <c r="R313" s="55" t="b">
        <v>0</v>
      </c>
      <c r="S313" s="55" t="b">
        <v>0</v>
      </c>
      <c r="T313" s="55" t="b">
        <v>0</v>
      </c>
      <c r="U313" s="55" t="b">
        <v>0</v>
      </c>
      <c r="V313" s="55" t="b">
        <v>0</v>
      </c>
    </row>
    <row r="314" ht="69" customHeight="1" s="211">
      <c r="A314" s="92">
        <f>Accounts!A314</f>
        <v/>
      </c>
      <c r="B314" s="12" t="b">
        <v>0</v>
      </c>
      <c r="C314" s="93">
        <f>Accounts!N314</f>
        <v/>
      </c>
      <c r="D314" s="94" t="n"/>
      <c r="E314" s="93">
        <f>Accounts!F314</f>
        <v/>
      </c>
      <c r="F314" s="94">
        <f>Accounts!Q314</f>
        <v/>
      </c>
      <c r="G314" s="94">
        <f>Accounts!R314</f>
        <v/>
      </c>
      <c r="H314" s="94">
        <f>Accounts!I314</f>
        <v/>
      </c>
      <c r="I314" s="94">
        <f>Accounts!J314</f>
        <v/>
      </c>
      <c r="J314" s="93">
        <f>Accounts!S314</f>
        <v/>
      </c>
      <c r="K314" s="88" t="n"/>
      <c r="L314" s="95" t="n"/>
      <c r="M314" s="55" t="b">
        <v>0</v>
      </c>
      <c r="N314" s="96" t="b">
        <v>0</v>
      </c>
      <c r="O314" s="55" t="b">
        <v>0</v>
      </c>
      <c r="P314" s="55" t="b">
        <v>0</v>
      </c>
      <c r="Q314" s="55" t="b">
        <v>0</v>
      </c>
      <c r="R314" s="55" t="b">
        <v>0</v>
      </c>
      <c r="S314" s="55" t="b">
        <v>0</v>
      </c>
      <c r="T314" s="55" t="b">
        <v>0</v>
      </c>
      <c r="U314" s="55" t="b">
        <v>0</v>
      </c>
      <c r="V314" s="55" t="b">
        <v>0</v>
      </c>
    </row>
    <row r="315" ht="69" customHeight="1" s="211">
      <c r="A315" s="92">
        <f>Accounts!A315</f>
        <v/>
      </c>
      <c r="B315" s="12" t="b">
        <v>0</v>
      </c>
      <c r="C315" s="93">
        <f>Accounts!N315</f>
        <v/>
      </c>
      <c r="D315" s="94" t="n"/>
      <c r="E315" s="93">
        <f>Accounts!F315</f>
        <v/>
      </c>
      <c r="F315" s="94">
        <f>Accounts!Q315</f>
        <v/>
      </c>
      <c r="G315" s="94">
        <f>Accounts!R315</f>
        <v/>
      </c>
      <c r="H315" s="94">
        <f>Accounts!I315</f>
        <v/>
      </c>
      <c r="I315" s="94">
        <f>Accounts!J315</f>
        <v/>
      </c>
      <c r="J315" s="93">
        <f>Accounts!S315</f>
        <v/>
      </c>
      <c r="K315" s="88" t="n"/>
      <c r="L315" s="95" t="n"/>
      <c r="M315" s="55" t="b">
        <v>0</v>
      </c>
      <c r="N315" s="96" t="b">
        <v>0</v>
      </c>
      <c r="O315" s="55" t="b">
        <v>0</v>
      </c>
      <c r="P315" s="55" t="b">
        <v>0</v>
      </c>
      <c r="Q315" s="55" t="b">
        <v>0</v>
      </c>
      <c r="R315" s="55" t="b">
        <v>0</v>
      </c>
      <c r="S315" s="55" t="b">
        <v>0</v>
      </c>
      <c r="T315" s="55" t="b">
        <v>0</v>
      </c>
      <c r="U315" s="55" t="b">
        <v>0</v>
      </c>
      <c r="V315" s="55" t="b">
        <v>0</v>
      </c>
    </row>
    <row r="316" ht="69" customHeight="1" s="211">
      <c r="A316" s="92">
        <f>Accounts!A316</f>
        <v/>
      </c>
      <c r="B316" s="12" t="b">
        <v>0</v>
      </c>
      <c r="C316" s="93">
        <f>Accounts!N316</f>
        <v/>
      </c>
      <c r="D316" s="94" t="n"/>
      <c r="E316" s="93">
        <f>Accounts!F316</f>
        <v/>
      </c>
      <c r="F316" s="94">
        <f>Accounts!Q316</f>
        <v/>
      </c>
      <c r="G316" s="94">
        <f>Accounts!R316</f>
        <v/>
      </c>
      <c r="H316" s="94">
        <f>Accounts!I316</f>
        <v/>
      </c>
      <c r="I316" s="94">
        <f>Accounts!J316</f>
        <v/>
      </c>
      <c r="J316" s="93">
        <f>Accounts!S316</f>
        <v/>
      </c>
      <c r="K316" s="88" t="n"/>
      <c r="L316" s="95" t="n"/>
      <c r="M316" s="55" t="b">
        <v>0</v>
      </c>
      <c r="N316" s="96" t="b">
        <v>0</v>
      </c>
      <c r="O316" s="55" t="b">
        <v>0</v>
      </c>
      <c r="P316" s="55" t="b">
        <v>0</v>
      </c>
      <c r="Q316" s="55" t="b">
        <v>0</v>
      </c>
      <c r="R316" s="55" t="b">
        <v>0</v>
      </c>
      <c r="S316" s="55" t="b">
        <v>0</v>
      </c>
      <c r="T316" s="55" t="b">
        <v>0</v>
      </c>
      <c r="U316" s="55" t="b">
        <v>0</v>
      </c>
      <c r="V316" s="55" t="b">
        <v>0</v>
      </c>
    </row>
    <row r="317" ht="69" customHeight="1" s="211">
      <c r="A317" s="92">
        <f>Accounts!A317</f>
        <v/>
      </c>
      <c r="B317" s="12" t="b">
        <v>0</v>
      </c>
      <c r="C317" s="93">
        <f>Accounts!N317</f>
        <v/>
      </c>
      <c r="D317" s="94" t="n"/>
      <c r="E317" s="93">
        <f>Accounts!F317</f>
        <v/>
      </c>
      <c r="F317" s="94">
        <f>Accounts!Q317</f>
        <v/>
      </c>
      <c r="G317" s="94">
        <f>Accounts!R317</f>
        <v/>
      </c>
      <c r="H317" s="94">
        <f>Accounts!I317</f>
        <v/>
      </c>
      <c r="I317" s="94">
        <f>Accounts!J317</f>
        <v/>
      </c>
      <c r="J317" s="93">
        <f>Accounts!S317</f>
        <v/>
      </c>
      <c r="K317" s="88" t="n"/>
      <c r="L317" s="95" t="n"/>
      <c r="M317" s="55" t="b">
        <v>0</v>
      </c>
      <c r="N317" s="96" t="b">
        <v>0</v>
      </c>
      <c r="O317" s="55" t="b">
        <v>0</v>
      </c>
      <c r="P317" s="55" t="b">
        <v>0</v>
      </c>
      <c r="Q317" s="55" t="b">
        <v>0</v>
      </c>
      <c r="R317" s="55" t="b">
        <v>0</v>
      </c>
      <c r="S317" s="55" t="b">
        <v>0</v>
      </c>
      <c r="T317" s="55" t="b">
        <v>0</v>
      </c>
      <c r="U317" s="55" t="b">
        <v>0</v>
      </c>
      <c r="V317" s="55" t="b">
        <v>0</v>
      </c>
    </row>
    <row r="318" ht="69" customHeight="1" s="211">
      <c r="A318" s="92">
        <f>Accounts!A318</f>
        <v/>
      </c>
      <c r="B318" s="12" t="b">
        <v>0</v>
      </c>
      <c r="C318" s="93">
        <f>Accounts!N318</f>
        <v/>
      </c>
      <c r="D318" s="94" t="n"/>
      <c r="E318" s="93">
        <f>Accounts!F318</f>
        <v/>
      </c>
      <c r="F318" s="94">
        <f>Accounts!Q318</f>
        <v/>
      </c>
      <c r="G318" s="94">
        <f>Accounts!R318</f>
        <v/>
      </c>
      <c r="H318" s="94">
        <f>Accounts!I318</f>
        <v/>
      </c>
      <c r="I318" s="94">
        <f>Accounts!J318</f>
        <v/>
      </c>
      <c r="J318" s="93">
        <f>Accounts!S318</f>
        <v/>
      </c>
      <c r="K318" s="88" t="n"/>
      <c r="L318" s="95" t="n"/>
      <c r="M318" s="55" t="b">
        <v>0</v>
      </c>
      <c r="N318" s="96" t="b">
        <v>0</v>
      </c>
      <c r="O318" s="55" t="b">
        <v>0</v>
      </c>
      <c r="P318" s="55" t="b">
        <v>0</v>
      </c>
      <c r="Q318" s="55" t="b">
        <v>0</v>
      </c>
      <c r="R318" s="55" t="b">
        <v>0</v>
      </c>
      <c r="S318" s="55" t="b">
        <v>0</v>
      </c>
      <c r="T318" s="55" t="b">
        <v>0</v>
      </c>
      <c r="U318" s="55" t="b">
        <v>0</v>
      </c>
      <c r="V318" s="55" t="b">
        <v>0</v>
      </c>
    </row>
    <row r="319" ht="69" customHeight="1" s="211">
      <c r="A319" s="92">
        <f>Accounts!A319</f>
        <v/>
      </c>
      <c r="B319" s="12" t="b">
        <v>0</v>
      </c>
      <c r="C319" s="93">
        <f>Accounts!N319</f>
        <v/>
      </c>
      <c r="D319" s="94" t="n"/>
      <c r="E319" s="93">
        <f>Accounts!F319</f>
        <v/>
      </c>
      <c r="F319" s="94">
        <f>Accounts!Q319</f>
        <v/>
      </c>
      <c r="G319" s="94">
        <f>Accounts!R319</f>
        <v/>
      </c>
      <c r="H319" s="94">
        <f>Accounts!I319</f>
        <v/>
      </c>
      <c r="I319" s="94">
        <f>Accounts!J319</f>
        <v/>
      </c>
      <c r="J319" s="93">
        <f>Accounts!S319</f>
        <v/>
      </c>
      <c r="K319" s="88" t="n"/>
      <c r="L319" s="95" t="n"/>
      <c r="M319" s="55" t="b">
        <v>0</v>
      </c>
      <c r="N319" s="96" t="b">
        <v>0</v>
      </c>
      <c r="O319" s="55" t="b">
        <v>0</v>
      </c>
      <c r="P319" s="55" t="b">
        <v>0</v>
      </c>
      <c r="Q319" s="55" t="b">
        <v>0</v>
      </c>
      <c r="R319" s="55" t="b">
        <v>0</v>
      </c>
      <c r="S319" s="55" t="b">
        <v>0</v>
      </c>
      <c r="T319" s="55" t="b">
        <v>0</v>
      </c>
      <c r="U319" s="55" t="b">
        <v>0</v>
      </c>
      <c r="V319" s="55" t="b">
        <v>0</v>
      </c>
    </row>
    <row r="320" ht="69" customHeight="1" s="211">
      <c r="A320" s="92">
        <f>Accounts!A320</f>
        <v/>
      </c>
      <c r="B320" s="12" t="b">
        <v>0</v>
      </c>
      <c r="C320" s="93">
        <f>Accounts!N320</f>
        <v/>
      </c>
      <c r="D320" s="94" t="n"/>
      <c r="E320" s="93">
        <f>Accounts!F320</f>
        <v/>
      </c>
      <c r="F320" s="94">
        <f>Accounts!Q320</f>
        <v/>
      </c>
      <c r="G320" s="94">
        <f>Accounts!R320</f>
        <v/>
      </c>
      <c r="H320" s="94">
        <f>Accounts!I320</f>
        <v/>
      </c>
      <c r="I320" s="94">
        <f>Accounts!J320</f>
        <v/>
      </c>
      <c r="J320" s="93">
        <f>Accounts!S320</f>
        <v/>
      </c>
      <c r="K320" s="88" t="n"/>
      <c r="L320" s="95" t="n"/>
      <c r="M320" s="55" t="b">
        <v>0</v>
      </c>
      <c r="N320" s="96" t="b">
        <v>0</v>
      </c>
      <c r="O320" s="55" t="b">
        <v>0</v>
      </c>
      <c r="P320" s="55" t="b">
        <v>0</v>
      </c>
      <c r="Q320" s="55" t="b">
        <v>0</v>
      </c>
      <c r="R320" s="55" t="b">
        <v>0</v>
      </c>
      <c r="S320" s="55" t="b">
        <v>0</v>
      </c>
      <c r="T320" s="55" t="b">
        <v>0</v>
      </c>
      <c r="U320" s="55" t="b">
        <v>0</v>
      </c>
      <c r="V320" s="55" t="b">
        <v>0</v>
      </c>
    </row>
    <row r="321" ht="69" customHeight="1" s="211">
      <c r="A321" s="92">
        <f>Accounts!A321</f>
        <v/>
      </c>
      <c r="B321" s="12" t="b">
        <v>0</v>
      </c>
      <c r="C321" s="93">
        <f>Accounts!N321</f>
        <v/>
      </c>
      <c r="D321" s="94" t="n"/>
      <c r="E321" s="93">
        <f>Accounts!F321</f>
        <v/>
      </c>
      <c r="F321" s="94">
        <f>Accounts!Q321</f>
        <v/>
      </c>
      <c r="G321" s="94">
        <f>Accounts!R321</f>
        <v/>
      </c>
      <c r="H321" s="94">
        <f>Accounts!I321</f>
        <v/>
      </c>
      <c r="I321" s="94">
        <f>Accounts!J321</f>
        <v/>
      </c>
      <c r="J321" s="93">
        <f>Accounts!S321</f>
        <v/>
      </c>
      <c r="K321" s="88" t="n"/>
      <c r="L321" s="95" t="n"/>
      <c r="M321" s="55" t="b">
        <v>0</v>
      </c>
      <c r="N321" s="96" t="b">
        <v>0</v>
      </c>
      <c r="O321" s="55" t="b">
        <v>0</v>
      </c>
      <c r="P321" s="55" t="b">
        <v>0</v>
      </c>
      <c r="Q321" s="55" t="b">
        <v>0</v>
      </c>
      <c r="R321" s="55" t="b">
        <v>0</v>
      </c>
      <c r="S321" s="55" t="b">
        <v>0</v>
      </c>
      <c r="T321" s="55" t="b">
        <v>0</v>
      </c>
      <c r="U321" s="55" t="b">
        <v>0</v>
      </c>
      <c r="V321" s="55" t="b">
        <v>0</v>
      </c>
    </row>
    <row r="322" ht="69" customHeight="1" s="211">
      <c r="A322" s="92">
        <f>Accounts!A322</f>
        <v/>
      </c>
      <c r="B322" s="12" t="b">
        <v>0</v>
      </c>
      <c r="C322" s="93">
        <f>Accounts!N322</f>
        <v/>
      </c>
      <c r="D322" s="94" t="n"/>
      <c r="E322" s="93">
        <f>Accounts!F322</f>
        <v/>
      </c>
      <c r="F322" s="94">
        <f>Accounts!Q322</f>
        <v/>
      </c>
      <c r="G322" s="94">
        <f>Accounts!R322</f>
        <v/>
      </c>
      <c r="H322" s="94">
        <f>Accounts!I322</f>
        <v/>
      </c>
      <c r="I322" s="94">
        <f>Accounts!J322</f>
        <v/>
      </c>
      <c r="J322" s="93">
        <f>Accounts!S322</f>
        <v/>
      </c>
      <c r="K322" s="88" t="n"/>
      <c r="L322" s="95" t="n"/>
      <c r="M322" s="55" t="b">
        <v>0</v>
      </c>
      <c r="N322" s="96" t="b">
        <v>0</v>
      </c>
      <c r="O322" s="55" t="b">
        <v>0</v>
      </c>
      <c r="P322" s="55" t="b">
        <v>0</v>
      </c>
      <c r="Q322" s="55" t="b">
        <v>0</v>
      </c>
      <c r="R322" s="55" t="b">
        <v>0</v>
      </c>
      <c r="S322" s="55" t="b">
        <v>0</v>
      </c>
      <c r="T322" s="55" t="b">
        <v>0</v>
      </c>
      <c r="U322" s="55" t="b">
        <v>0</v>
      </c>
      <c r="V322" s="55" t="b">
        <v>0</v>
      </c>
    </row>
    <row r="323" ht="69" customHeight="1" s="211">
      <c r="A323" s="92">
        <f>Accounts!A323</f>
        <v/>
      </c>
      <c r="B323" s="12" t="b">
        <v>0</v>
      </c>
      <c r="C323" s="93">
        <f>Accounts!N323</f>
        <v/>
      </c>
      <c r="D323" s="94" t="n"/>
      <c r="E323" s="93">
        <f>Accounts!F323</f>
        <v/>
      </c>
      <c r="F323" s="94">
        <f>Accounts!Q323</f>
        <v/>
      </c>
      <c r="G323" s="94">
        <f>Accounts!R323</f>
        <v/>
      </c>
      <c r="H323" s="94">
        <f>Accounts!I323</f>
        <v/>
      </c>
      <c r="I323" s="94">
        <f>Accounts!J323</f>
        <v/>
      </c>
      <c r="J323" s="93">
        <f>Accounts!S323</f>
        <v/>
      </c>
      <c r="K323" s="88" t="n"/>
      <c r="L323" s="95" t="n"/>
      <c r="M323" s="55" t="b">
        <v>0</v>
      </c>
      <c r="N323" s="96" t="b">
        <v>0</v>
      </c>
      <c r="O323" s="55" t="b">
        <v>0</v>
      </c>
      <c r="P323" s="55" t="b">
        <v>0</v>
      </c>
      <c r="Q323" s="55" t="b">
        <v>0</v>
      </c>
      <c r="R323" s="55" t="b">
        <v>0</v>
      </c>
      <c r="S323" s="55" t="b">
        <v>0</v>
      </c>
      <c r="T323" s="55" t="b">
        <v>0</v>
      </c>
      <c r="U323" s="55" t="b">
        <v>0</v>
      </c>
      <c r="V323" s="55" t="b">
        <v>0</v>
      </c>
    </row>
    <row r="324" ht="69" customHeight="1" s="211">
      <c r="A324" s="92">
        <f>Accounts!A324</f>
        <v/>
      </c>
      <c r="B324" s="12" t="b">
        <v>0</v>
      </c>
      <c r="C324" s="93">
        <f>Accounts!N324</f>
        <v/>
      </c>
      <c r="D324" s="94" t="n"/>
      <c r="E324" s="93">
        <f>Accounts!F324</f>
        <v/>
      </c>
      <c r="F324" s="94">
        <f>Accounts!Q324</f>
        <v/>
      </c>
      <c r="G324" s="94">
        <f>Accounts!R324</f>
        <v/>
      </c>
      <c r="H324" s="94">
        <f>Accounts!I324</f>
        <v/>
      </c>
      <c r="I324" s="94">
        <f>Accounts!J324</f>
        <v/>
      </c>
      <c r="J324" s="93">
        <f>Accounts!S324</f>
        <v/>
      </c>
      <c r="K324" s="88" t="n"/>
      <c r="L324" s="95" t="n"/>
      <c r="M324" s="55" t="b">
        <v>0</v>
      </c>
      <c r="N324" s="96" t="b">
        <v>0</v>
      </c>
      <c r="O324" s="55" t="b">
        <v>0</v>
      </c>
      <c r="P324" s="55" t="b">
        <v>0</v>
      </c>
      <c r="Q324" s="55" t="b">
        <v>0</v>
      </c>
      <c r="R324" s="55" t="b">
        <v>0</v>
      </c>
      <c r="S324" s="55" t="b">
        <v>0</v>
      </c>
      <c r="T324" s="55" t="b">
        <v>0</v>
      </c>
      <c r="U324" s="55" t="b">
        <v>0</v>
      </c>
      <c r="V324" s="55" t="b">
        <v>0</v>
      </c>
    </row>
    <row r="325" ht="69" customHeight="1" s="211">
      <c r="A325" s="92">
        <f>Accounts!A325</f>
        <v/>
      </c>
      <c r="B325" s="12" t="b">
        <v>0</v>
      </c>
      <c r="C325" s="93">
        <f>Accounts!N325</f>
        <v/>
      </c>
      <c r="D325" s="94" t="n"/>
      <c r="E325" s="93">
        <f>Accounts!F325</f>
        <v/>
      </c>
      <c r="F325" s="94">
        <f>Accounts!Q325</f>
        <v/>
      </c>
      <c r="G325" s="94">
        <f>Accounts!R325</f>
        <v/>
      </c>
      <c r="H325" s="94">
        <f>Accounts!I325</f>
        <v/>
      </c>
      <c r="I325" s="94">
        <f>Accounts!J325</f>
        <v/>
      </c>
      <c r="J325" s="93">
        <f>Accounts!S325</f>
        <v/>
      </c>
      <c r="K325" s="88" t="n"/>
      <c r="L325" s="95" t="n"/>
      <c r="M325" s="55" t="b">
        <v>0</v>
      </c>
      <c r="N325" s="96" t="b">
        <v>0</v>
      </c>
      <c r="O325" s="55" t="b">
        <v>0</v>
      </c>
      <c r="P325" s="55" t="b">
        <v>0</v>
      </c>
      <c r="Q325" s="55" t="b">
        <v>0</v>
      </c>
      <c r="R325" s="55" t="b">
        <v>0</v>
      </c>
      <c r="S325" s="55" t="b">
        <v>0</v>
      </c>
      <c r="T325" s="55" t="b">
        <v>0</v>
      </c>
      <c r="U325" s="55" t="b">
        <v>0</v>
      </c>
      <c r="V325" s="55" t="b">
        <v>0</v>
      </c>
    </row>
    <row r="326" ht="69" customHeight="1" s="211">
      <c r="A326" s="92">
        <f>Accounts!A326</f>
        <v/>
      </c>
      <c r="B326" s="12" t="b">
        <v>0</v>
      </c>
      <c r="C326" s="93">
        <f>Accounts!N326</f>
        <v/>
      </c>
      <c r="D326" s="94" t="n"/>
      <c r="E326" s="93">
        <f>Accounts!F326</f>
        <v/>
      </c>
      <c r="F326" s="94">
        <f>Accounts!Q326</f>
        <v/>
      </c>
      <c r="G326" s="94">
        <f>Accounts!R326</f>
        <v/>
      </c>
      <c r="H326" s="94">
        <f>Accounts!I326</f>
        <v/>
      </c>
      <c r="I326" s="94">
        <f>Accounts!J326</f>
        <v/>
      </c>
      <c r="J326" s="93">
        <f>Accounts!S326</f>
        <v/>
      </c>
      <c r="K326" s="88" t="n"/>
      <c r="L326" s="95" t="n"/>
      <c r="M326" s="55" t="b">
        <v>0</v>
      </c>
      <c r="N326" s="96" t="b">
        <v>0</v>
      </c>
      <c r="O326" s="55" t="b">
        <v>0</v>
      </c>
      <c r="P326" s="55" t="b">
        <v>0</v>
      </c>
      <c r="Q326" s="55" t="b">
        <v>0</v>
      </c>
      <c r="R326" s="55" t="b">
        <v>0</v>
      </c>
      <c r="S326" s="55" t="b">
        <v>0</v>
      </c>
      <c r="T326" s="55" t="b">
        <v>0</v>
      </c>
      <c r="U326" s="55" t="b">
        <v>0</v>
      </c>
      <c r="V326" s="55" t="b">
        <v>0</v>
      </c>
    </row>
    <row r="327" ht="69" customHeight="1" s="211">
      <c r="A327" s="92">
        <f>Accounts!A327</f>
        <v/>
      </c>
      <c r="B327" s="12" t="b">
        <v>0</v>
      </c>
      <c r="C327" s="93">
        <f>Accounts!N327</f>
        <v/>
      </c>
      <c r="D327" s="94" t="n"/>
      <c r="E327" s="93">
        <f>Accounts!F327</f>
        <v/>
      </c>
      <c r="F327" s="94">
        <f>Accounts!Q327</f>
        <v/>
      </c>
      <c r="G327" s="94">
        <f>Accounts!R327</f>
        <v/>
      </c>
      <c r="H327" s="94">
        <f>Accounts!I327</f>
        <v/>
      </c>
      <c r="I327" s="94">
        <f>Accounts!J327</f>
        <v/>
      </c>
      <c r="J327" s="93">
        <f>Accounts!S327</f>
        <v/>
      </c>
      <c r="K327" s="88" t="n"/>
      <c r="L327" s="95" t="n"/>
      <c r="M327" s="55" t="b">
        <v>0</v>
      </c>
      <c r="N327" s="96" t="b">
        <v>0</v>
      </c>
      <c r="O327" s="55" t="b">
        <v>0</v>
      </c>
      <c r="P327" s="55" t="b">
        <v>0</v>
      </c>
      <c r="Q327" s="55" t="b">
        <v>0</v>
      </c>
      <c r="R327" s="55" t="b">
        <v>0</v>
      </c>
      <c r="S327" s="55" t="b">
        <v>0</v>
      </c>
      <c r="T327" s="55" t="b">
        <v>0</v>
      </c>
      <c r="U327" s="55" t="b">
        <v>0</v>
      </c>
      <c r="V327" s="55" t="b">
        <v>0</v>
      </c>
    </row>
    <row r="328" ht="69" customHeight="1" s="211">
      <c r="A328" s="92">
        <f>Accounts!A328</f>
        <v/>
      </c>
      <c r="B328" s="12" t="b">
        <v>0</v>
      </c>
      <c r="C328" s="93">
        <f>Accounts!N328</f>
        <v/>
      </c>
      <c r="D328" s="94" t="n"/>
      <c r="E328" s="93">
        <f>Accounts!F328</f>
        <v/>
      </c>
      <c r="F328" s="94">
        <f>Accounts!Q328</f>
        <v/>
      </c>
      <c r="G328" s="94">
        <f>Accounts!R328</f>
        <v/>
      </c>
      <c r="H328" s="94">
        <f>Accounts!I328</f>
        <v/>
      </c>
      <c r="I328" s="94">
        <f>Accounts!J328</f>
        <v/>
      </c>
      <c r="J328" s="93">
        <f>Accounts!S328</f>
        <v/>
      </c>
      <c r="K328" s="88" t="n"/>
      <c r="L328" s="95" t="n"/>
      <c r="M328" s="55" t="b">
        <v>0</v>
      </c>
      <c r="N328" s="96" t="b">
        <v>0</v>
      </c>
      <c r="O328" s="55" t="b">
        <v>0</v>
      </c>
      <c r="P328" s="55" t="b">
        <v>0</v>
      </c>
      <c r="Q328" s="55" t="b">
        <v>0</v>
      </c>
      <c r="R328" s="55" t="b">
        <v>0</v>
      </c>
      <c r="S328" s="55" t="b">
        <v>0</v>
      </c>
      <c r="T328" s="55" t="b">
        <v>0</v>
      </c>
      <c r="U328" s="55" t="b">
        <v>0</v>
      </c>
      <c r="V328" s="55" t="b">
        <v>0</v>
      </c>
    </row>
    <row r="329" ht="69" customHeight="1" s="211">
      <c r="A329" s="92">
        <f>Accounts!A329</f>
        <v/>
      </c>
      <c r="B329" s="12" t="b">
        <v>0</v>
      </c>
      <c r="C329" s="93">
        <f>Accounts!N329</f>
        <v/>
      </c>
      <c r="D329" s="94" t="n"/>
      <c r="E329" s="93">
        <f>Accounts!F329</f>
        <v/>
      </c>
      <c r="F329" s="94">
        <f>Accounts!Q329</f>
        <v/>
      </c>
      <c r="G329" s="94">
        <f>Accounts!R329</f>
        <v/>
      </c>
      <c r="H329" s="94">
        <f>Accounts!I329</f>
        <v/>
      </c>
      <c r="I329" s="94">
        <f>Accounts!J329</f>
        <v/>
      </c>
      <c r="J329" s="93">
        <f>Accounts!S329</f>
        <v/>
      </c>
      <c r="K329" s="88" t="n"/>
      <c r="L329" s="95" t="n"/>
      <c r="M329" s="55" t="b">
        <v>0</v>
      </c>
      <c r="N329" s="96" t="b">
        <v>0</v>
      </c>
      <c r="O329" s="55" t="b">
        <v>0</v>
      </c>
      <c r="P329" s="55" t="b">
        <v>0</v>
      </c>
      <c r="Q329" s="55" t="b">
        <v>0</v>
      </c>
      <c r="R329" s="55" t="b">
        <v>0</v>
      </c>
      <c r="S329" s="55" t="b">
        <v>0</v>
      </c>
      <c r="T329" s="55" t="b">
        <v>0</v>
      </c>
      <c r="U329" s="55" t="b">
        <v>0</v>
      </c>
      <c r="V329" s="55" t="b">
        <v>0</v>
      </c>
    </row>
    <row r="330" ht="69" customHeight="1" s="211">
      <c r="A330" s="92">
        <f>Accounts!A330</f>
        <v/>
      </c>
      <c r="B330" s="12" t="b">
        <v>0</v>
      </c>
      <c r="C330" s="93">
        <f>Accounts!N330</f>
        <v/>
      </c>
      <c r="D330" s="94" t="n"/>
      <c r="E330" s="93">
        <f>Accounts!F330</f>
        <v/>
      </c>
      <c r="F330" s="94">
        <f>Accounts!Q330</f>
        <v/>
      </c>
      <c r="G330" s="94">
        <f>Accounts!R330</f>
        <v/>
      </c>
      <c r="H330" s="94">
        <f>Accounts!I330</f>
        <v/>
      </c>
      <c r="I330" s="94">
        <f>Accounts!J330</f>
        <v/>
      </c>
      <c r="J330" s="93">
        <f>Accounts!S330</f>
        <v/>
      </c>
      <c r="K330" s="88" t="n"/>
      <c r="L330" s="95" t="n"/>
      <c r="M330" s="55" t="b">
        <v>0</v>
      </c>
      <c r="N330" s="96" t="b">
        <v>0</v>
      </c>
      <c r="O330" s="55" t="b">
        <v>0</v>
      </c>
      <c r="P330" s="55" t="b">
        <v>0</v>
      </c>
      <c r="Q330" s="55" t="b">
        <v>0</v>
      </c>
      <c r="R330" s="55" t="b">
        <v>0</v>
      </c>
      <c r="S330" s="55" t="b">
        <v>0</v>
      </c>
      <c r="T330" s="55" t="b">
        <v>0</v>
      </c>
      <c r="U330" s="55" t="b">
        <v>0</v>
      </c>
      <c r="V330" s="55" t="b">
        <v>0</v>
      </c>
    </row>
    <row r="331" ht="69" customHeight="1" s="211">
      <c r="A331" s="92">
        <f>Accounts!A331</f>
        <v/>
      </c>
      <c r="B331" s="12" t="b">
        <v>0</v>
      </c>
      <c r="C331" s="93">
        <f>Accounts!N331</f>
        <v/>
      </c>
      <c r="D331" s="94" t="n"/>
      <c r="E331" s="93">
        <f>Accounts!F331</f>
        <v/>
      </c>
      <c r="F331" s="94">
        <f>Accounts!Q331</f>
        <v/>
      </c>
      <c r="G331" s="94">
        <f>Accounts!R331</f>
        <v/>
      </c>
      <c r="H331" s="94">
        <f>Accounts!I331</f>
        <v/>
      </c>
      <c r="I331" s="94">
        <f>Accounts!J331</f>
        <v/>
      </c>
      <c r="J331" s="93">
        <f>Accounts!S331</f>
        <v/>
      </c>
      <c r="K331" s="88" t="n"/>
      <c r="L331" s="95" t="n"/>
      <c r="M331" s="55" t="b">
        <v>0</v>
      </c>
      <c r="N331" s="96" t="b">
        <v>0</v>
      </c>
      <c r="O331" s="55" t="b">
        <v>0</v>
      </c>
      <c r="P331" s="55" t="b">
        <v>0</v>
      </c>
      <c r="Q331" s="55" t="b">
        <v>0</v>
      </c>
      <c r="R331" s="55" t="b">
        <v>0</v>
      </c>
      <c r="S331" s="55" t="b">
        <v>0</v>
      </c>
      <c r="T331" s="55" t="b">
        <v>0</v>
      </c>
      <c r="U331" s="55" t="b">
        <v>0</v>
      </c>
      <c r="V331" s="55" t="b">
        <v>0</v>
      </c>
    </row>
    <row r="332" ht="69" customHeight="1" s="211">
      <c r="A332" s="92">
        <f>Accounts!A332</f>
        <v/>
      </c>
      <c r="B332" s="12" t="b">
        <v>0</v>
      </c>
      <c r="C332" s="93">
        <f>Accounts!N332</f>
        <v/>
      </c>
      <c r="D332" s="94" t="n"/>
      <c r="E332" s="93">
        <f>Accounts!F332</f>
        <v/>
      </c>
      <c r="F332" s="94">
        <f>Accounts!Q332</f>
        <v/>
      </c>
      <c r="G332" s="94">
        <f>Accounts!R332</f>
        <v/>
      </c>
      <c r="H332" s="94">
        <f>Accounts!I332</f>
        <v/>
      </c>
      <c r="I332" s="94">
        <f>Accounts!J332</f>
        <v/>
      </c>
      <c r="J332" s="93">
        <f>Accounts!S332</f>
        <v/>
      </c>
      <c r="K332" s="88" t="n"/>
      <c r="L332" s="95" t="n"/>
      <c r="M332" s="55" t="b">
        <v>0</v>
      </c>
      <c r="N332" s="96" t="b">
        <v>0</v>
      </c>
      <c r="O332" s="55" t="b">
        <v>0</v>
      </c>
      <c r="P332" s="55" t="b">
        <v>0</v>
      </c>
      <c r="Q332" s="55" t="b">
        <v>0</v>
      </c>
      <c r="R332" s="55" t="b">
        <v>0</v>
      </c>
      <c r="S332" s="55" t="b">
        <v>0</v>
      </c>
      <c r="T332" s="55" t="b">
        <v>0</v>
      </c>
      <c r="U332" s="55" t="b">
        <v>0</v>
      </c>
      <c r="V332" s="55" t="b">
        <v>0</v>
      </c>
    </row>
    <row r="333" ht="69" customHeight="1" s="211">
      <c r="A333" s="92">
        <f>Accounts!A333</f>
        <v/>
      </c>
      <c r="B333" s="12" t="b">
        <v>0</v>
      </c>
      <c r="C333" s="93">
        <f>Accounts!N333</f>
        <v/>
      </c>
      <c r="D333" s="94" t="n"/>
      <c r="E333" s="93">
        <f>Accounts!F333</f>
        <v/>
      </c>
      <c r="F333" s="94">
        <f>Accounts!Q333</f>
        <v/>
      </c>
      <c r="G333" s="94">
        <f>Accounts!R333</f>
        <v/>
      </c>
      <c r="H333" s="94">
        <f>Accounts!I333</f>
        <v/>
      </c>
      <c r="I333" s="94">
        <f>Accounts!J333</f>
        <v/>
      </c>
      <c r="J333" s="93">
        <f>Accounts!S333</f>
        <v/>
      </c>
      <c r="K333" s="88" t="n"/>
      <c r="L333" s="95" t="n"/>
      <c r="M333" s="55" t="b">
        <v>0</v>
      </c>
      <c r="N333" s="96" t="b">
        <v>0</v>
      </c>
      <c r="O333" s="55" t="b">
        <v>0</v>
      </c>
      <c r="P333" s="55" t="b">
        <v>0</v>
      </c>
      <c r="Q333" s="55" t="b">
        <v>0</v>
      </c>
      <c r="R333" s="55" t="b">
        <v>0</v>
      </c>
      <c r="S333" s="55" t="b">
        <v>0</v>
      </c>
      <c r="T333" s="55" t="b">
        <v>0</v>
      </c>
      <c r="U333" s="55" t="b">
        <v>0</v>
      </c>
      <c r="V333" s="55" t="b">
        <v>0</v>
      </c>
    </row>
    <row r="334" ht="69" customHeight="1" s="211">
      <c r="A334" s="92">
        <f>Accounts!A334</f>
        <v/>
      </c>
      <c r="B334" s="12" t="b">
        <v>0</v>
      </c>
      <c r="C334" s="93">
        <f>Accounts!N334</f>
        <v/>
      </c>
      <c r="D334" s="94" t="n"/>
      <c r="E334" s="93">
        <f>Accounts!F334</f>
        <v/>
      </c>
      <c r="F334" s="94">
        <f>Accounts!Q334</f>
        <v/>
      </c>
      <c r="G334" s="94">
        <f>Accounts!R334</f>
        <v/>
      </c>
      <c r="H334" s="94">
        <f>Accounts!I334</f>
        <v/>
      </c>
      <c r="I334" s="94">
        <f>Accounts!J334</f>
        <v/>
      </c>
      <c r="J334" s="93">
        <f>Accounts!S334</f>
        <v/>
      </c>
      <c r="K334" s="88" t="n"/>
      <c r="L334" s="95" t="n"/>
      <c r="M334" s="55" t="b">
        <v>0</v>
      </c>
      <c r="N334" s="96" t="b">
        <v>0</v>
      </c>
      <c r="O334" s="55" t="b">
        <v>0</v>
      </c>
      <c r="P334" s="55" t="b">
        <v>0</v>
      </c>
      <c r="Q334" s="55" t="b">
        <v>0</v>
      </c>
      <c r="R334" s="55" t="b">
        <v>0</v>
      </c>
      <c r="S334" s="55" t="b">
        <v>0</v>
      </c>
      <c r="T334" s="55" t="b">
        <v>0</v>
      </c>
      <c r="U334" s="55" t="b">
        <v>0</v>
      </c>
      <c r="V334" s="55" t="b">
        <v>0</v>
      </c>
    </row>
    <row r="335" ht="69" customHeight="1" s="211">
      <c r="A335" s="92">
        <f>Accounts!A335</f>
        <v/>
      </c>
      <c r="B335" s="12" t="b">
        <v>0</v>
      </c>
      <c r="C335" s="93">
        <f>Accounts!N335</f>
        <v/>
      </c>
      <c r="D335" s="94" t="n"/>
      <c r="E335" s="93">
        <f>Accounts!F335</f>
        <v/>
      </c>
      <c r="F335" s="94">
        <f>Accounts!Q335</f>
        <v/>
      </c>
      <c r="G335" s="94">
        <f>Accounts!R335</f>
        <v/>
      </c>
      <c r="H335" s="94">
        <f>Accounts!I335</f>
        <v/>
      </c>
      <c r="I335" s="94">
        <f>Accounts!J335</f>
        <v/>
      </c>
      <c r="J335" s="93">
        <f>Accounts!S335</f>
        <v/>
      </c>
      <c r="K335" s="88" t="n"/>
      <c r="L335" s="95" t="n"/>
      <c r="M335" s="55" t="b">
        <v>0</v>
      </c>
      <c r="N335" s="96" t="b">
        <v>0</v>
      </c>
      <c r="O335" s="55" t="b">
        <v>0</v>
      </c>
      <c r="P335" s="55" t="b">
        <v>0</v>
      </c>
      <c r="Q335" s="55" t="b">
        <v>0</v>
      </c>
      <c r="R335" s="55" t="b">
        <v>0</v>
      </c>
      <c r="S335" s="55" t="b">
        <v>0</v>
      </c>
      <c r="T335" s="55" t="b">
        <v>0</v>
      </c>
      <c r="U335" s="55" t="b">
        <v>0</v>
      </c>
      <c r="V335" s="55" t="b">
        <v>0</v>
      </c>
    </row>
    <row r="336" ht="69" customHeight="1" s="211">
      <c r="A336" s="92">
        <f>Accounts!A336</f>
        <v/>
      </c>
      <c r="B336" s="12" t="b">
        <v>0</v>
      </c>
      <c r="C336" s="93">
        <f>Accounts!N336</f>
        <v/>
      </c>
      <c r="D336" s="94" t="n"/>
      <c r="E336" s="93">
        <f>Accounts!F336</f>
        <v/>
      </c>
      <c r="F336" s="94">
        <f>Accounts!Q336</f>
        <v/>
      </c>
      <c r="G336" s="94">
        <f>Accounts!R336</f>
        <v/>
      </c>
      <c r="H336" s="94">
        <f>Accounts!I336</f>
        <v/>
      </c>
      <c r="I336" s="94">
        <f>Accounts!J336</f>
        <v/>
      </c>
      <c r="J336" s="93">
        <f>Accounts!S336</f>
        <v/>
      </c>
      <c r="K336" s="88" t="n"/>
      <c r="L336" s="95" t="n"/>
      <c r="M336" s="55" t="b">
        <v>0</v>
      </c>
      <c r="N336" s="96" t="b">
        <v>0</v>
      </c>
      <c r="O336" s="55" t="b">
        <v>0</v>
      </c>
      <c r="P336" s="55" t="b">
        <v>0</v>
      </c>
      <c r="Q336" s="55" t="b">
        <v>0</v>
      </c>
      <c r="R336" s="55" t="b">
        <v>0</v>
      </c>
      <c r="S336" s="55" t="b">
        <v>0</v>
      </c>
      <c r="T336" s="55" t="b">
        <v>0</v>
      </c>
      <c r="U336" s="55" t="b">
        <v>0</v>
      </c>
      <c r="V336" s="55" t="b">
        <v>0</v>
      </c>
    </row>
    <row r="337" ht="69" customHeight="1" s="211">
      <c r="A337" s="92">
        <f>Accounts!A337</f>
        <v/>
      </c>
      <c r="B337" s="12" t="b">
        <v>0</v>
      </c>
      <c r="C337" s="93">
        <f>Accounts!N337</f>
        <v/>
      </c>
      <c r="D337" s="94" t="n"/>
      <c r="E337" s="93">
        <f>Accounts!F337</f>
        <v/>
      </c>
      <c r="F337" s="94">
        <f>Accounts!Q337</f>
        <v/>
      </c>
      <c r="G337" s="94">
        <f>Accounts!R337</f>
        <v/>
      </c>
      <c r="H337" s="94">
        <f>Accounts!I337</f>
        <v/>
      </c>
      <c r="I337" s="94">
        <f>Accounts!J337</f>
        <v/>
      </c>
      <c r="J337" s="93">
        <f>Accounts!S337</f>
        <v/>
      </c>
      <c r="K337" s="88" t="n"/>
      <c r="L337" s="95" t="n"/>
      <c r="M337" s="55" t="b">
        <v>0</v>
      </c>
      <c r="N337" s="96" t="b">
        <v>0</v>
      </c>
      <c r="O337" s="55" t="b">
        <v>0</v>
      </c>
      <c r="P337" s="55" t="b">
        <v>0</v>
      </c>
      <c r="Q337" s="55" t="b">
        <v>0</v>
      </c>
      <c r="R337" s="55" t="b">
        <v>0</v>
      </c>
      <c r="S337" s="55" t="b">
        <v>0</v>
      </c>
      <c r="T337" s="55" t="b">
        <v>0</v>
      </c>
      <c r="U337" s="55" t="b">
        <v>0</v>
      </c>
      <c r="V337" s="55" t="b">
        <v>0</v>
      </c>
    </row>
    <row r="338" ht="69" customHeight="1" s="211">
      <c r="A338" s="92">
        <f>Accounts!A338</f>
        <v/>
      </c>
      <c r="B338" s="12" t="b">
        <v>0</v>
      </c>
      <c r="C338" s="93">
        <f>Accounts!N338</f>
        <v/>
      </c>
      <c r="D338" s="94" t="n"/>
      <c r="E338" s="93">
        <f>Accounts!F338</f>
        <v/>
      </c>
      <c r="F338" s="94">
        <f>Accounts!Q338</f>
        <v/>
      </c>
      <c r="G338" s="94">
        <f>Accounts!R338</f>
        <v/>
      </c>
      <c r="H338" s="94">
        <f>Accounts!I338</f>
        <v/>
      </c>
      <c r="I338" s="94">
        <f>Accounts!J338</f>
        <v/>
      </c>
      <c r="J338" s="93">
        <f>Accounts!S338</f>
        <v/>
      </c>
      <c r="K338" s="88" t="n"/>
      <c r="L338" s="95" t="n"/>
      <c r="M338" s="55" t="b">
        <v>0</v>
      </c>
      <c r="N338" s="96" t="b">
        <v>0</v>
      </c>
      <c r="O338" s="55" t="b">
        <v>0</v>
      </c>
      <c r="P338" s="55" t="b">
        <v>0</v>
      </c>
      <c r="Q338" s="55" t="b">
        <v>0</v>
      </c>
      <c r="R338" s="55" t="b">
        <v>0</v>
      </c>
      <c r="S338" s="55" t="b">
        <v>0</v>
      </c>
      <c r="T338" s="55" t="b">
        <v>0</v>
      </c>
      <c r="U338" s="55" t="b">
        <v>0</v>
      </c>
      <c r="V338" s="55" t="b">
        <v>0</v>
      </c>
    </row>
    <row r="339" ht="69" customHeight="1" s="211">
      <c r="A339" s="92">
        <f>Accounts!A339</f>
        <v/>
      </c>
      <c r="B339" s="12" t="b">
        <v>0</v>
      </c>
      <c r="C339" s="93">
        <f>Accounts!N339</f>
        <v/>
      </c>
      <c r="D339" s="94" t="n"/>
      <c r="E339" s="93">
        <f>Accounts!F339</f>
        <v/>
      </c>
      <c r="F339" s="94">
        <f>Accounts!Q339</f>
        <v/>
      </c>
      <c r="G339" s="94">
        <f>Accounts!R339</f>
        <v/>
      </c>
      <c r="H339" s="94">
        <f>Accounts!I339</f>
        <v/>
      </c>
      <c r="I339" s="94">
        <f>Accounts!J339</f>
        <v/>
      </c>
      <c r="J339" s="93">
        <f>Accounts!S339</f>
        <v/>
      </c>
      <c r="K339" s="88" t="n"/>
      <c r="L339" s="95" t="n"/>
      <c r="M339" s="55" t="b">
        <v>0</v>
      </c>
      <c r="N339" s="96" t="b">
        <v>0</v>
      </c>
      <c r="O339" s="55" t="b">
        <v>0</v>
      </c>
      <c r="P339" s="55" t="b">
        <v>0</v>
      </c>
      <c r="Q339" s="55" t="b">
        <v>0</v>
      </c>
      <c r="R339" s="55" t="b">
        <v>0</v>
      </c>
      <c r="S339" s="55" t="b">
        <v>0</v>
      </c>
      <c r="T339" s="55" t="b">
        <v>0</v>
      </c>
      <c r="U339" s="55" t="b">
        <v>0</v>
      </c>
      <c r="V339" s="55" t="b">
        <v>0</v>
      </c>
    </row>
    <row r="340" ht="69" customHeight="1" s="211">
      <c r="A340" s="92">
        <f>Accounts!A340</f>
        <v/>
      </c>
      <c r="B340" s="12" t="b">
        <v>0</v>
      </c>
      <c r="C340" s="93">
        <f>Accounts!N340</f>
        <v/>
      </c>
      <c r="D340" s="94" t="n"/>
      <c r="E340" s="93">
        <f>Accounts!F340</f>
        <v/>
      </c>
      <c r="F340" s="94">
        <f>Accounts!Q340</f>
        <v/>
      </c>
      <c r="G340" s="94">
        <f>Accounts!R340</f>
        <v/>
      </c>
      <c r="H340" s="94">
        <f>Accounts!I340</f>
        <v/>
      </c>
      <c r="I340" s="94">
        <f>Accounts!J340</f>
        <v/>
      </c>
      <c r="J340" s="93">
        <f>Accounts!S340</f>
        <v/>
      </c>
      <c r="K340" s="88" t="n"/>
      <c r="L340" s="95" t="n"/>
      <c r="M340" s="55" t="b">
        <v>0</v>
      </c>
      <c r="N340" s="96" t="b">
        <v>0</v>
      </c>
      <c r="O340" s="55" t="b">
        <v>0</v>
      </c>
      <c r="P340" s="55" t="b">
        <v>0</v>
      </c>
      <c r="Q340" s="55" t="b">
        <v>0</v>
      </c>
      <c r="R340" s="55" t="b">
        <v>0</v>
      </c>
      <c r="S340" s="55" t="b">
        <v>0</v>
      </c>
      <c r="T340" s="55" t="b">
        <v>0</v>
      </c>
      <c r="U340" s="55" t="b">
        <v>0</v>
      </c>
      <c r="V340" s="55" t="b">
        <v>0</v>
      </c>
    </row>
    <row r="341" ht="69" customHeight="1" s="211">
      <c r="A341" s="92">
        <f>Accounts!A341</f>
        <v/>
      </c>
      <c r="B341" s="12" t="b">
        <v>0</v>
      </c>
      <c r="C341" s="93">
        <f>Accounts!N341</f>
        <v/>
      </c>
      <c r="D341" s="94" t="n"/>
      <c r="E341" s="93">
        <f>Accounts!F341</f>
        <v/>
      </c>
      <c r="F341" s="94">
        <f>Accounts!Q341</f>
        <v/>
      </c>
      <c r="G341" s="94">
        <f>Accounts!R341</f>
        <v/>
      </c>
      <c r="H341" s="94">
        <f>Accounts!I341</f>
        <v/>
      </c>
      <c r="I341" s="94">
        <f>Accounts!J341</f>
        <v/>
      </c>
      <c r="J341" s="93">
        <f>Accounts!S341</f>
        <v/>
      </c>
      <c r="K341" s="88" t="n"/>
      <c r="L341" s="95" t="n"/>
      <c r="M341" s="55" t="b">
        <v>0</v>
      </c>
      <c r="N341" s="96" t="b">
        <v>0</v>
      </c>
      <c r="O341" s="55" t="b">
        <v>0</v>
      </c>
      <c r="P341" s="55" t="b">
        <v>0</v>
      </c>
      <c r="Q341" s="55" t="b">
        <v>0</v>
      </c>
      <c r="R341" s="55" t="b">
        <v>0</v>
      </c>
      <c r="S341" s="55" t="b">
        <v>0</v>
      </c>
      <c r="T341" s="55" t="b">
        <v>0</v>
      </c>
      <c r="U341" s="55" t="b">
        <v>0</v>
      </c>
      <c r="V341" s="55" t="b">
        <v>0</v>
      </c>
    </row>
    <row r="342" ht="69" customHeight="1" s="211">
      <c r="A342" s="92">
        <f>Accounts!A342</f>
        <v/>
      </c>
      <c r="B342" s="12" t="b">
        <v>0</v>
      </c>
      <c r="C342" s="93">
        <f>Accounts!N342</f>
        <v/>
      </c>
      <c r="D342" s="94" t="n"/>
      <c r="E342" s="93">
        <f>Accounts!F342</f>
        <v/>
      </c>
      <c r="F342" s="94">
        <f>Accounts!Q342</f>
        <v/>
      </c>
      <c r="G342" s="94">
        <f>Accounts!R342</f>
        <v/>
      </c>
      <c r="H342" s="94">
        <f>Accounts!I342</f>
        <v/>
      </c>
      <c r="I342" s="94">
        <f>Accounts!J342</f>
        <v/>
      </c>
      <c r="J342" s="93">
        <f>Accounts!S342</f>
        <v/>
      </c>
      <c r="K342" s="88" t="n"/>
      <c r="L342" s="95" t="n"/>
      <c r="M342" s="55" t="b">
        <v>0</v>
      </c>
      <c r="N342" s="96" t="b">
        <v>0</v>
      </c>
      <c r="O342" s="55" t="b">
        <v>0</v>
      </c>
      <c r="P342" s="55" t="b">
        <v>0</v>
      </c>
      <c r="Q342" s="55" t="b">
        <v>0</v>
      </c>
      <c r="R342" s="55" t="b">
        <v>0</v>
      </c>
      <c r="S342" s="55" t="b">
        <v>0</v>
      </c>
      <c r="T342" s="55" t="b">
        <v>0</v>
      </c>
      <c r="U342" s="55" t="b">
        <v>0</v>
      </c>
      <c r="V342" s="55" t="b">
        <v>0</v>
      </c>
    </row>
    <row r="343" ht="69" customHeight="1" s="211">
      <c r="A343" s="92">
        <f>Accounts!A343</f>
        <v/>
      </c>
      <c r="B343" s="12" t="b">
        <v>0</v>
      </c>
      <c r="C343" s="93">
        <f>Accounts!N343</f>
        <v/>
      </c>
      <c r="D343" s="94" t="n"/>
      <c r="E343" s="93">
        <f>Accounts!F343</f>
        <v/>
      </c>
      <c r="F343" s="94">
        <f>Accounts!Q343</f>
        <v/>
      </c>
      <c r="G343" s="94">
        <f>Accounts!R343</f>
        <v/>
      </c>
      <c r="H343" s="94">
        <f>Accounts!I343</f>
        <v/>
      </c>
      <c r="I343" s="94">
        <f>Accounts!J343</f>
        <v/>
      </c>
      <c r="J343" s="93">
        <f>Accounts!S343</f>
        <v/>
      </c>
      <c r="K343" s="88" t="n"/>
      <c r="L343" s="95" t="n"/>
      <c r="M343" s="55" t="b">
        <v>0</v>
      </c>
      <c r="N343" s="96" t="b">
        <v>0</v>
      </c>
      <c r="O343" s="55" t="b">
        <v>0</v>
      </c>
      <c r="P343" s="55" t="b">
        <v>0</v>
      </c>
      <c r="Q343" s="55" t="b">
        <v>0</v>
      </c>
      <c r="R343" s="55" t="b">
        <v>0</v>
      </c>
      <c r="S343" s="55" t="b">
        <v>0</v>
      </c>
      <c r="T343" s="55" t="b">
        <v>0</v>
      </c>
      <c r="U343" s="55" t="b">
        <v>0</v>
      </c>
      <c r="V343" s="55" t="b">
        <v>0</v>
      </c>
    </row>
    <row r="344" ht="69" customHeight="1" s="211">
      <c r="A344" s="92">
        <f>Accounts!A344</f>
        <v/>
      </c>
      <c r="B344" s="12" t="b">
        <v>0</v>
      </c>
      <c r="C344" s="93">
        <f>Accounts!N344</f>
        <v/>
      </c>
      <c r="D344" s="94" t="n"/>
      <c r="E344" s="93">
        <f>Accounts!F344</f>
        <v/>
      </c>
      <c r="F344" s="94">
        <f>Accounts!Q344</f>
        <v/>
      </c>
      <c r="G344" s="94">
        <f>Accounts!R344</f>
        <v/>
      </c>
      <c r="H344" s="94">
        <f>Accounts!I344</f>
        <v/>
      </c>
      <c r="I344" s="94">
        <f>Accounts!J344</f>
        <v/>
      </c>
      <c r="J344" s="93">
        <f>Accounts!S344</f>
        <v/>
      </c>
      <c r="K344" s="88" t="n"/>
      <c r="L344" s="95" t="n"/>
      <c r="M344" s="55" t="b">
        <v>0</v>
      </c>
      <c r="N344" s="96" t="b">
        <v>0</v>
      </c>
      <c r="O344" s="55" t="b">
        <v>0</v>
      </c>
      <c r="P344" s="55" t="b">
        <v>0</v>
      </c>
      <c r="Q344" s="55" t="b">
        <v>0</v>
      </c>
      <c r="R344" s="55" t="b">
        <v>0</v>
      </c>
      <c r="S344" s="55" t="b">
        <v>0</v>
      </c>
      <c r="T344" s="55" t="b">
        <v>0</v>
      </c>
      <c r="U344" s="55" t="b">
        <v>0</v>
      </c>
      <c r="V344" s="55" t="b">
        <v>0</v>
      </c>
    </row>
    <row r="345" ht="69" customHeight="1" s="211">
      <c r="A345" s="92">
        <f>Accounts!A345</f>
        <v/>
      </c>
      <c r="B345" s="12" t="b">
        <v>0</v>
      </c>
      <c r="C345" s="93">
        <f>Accounts!N345</f>
        <v/>
      </c>
      <c r="D345" s="94" t="n"/>
      <c r="E345" s="93">
        <f>Accounts!F345</f>
        <v/>
      </c>
      <c r="F345" s="94">
        <f>Accounts!Q345</f>
        <v/>
      </c>
      <c r="G345" s="94">
        <f>Accounts!R345</f>
        <v/>
      </c>
      <c r="H345" s="94">
        <f>Accounts!I345</f>
        <v/>
      </c>
      <c r="I345" s="94">
        <f>Accounts!J345</f>
        <v/>
      </c>
      <c r="J345" s="93">
        <f>Accounts!S345</f>
        <v/>
      </c>
      <c r="K345" s="88" t="n"/>
      <c r="L345" s="95" t="n"/>
      <c r="M345" s="55" t="b">
        <v>0</v>
      </c>
      <c r="N345" s="96" t="b">
        <v>0</v>
      </c>
      <c r="O345" s="55" t="b">
        <v>0</v>
      </c>
      <c r="P345" s="55" t="b">
        <v>0</v>
      </c>
      <c r="Q345" s="55" t="b">
        <v>0</v>
      </c>
      <c r="R345" s="55" t="b">
        <v>0</v>
      </c>
      <c r="S345" s="55" t="b">
        <v>0</v>
      </c>
      <c r="T345" s="55" t="b">
        <v>0</v>
      </c>
      <c r="U345" s="55" t="b">
        <v>0</v>
      </c>
      <c r="V345" s="55" t="b">
        <v>0</v>
      </c>
    </row>
    <row r="346" ht="69" customHeight="1" s="211">
      <c r="A346" s="92">
        <f>Accounts!A346</f>
        <v/>
      </c>
      <c r="B346" s="12" t="b">
        <v>0</v>
      </c>
      <c r="C346" s="93">
        <f>Accounts!N346</f>
        <v/>
      </c>
      <c r="D346" s="94" t="n"/>
      <c r="E346" s="93">
        <f>Accounts!F346</f>
        <v/>
      </c>
      <c r="F346" s="94">
        <f>Accounts!Q346</f>
        <v/>
      </c>
      <c r="G346" s="94">
        <f>Accounts!R346</f>
        <v/>
      </c>
      <c r="H346" s="94">
        <f>Accounts!I346</f>
        <v/>
      </c>
      <c r="I346" s="94">
        <f>Accounts!J346</f>
        <v/>
      </c>
      <c r="J346" s="93">
        <f>Accounts!S346</f>
        <v/>
      </c>
      <c r="K346" s="88" t="n"/>
      <c r="L346" s="95" t="n"/>
      <c r="M346" s="55" t="b">
        <v>0</v>
      </c>
      <c r="N346" s="96" t="b">
        <v>0</v>
      </c>
      <c r="O346" s="55" t="b">
        <v>0</v>
      </c>
      <c r="P346" s="55" t="b">
        <v>0</v>
      </c>
      <c r="Q346" s="55" t="b">
        <v>0</v>
      </c>
      <c r="R346" s="55" t="b">
        <v>0</v>
      </c>
      <c r="S346" s="55" t="b">
        <v>0</v>
      </c>
      <c r="T346" s="55" t="b">
        <v>0</v>
      </c>
      <c r="U346" s="55" t="b">
        <v>0</v>
      </c>
      <c r="V346" s="55" t="b">
        <v>0</v>
      </c>
    </row>
    <row r="347" ht="69" customHeight="1" s="211">
      <c r="A347" s="92">
        <f>Accounts!A347</f>
        <v/>
      </c>
      <c r="B347" s="12" t="b">
        <v>0</v>
      </c>
      <c r="C347" s="93">
        <f>Accounts!N347</f>
        <v/>
      </c>
      <c r="D347" s="94" t="n"/>
      <c r="E347" s="93">
        <f>Accounts!F347</f>
        <v/>
      </c>
      <c r="F347" s="94">
        <f>Accounts!Q347</f>
        <v/>
      </c>
      <c r="G347" s="94">
        <f>Accounts!R347</f>
        <v/>
      </c>
      <c r="H347" s="94">
        <f>Accounts!I347</f>
        <v/>
      </c>
      <c r="I347" s="94">
        <f>Accounts!J347</f>
        <v/>
      </c>
      <c r="J347" s="93">
        <f>Accounts!S347</f>
        <v/>
      </c>
      <c r="K347" s="88" t="n"/>
      <c r="L347" s="95" t="n"/>
      <c r="M347" s="55" t="b">
        <v>0</v>
      </c>
      <c r="N347" s="96" t="b">
        <v>0</v>
      </c>
      <c r="O347" s="55" t="b">
        <v>0</v>
      </c>
      <c r="P347" s="55" t="b">
        <v>0</v>
      </c>
      <c r="Q347" s="55" t="b">
        <v>0</v>
      </c>
      <c r="R347" s="55" t="b">
        <v>0</v>
      </c>
      <c r="S347" s="55" t="b">
        <v>0</v>
      </c>
      <c r="T347" s="55" t="b">
        <v>0</v>
      </c>
      <c r="U347" s="55" t="b">
        <v>0</v>
      </c>
      <c r="V347" s="55" t="b">
        <v>0</v>
      </c>
    </row>
    <row r="348" ht="69" customHeight="1" s="211">
      <c r="A348" s="92">
        <f>Accounts!A348</f>
        <v/>
      </c>
      <c r="B348" s="12" t="b">
        <v>0</v>
      </c>
      <c r="C348" s="93">
        <f>Accounts!N348</f>
        <v/>
      </c>
      <c r="D348" s="94" t="n"/>
      <c r="E348" s="93">
        <f>Accounts!F348</f>
        <v/>
      </c>
      <c r="F348" s="94">
        <f>Accounts!Q348</f>
        <v/>
      </c>
      <c r="G348" s="94">
        <f>Accounts!R348</f>
        <v/>
      </c>
      <c r="H348" s="94">
        <f>Accounts!I348</f>
        <v/>
      </c>
      <c r="I348" s="94">
        <f>Accounts!J348</f>
        <v/>
      </c>
      <c r="J348" s="93">
        <f>Accounts!S348</f>
        <v/>
      </c>
      <c r="K348" s="88" t="n"/>
      <c r="L348" s="95" t="n"/>
      <c r="M348" s="55" t="b">
        <v>0</v>
      </c>
      <c r="N348" s="96" t="b">
        <v>0</v>
      </c>
      <c r="O348" s="55" t="b">
        <v>0</v>
      </c>
      <c r="P348" s="55" t="b">
        <v>0</v>
      </c>
      <c r="Q348" s="55" t="b">
        <v>0</v>
      </c>
      <c r="R348" s="55" t="b">
        <v>0</v>
      </c>
      <c r="S348" s="55" t="b">
        <v>0</v>
      </c>
      <c r="T348" s="55" t="b">
        <v>0</v>
      </c>
      <c r="U348" s="55" t="b">
        <v>0</v>
      </c>
      <c r="V348" s="55" t="b">
        <v>0</v>
      </c>
    </row>
    <row r="349" ht="69" customHeight="1" s="211">
      <c r="A349" s="92">
        <f>Accounts!A349</f>
        <v/>
      </c>
      <c r="B349" s="12" t="b">
        <v>0</v>
      </c>
      <c r="C349" s="93">
        <f>Accounts!N349</f>
        <v/>
      </c>
      <c r="D349" s="94" t="n"/>
      <c r="E349" s="93">
        <f>Accounts!F349</f>
        <v/>
      </c>
      <c r="F349" s="94">
        <f>Accounts!Q349</f>
        <v/>
      </c>
      <c r="G349" s="94">
        <f>Accounts!R349</f>
        <v/>
      </c>
      <c r="H349" s="94">
        <f>Accounts!I349</f>
        <v/>
      </c>
      <c r="I349" s="94">
        <f>Accounts!J349</f>
        <v/>
      </c>
      <c r="J349" s="93">
        <f>Accounts!S349</f>
        <v/>
      </c>
      <c r="K349" s="88" t="n"/>
      <c r="L349" s="95" t="n"/>
      <c r="M349" s="55" t="b">
        <v>0</v>
      </c>
      <c r="N349" s="96" t="b">
        <v>0</v>
      </c>
      <c r="O349" s="55" t="b">
        <v>0</v>
      </c>
      <c r="P349" s="55" t="b">
        <v>0</v>
      </c>
      <c r="Q349" s="55" t="b">
        <v>0</v>
      </c>
      <c r="R349" s="55" t="b">
        <v>0</v>
      </c>
      <c r="S349" s="55" t="b">
        <v>0</v>
      </c>
      <c r="T349" s="55" t="b">
        <v>0</v>
      </c>
      <c r="U349" s="55" t="b">
        <v>0</v>
      </c>
      <c r="V349" s="55" t="b">
        <v>0</v>
      </c>
    </row>
    <row r="350" ht="69" customHeight="1" s="211">
      <c r="A350" s="92">
        <f>Accounts!A350</f>
        <v/>
      </c>
      <c r="B350" s="12" t="b">
        <v>0</v>
      </c>
      <c r="C350" s="93">
        <f>Accounts!N350</f>
        <v/>
      </c>
      <c r="D350" s="94" t="n"/>
      <c r="E350" s="93">
        <f>Accounts!F350</f>
        <v/>
      </c>
      <c r="F350" s="94">
        <f>Accounts!Q350</f>
        <v/>
      </c>
      <c r="G350" s="94">
        <f>Accounts!R350</f>
        <v/>
      </c>
      <c r="H350" s="94">
        <f>Accounts!I350</f>
        <v/>
      </c>
      <c r="I350" s="94">
        <f>Accounts!J350</f>
        <v/>
      </c>
      <c r="J350" s="93">
        <f>Accounts!S350</f>
        <v/>
      </c>
      <c r="K350" s="88" t="n"/>
      <c r="L350" s="95" t="n"/>
      <c r="M350" s="55" t="b">
        <v>0</v>
      </c>
      <c r="N350" s="96" t="b">
        <v>0</v>
      </c>
      <c r="O350" s="55" t="b">
        <v>0</v>
      </c>
      <c r="P350" s="55" t="b">
        <v>0</v>
      </c>
      <c r="Q350" s="55" t="b">
        <v>0</v>
      </c>
      <c r="R350" s="55" t="b">
        <v>0</v>
      </c>
      <c r="S350" s="55" t="b">
        <v>0</v>
      </c>
      <c r="T350" s="55" t="b">
        <v>0</v>
      </c>
      <c r="U350" s="55" t="b">
        <v>0</v>
      </c>
      <c r="V350" s="55" t="b">
        <v>0</v>
      </c>
    </row>
    <row r="351" ht="69" customHeight="1" s="211">
      <c r="A351" s="92">
        <f>Accounts!A351</f>
        <v/>
      </c>
      <c r="B351" s="12" t="b">
        <v>0</v>
      </c>
      <c r="C351" s="93">
        <f>Accounts!N351</f>
        <v/>
      </c>
      <c r="D351" s="94" t="n"/>
      <c r="E351" s="93">
        <f>Accounts!F351</f>
        <v/>
      </c>
      <c r="F351" s="94">
        <f>Accounts!Q351</f>
        <v/>
      </c>
      <c r="G351" s="94">
        <f>Accounts!R351</f>
        <v/>
      </c>
      <c r="H351" s="94">
        <f>Accounts!I351</f>
        <v/>
      </c>
      <c r="I351" s="94">
        <f>Accounts!J351</f>
        <v/>
      </c>
      <c r="J351" s="93">
        <f>Accounts!S351</f>
        <v/>
      </c>
      <c r="K351" s="88" t="n"/>
      <c r="L351" s="95" t="n"/>
      <c r="M351" s="55" t="b">
        <v>0</v>
      </c>
      <c r="N351" s="96" t="b">
        <v>0</v>
      </c>
      <c r="O351" s="55" t="b">
        <v>0</v>
      </c>
      <c r="P351" s="55" t="b">
        <v>0</v>
      </c>
      <c r="Q351" s="55" t="b">
        <v>0</v>
      </c>
      <c r="R351" s="55" t="b">
        <v>0</v>
      </c>
      <c r="S351" s="55" t="b">
        <v>0</v>
      </c>
      <c r="T351" s="55" t="b">
        <v>0</v>
      </c>
      <c r="U351" s="55" t="b">
        <v>0</v>
      </c>
      <c r="V351" s="55" t="b">
        <v>0</v>
      </c>
    </row>
    <row r="352" ht="69" customHeight="1" s="211">
      <c r="A352" s="92">
        <f>Accounts!A352</f>
        <v/>
      </c>
      <c r="B352" s="12" t="b">
        <v>0</v>
      </c>
      <c r="C352" s="93">
        <f>Accounts!N352</f>
        <v/>
      </c>
      <c r="D352" s="94" t="n"/>
      <c r="E352" s="93">
        <f>Accounts!F352</f>
        <v/>
      </c>
      <c r="F352" s="94">
        <f>Accounts!Q352</f>
        <v/>
      </c>
      <c r="G352" s="94">
        <f>Accounts!R352</f>
        <v/>
      </c>
      <c r="H352" s="94">
        <f>Accounts!I352</f>
        <v/>
      </c>
      <c r="I352" s="94">
        <f>Accounts!J352</f>
        <v/>
      </c>
      <c r="J352" s="93">
        <f>Accounts!S352</f>
        <v/>
      </c>
      <c r="K352" s="88" t="n"/>
      <c r="L352" s="95" t="n"/>
      <c r="M352" s="55" t="b">
        <v>0</v>
      </c>
      <c r="N352" s="96" t="b">
        <v>0</v>
      </c>
      <c r="O352" s="55" t="b">
        <v>0</v>
      </c>
      <c r="P352" s="55" t="b">
        <v>0</v>
      </c>
      <c r="Q352" s="55" t="b">
        <v>0</v>
      </c>
      <c r="R352" s="55" t="b">
        <v>0</v>
      </c>
      <c r="S352" s="55" t="b">
        <v>0</v>
      </c>
      <c r="T352" s="55" t="b">
        <v>0</v>
      </c>
      <c r="U352" s="55" t="b">
        <v>0</v>
      </c>
      <c r="V352" s="55" t="b">
        <v>0</v>
      </c>
    </row>
    <row r="353" ht="69" customHeight="1" s="211">
      <c r="A353" s="92">
        <f>Accounts!A353</f>
        <v/>
      </c>
      <c r="B353" s="12" t="b">
        <v>0</v>
      </c>
      <c r="C353" s="93">
        <f>Accounts!N353</f>
        <v/>
      </c>
      <c r="D353" s="94" t="n"/>
      <c r="E353" s="93">
        <f>Accounts!F353</f>
        <v/>
      </c>
      <c r="F353" s="94">
        <f>Accounts!Q353</f>
        <v/>
      </c>
      <c r="G353" s="94">
        <f>Accounts!R353</f>
        <v/>
      </c>
      <c r="H353" s="94">
        <f>Accounts!I353</f>
        <v/>
      </c>
      <c r="I353" s="94">
        <f>Accounts!J353</f>
        <v/>
      </c>
      <c r="J353" s="93">
        <f>Accounts!S353</f>
        <v/>
      </c>
      <c r="K353" s="88" t="n"/>
      <c r="L353" s="95" t="n"/>
      <c r="M353" s="55" t="b">
        <v>0</v>
      </c>
      <c r="N353" s="96" t="b">
        <v>0</v>
      </c>
      <c r="O353" s="55" t="b">
        <v>0</v>
      </c>
      <c r="P353" s="55" t="b">
        <v>0</v>
      </c>
      <c r="Q353" s="55" t="b">
        <v>0</v>
      </c>
      <c r="R353" s="55" t="b">
        <v>0</v>
      </c>
      <c r="S353" s="55" t="b">
        <v>0</v>
      </c>
      <c r="T353" s="55" t="b">
        <v>0</v>
      </c>
      <c r="U353" s="55" t="b">
        <v>0</v>
      </c>
      <c r="V353" s="55" t="b">
        <v>0</v>
      </c>
    </row>
    <row r="354" ht="69" customHeight="1" s="211">
      <c r="A354" s="92">
        <f>Accounts!A354</f>
        <v/>
      </c>
      <c r="B354" s="12" t="b">
        <v>0</v>
      </c>
      <c r="C354" s="93">
        <f>Accounts!N354</f>
        <v/>
      </c>
      <c r="D354" s="94" t="n"/>
      <c r="E354" s="93">
        <f>Accounts!F354</f>
        <v/>
      </c>
      <c r="F354" s="94">
        <f>Accounts!Q354</f>
        <v/>
      </c>
      <c r="G354" s="94">
        <f>Accounts!R354</f>
        <v/>
      </c>
      <c r="H354" s="94">
        <f>Accounts!I354</f>
        <v/>
      </c>
      <c r="I354" s="94">
        <f>Accounts!J354</f>
        <v/>
      </c>
      <c r="J354" s="93">
        <f>Accounts!S354</f>
        <v/>
      </c>
      <c r="K354" s="88" t="n"/>
      <c r="L354" s="95" t="n"/>
      <c r="M354" s="55" t="b">
        <v>0</v>
      </c>
      <c r="N354" s="96" t="b">
        <v>0</v>
      </c>
      <c r="O354" s="55" t="b">
        <v>0</v>
      </c>
      <c r="P354" s="55" t="b">
        <v>0</v>
      </c>
      <c r="Q354" s="55" t="b">
        <v>0</v>
      </c>
      <c r="R354" s="55" t="b">
        <v>0</v>
      </c>
      <c r="S354" s="55" t="b">
        <v>0</v>
      </c>
      <c r="T354" s="55" t="b">
        <v>0</v>
      </c>
      <c r="U354" s="55" t="b">
        <v>0</v>
      </c>
      <c r="V354" s="55" t="b">
        <v>0</v>
      </c>
    </row>
    <row r="355" ht="69" customHeight="1" s="211">
      <c r="A355" s="92">
        <f>Accounts!A355</f>
        <v/>
      </c>
      <c r="B355" s="12" t="b">
        <v>0</v>
      </c>
      <c r="C355" s="93">
        <f>Accounts!N355</f>
        <v/>
      </c>
      <c r="D355" s="94" t="n"/>
      <c r="E355" s="93">
        <f>Accounts!F355</f>
        <v/>
      </c>
      <c r="F355" s="94">
        <f>Accounts!Q355</f>
        <v/>
      </c>
      <c r="G355" s="94">
        <f>Accounts!R355</f>
        <v/>
      </c>
      <c r="H355" s="94">
        <f>Accounts!I355</f>
        <v/>
      </c>
      <c r="I355" s="94">
        <f>Accounts!J355</f>
        <v/>
      </c>
      <c r="J355" s="93">
        <f>Accounts!S355</f>
        <v/>
      </c>
      <c r="K355" s="88" t="n"/>
      <c r="L355" s="95" t="n"/>
      <c r="M355" s="55" t="b">
        <v>0</v>
      </c>
      <c r="N355" s="96" t="b">
        <v>0</v>
      </c>
      <c r="O355" s="55" t="b">
        <v>0</v>
      </c>
      <c r="P355" s="55" t="b">
        <v>0</v>
      </c>
      <c r="Q355" s="55" t="b">
        <v>0</v>
      </c>
      <c r="R355" s="55" t="b">
        <v>0</v>
      </c>
      <c r="S355" s="55" t="b">
        <v>0</v>
      </c>
      <c r="T355" s="55" t="b">
        <v>0</v>
      </c>
      <c r="U355" s="55" t="b">
        <v>0</v>
      </c>
      <c r="V355" s="55" t="b">
        <v>0</v>
      </c>
    </row>
    <row r="356" ht="69" customHeight="1" s="211">
      <c r="A356" s="92">
        <f>Accounts!A356</f>
        <v/>
      </c>
      <c r="B356" s="12" t="b">
        <v>0</v>
      </c>
      <c r="C356" s="93">
        <f>Accounts!N356</f>
        <v/>
      </c>
      <c r="D356" s="94" t="n"/>
      <c r="E356" s="93">
        <f>Accounts!F356</f>
        <v/>
      </c>
      <c r="F356" s="94">
        <f>Accounts!Q356</f>
        <v/>
      </c>
      <c r="G356" s="94">
        <f>Accounts!R356</f>
        <v/>
      </c>
      <c r="H356" s="94">
        <f>Accounts!I356</f>
        <v/>
      </c>
      <c r="I356" s="94">
        <f>Accounts!J356</f>
        <v/>
      </c>
      <c r="J356" s="93">
        <f>Accounts!S356</f>
        <v/>
      </c>
      <c r="K356" s="88" t="n"/>
      <c r="L356" s="95" t="n"/>
      <c r="M356" s="55" t="b">
        <v>0</v>
      </c>
      <c r="N356" s="96" t="b">
        <v>0</v>
      </c>
      <c r="O356" s="55" t="b">
        <v>0</v>
      </c>
      <c r="P356" s="55" t="b">
        <v>0</v>
      </c>
      <c r="Q356" s="55" t="b">
        <v>0</v>
      </c>
      <c r="R356" s="55" t="b">
        <v>0</v>
      </c>
      <c r="S356" s="55" t="b">
        <v>0</v>
      </c>
      <c r="T356" s="55" t="b">
        <v>0</v>
      </c>
      <c r="U356" s="55" t="b">
        <v>0</v>
      </c>
      <c r="V356" s="55" t="b">
        <v>0</v>
      </c>
    </row>
    <row r="357" ht="69" customHeight="1" s="211">
      <c r="A357" s="92">
        <f>Accounts!A357</f>
        <v/>
      </c>
      <c r="B357" s="12" t="b">
        <v>0</v>
      </c>
      <c r="C357" s="93">
        <f>Accounts!N357</f>
        <v/>
      </c>
      <c r="D357" s="94" t="n"/>
      <c r="E357" s="93">
        <f>Accounts!F357</f>
        <v/>
      </c>
      <c r="F357" s="94">
        <f>Accounts!Q357</f>
        <v/>
      </c>
      <c r="G357" s="94">
        <f>Accounts!R357</f>
        <v/>
      </c>
      <c r="H357" s="94">
        <f>Accounts!I357</f>
        <v/>
      </c>
      <c r="I357" s="94">
        <f>Accounts!J357</f>
        <v/>
      </c>
      <c r="J357" s="93">
        <f>Accounts!S357</f>
        <v/>
      </c>
      <c r="K357" s="88" t="n"/>
      <c r="L357" s="95" t="n"/>
      <c r="M357" s="55" t="b">
        <v>0</v>
      </c>
      <c r="N357" s="96" t="b">
        <v>0</v>
      </c>
      <c r="O357" s="55" t="b">
        <v>0</v>
      </c>
      <c r="P357" s="55" t="b">
        <v>0</v>
      </c>
      <c r="Q357" s="55" t="b">
        <v>0</v>
      </c>
      <c r="R357" s="55" t="b">
        <v>0</v>
      </c>
      <c r="S357" s="55" t="b">
        <v>0</v>
      </c>
      <c r="T357" s="55" t="b">
        <v>0</v>
      </c>
      <c r="U357" s="55" t="b">
        <v>0</v>
      </c>
      <c r="V357" s="55" t="b">
        <v>0</v>
      </c>
    </row>
    <row r="358" ht="69" customHeight="1" s="211">
      <c r="A358" s="92">
        <f>Accounts!A358</f>
        <v/>
      </c>
      <c r="B358" s="12" t="b">
        <v>0</v>
      </c>
      <c r="C358" s="93">
        <f>Accounts!N358</f>
        <v/>
      </c>
      <c r="D358" s="94" t="n"/>
      <c r="E358" s="93">
        <f>Accounts!F358</f>
        <v/>
      </c>
      <c r="F358" s="94">
        <f>Accounts!Q358</f>
        <v/>
      </c>
      <c r="G358" s="94">
        <f>Accounts!R358</f>
        <v/>
      </c>
      <c r="H358" s="94">
        <f>Accounts!I358</f>
        <v/>
      </c>
      <c r="I358" s="94">
        <f>Accounts!J358</f>
        <v/>
      </c>
      <c r="J358" s="93">
        <f>Accounts!S358</f>
        <v/>
      </c>
      <c r="K358" s="88" t="n"/>
      <c r="L358" s="95" t="n"/>
      <c r="M358" s="55" t="b">
        <v>0</v>
      </c>
      <c r="N358" s="96" t="b">
        <v>0</v>
      </c>
      <c r="O358" s="55" t="b">
        <v>0</v>
      </c>
      <c r="P358" s="55" t="b">
        <v>0</v>
      </c>
      <c r="Q358" s="55" t="b">
        <v>0</v>
      </c>
      <c r="R358" s="55" t="b">
        <v>0</v>
      </c>
      <c r="S358" s="55" t="b">
        <v>0</v>
      </c>
      <c r="T358" s="55" t="b">
        <v>0</v>
      </c>
      <c r="U358" s="55" t="b">
        <v>0</v>
      </c>
      <c r="V358" s="55" t="b">
        <v>0</v>
      </c>
    </row>
    <row r="359" ht="69" customHeight="1" s="211">
      <c r="A359" s="92">
        <f>Accounts!A359</f>
        <v/>
      </c>
      <c r="B359" s="12" t="b">
        <v>0</v>
      </c>
      <c r="C359" s="93">
        <f>Accounts!N359</f>
        <v/>
      </c>
      <c r="D359" s="94" t="n"/>
      <c r="E359" s="93">
        <f>Accounts!F359</f>
        <v/>
      </c>
      <c r="F359" s="94">
        <f>Accounts!Q359</f>
        <v/>
      </c>
      <c r="G359" s="94">
        <f>Accounts!R359</f>
        <v/>
      </c>
      <c r="H359" s="94">
        <f>Accounts!I359</f>
        <v/>
      </c>
      <c r="I359" s="94">
        <f>Accounts!J359</f>
        <v/>
      </c>
      <c r="J359" s="93">
        <f>Accounts!S359</f>
        <v/>
      </c>
      <c r="K359" s="88" t="n"/>
      <c r="L359" s="95" t="n"/>
      <c r="M359" s="55" t="b">
        <v>0</v>
      </c>
      <c r="N359" s="96" t="b">
        <v>0</v>
      </c>
      <c r="O359" s="55" t="b">
        <v>0</v>
      </c>
      <c r="P359" s="55" t="b">
        <v>0</v>
      </c>
      <c r="Q359" s="55" t="b">
        <v>0</v>
      </c>
      <c r="R359" s="55" t="b">
        <v>0</v>
      </c>
      <c r="S359" s="55" t="b">
        <v>0</v>
      </c>
      <c r="T359" s="55" t="b">
        <v>0</v>
      </c>
      <c r="U359" s="55" t="b">
        <v>0</v>
      </c>
      <c r="V359" s="55" t="b">
        <v>0</v>
      </c>
    </row>
    <row r="360" ht="69" customHeight="1" s="211">
      <c r="A360" s="92">
        <f>Accounts!A360</f>
        <v/>
      </c>
      <c r="B360" s="12" t="b">
        <v>0</v>
      </c>
      <c r="C360" s="93">
        <f>Accounts!N360</f>
        <v/>
      </c>
      <c r="D360" s="94" t="n"/>
      <c r="E360" s="93">
        <f>Accounts!F360</f>
        <v/>
      </c>
      <c r="F360" s="94">
        <f>Accounts!Q360</f>
        <v/>
      </c>
      <c r="G360" s="94">
        <f>Accounts!R360</f>
        <v/>
      </c>
      <c r="H360" s="94">
        <f>Accounts!I360</f>
        <v/>
      </c>
      <c r="I360" s="94">
        <f>Accounts!J360</f>
        <v/>
      </c>
      <c r="J360" s="93">
        <f>Accounts!S360</f>
        <v/>
      </c>
      <c r="K360" s="88" t="n"/>
      <c r="L360" s="95" t="n"/>
      <c r="M360" s="55" t="b">
        <v>0</v>
      </c>
      <c r="N360" s="96" t="b">
        <v>0</v>
      </c>
      <c r="O360" s="55" t="b">
        <v>0</v>
      </c>
      <c r="P360" s="55" t="b">
        <v>0</v>
      </c>
      <c r="Q360" s="55" t="b">
        <v>0</v>
      </c>
      <c r="R360" s="55" t="b">
        <v>0</v>
      </c>
      <c r="S360" s="55" t="b">
        <v>0</v>
      </c>
      <c r="T360" s="55" t="b">
        <v>0</v>
      </c>
      <c r="U360" s="55" t="b">
        <v>0</v>
      </c>
      <c r="V360" s="55" t="b">
        <v>0</v>
      </c>
    </row>
    <row r="361" ht="69" customHeight="1" s="211">
      <c r="A361" s="92">
        <f>Accounts!A361</f>
        <v/>
      </c>
      <c r="B361" s="12" t="b">
        <v>0</v>
      </c>
      <c r="C361" s="93">
        <f>Accounts!N361</f>
        <v/>
      </c>
      <c r="D361" s="94" t="n"/>
      <c r="E361" s="93">
        <f>Accounts!F361</f>
        <v/>
      </c>
      <c r="F361" s="94">
        <f>Accounts!Q361</f>
        <v/>
      </c>
      <c r="G361" s="94">
        <f>Accounts!R361</f>
        <v/>
      </c>
      <c r="H361" s="94">
        <f>Accounts!I361</f>
        <v/>
      </c>
      <c r="I361" s="94">
        <f>Accounts!J361</f>
        <v/>
      </c>
      <c r="J361" s="93">
        <f>Accounts!S361</f>
        <v/>
      </c>
      <c r="K361" s="88" t="n"/>
      <c r="L361" s="95" t="n"/>
      <c r="M361" s="55" t="b">
        <v>0</v>
      </c>
      <c r="N361" s="96" t="b">
        <v>0</v>
      </c>
      <c r="O361" s="55" t="b">
        <v>0</v>
      </c>
      <c r="P361" s="55" t="b">
        <v>0</v>
      </c>
      <c r="Q361" s="55" t="b">
        <v>0</v>
      </c>
      <c r="R361" s="55" t="b">
        <v>0</v>
      </c>
      <c r="S361" s="55" t="b">
        <v>0</v>
      </c>
      <c r="T361" s="55" t="b">
        <v>0</v>
      </c>
      <c r="U361" s="55" t="b">
        <v>0</v>
      </c>
      <c r="V361" s="55" t="b">
        <v>0</v>
      </c>
    </row>
    <row r="362" ht="69" customHeight="1" s="211">
      <c r="A362" s="92">
        <f>Accounts!A362</f>
        <v/>
      </c>
      <c r="B362" s="12" t="b">
        <v>0</v>
      </c>
      <c r="C362" s="93">
        <f>Accounts!N362</f>
        <v/>
      </c>
      <c r="D362" s="94" t="n"/>
      <c r="E362" s="93">
        <f>Accounts!F362</f>
        <v/>
      </c>
      <c r="F362" s="94">
        <f>Accounts!Q362</f>
        <v/>
      </c>
      <c r="G362" s="94">
        <f>Accounts!R362</f>
        <v/>
      </c>
      <c r="H362" s="94">
        <f>Accounts!I362</f>
        <v/>
      </c>
      <c r="I362" s="94">
        <f>Accounts!J362</f>
        <v/>
      </c>
      <c r="J362" s="93">
        <f>Accounts!S362</f>
        <v/>
      </c>
      <c r="K362" s="88" t="n"/>
      <c r="L362" s="95" t="n"/>
      <c r="M362" s="55" t="b">
        <v>0</v>
      </c>
      <c r="N362" s="96" t="b">
        <v>0</v>
      </c>
      <c r="O362" s="55" t="b">
        <v>0</v>
      </c>
      <c r="P362" s="55" t="b">
        <v>0</v>
      </c>
      <c r="Q362" s="55" t="b">
        <v>0</v>
      </c>
      <c r="R362" s="55" t="b">
        <v>0</v>
      </c>
      <c r="S362" s="55" t="b">
        <v>0</v>
      </c>
      <c r="T362" s="55" t="b">
        <v>0</v>
      </c>
      <c r="U362" s="55" t="b">
        <v>0</v>
      </c>
      <c r="V362" s="55" t="b">
        <v>0</v>
      </c>
    </row>
    <row r="363" ht="69" customHeight="1" s="211">
      <c r="A363" s="92">
        <f>Accounts!A363</f>
        <v/>
      </c>
      <c r="B363" s="12" t="b">
        <v>0</v>
      </c>
      <c r="C363" s="93">
        <f>Accounts!N363</f>
        <v/>
      </c>
      <c r="D363" s="94" t="n"/>
      <c r="E363" s="93">
        <f>Accounts!F363</f>
        <v/>
      </c>
      <c r="F363" s="94">
        <f>Accounts!Q363</f>
        <v/>
      </c>
      <c r="G363" s="94">
        <f>Accounts!R363</f>
        <v/>
      </c>
      <c r="H363" s="94">
        <f>Accounts!I363</f>
        <v/>
      </c>
      <c r="I363" s="94">
        <f>Accounts!J363</f>
        <v/>
      </c>
      <c r="J363" s="93">
        <f>Accounts!S363</f>
        <v/>
      </c>
      <c r="K363" s="88" t="n"/>
      <c r="L363" s="95" t="n"/>
      <c r="M363" s="55" t="b">
        <v>0</v>
      </c>
      <c r="N363" s="96" t="b">
        <v>0</v>
      </c>
      <c r="O363" s="55" t="b">
        <v>0</v>
      </c>
      <c r="P363" s="55" t="b">
        <v>0</v>
      </c>
      <c r="Q363" s="55" t="b">
        <v>0</v>
      </c>
      <c r="R363" s="55" t="b">
        <v>0</v>
      </c>
      <c r="S363" s="55" t="b">
        <v>0</v>
      </c>
      <c r="T363" s="55" t="b">
        <v>0</v>
      </c>
      <c r="U363" s="55" t="b">
        <v>0</v>
      </c>
      <c r="V363" s="55" t="b">
        <v>0</v>
      </c>
    </row>
    <row r="364" ht="69" customHeight="1" s="211">
      <c r="A364" s="92">
        <f>Accounts!A364</f>
        <v/>
      </c>
      <c r="B364" s="12" t="b">
        <v>0</v>
      </c>
      <c r="C364" s="93">
        <f>Accounts!N364</f>
        <v/>
      </c>
      <c r="D364" s="94" t="n"/>
      <c r="E364" s="93">
        <f>Accounts!F364</f>
        <v/>
      </c>
      <c r="F364" s="94">
        <f>Accounts!Q364</f>
        <v/>
      </c>
      <c r="G364" s="94">
        <f>Accounts!R364</f>
        <v/>
      </c>
      <c r="H364" s="94">
        <f>Accounts!I364</f>
        <v/>
      </c>
      <c r="I364" s="94">
        <f>Accounts!J364</f>
        <v/>
      </c>
      <c r="J364" s="93">
        <f>Accounts!S364</f>
        <v/>
      </c>
      <c r="K364" s="88" t="n"/>
      <c r="L364" s="95" t="n"/>
      <c r="M364" s="55" t="b">
        <v>0</v>
      </c>
      <c r="N364" s="96" t="b">
        <v>0</v>
      </c>
      <c r="O364" s="55" t="b">
        <v>0</v>
      </c>
      <c r="P364" s="55" t="b">
        <v>0</v>
      </c>
      <c r="Q364" s="55" t="b">
        <v>0</v>
      </c>
      <c r="R364" s="55" t="b">
        <v>0</v>
      </c>
      <c r="S364" s="55" t="b">
        <v>0</v>
      </c>
      <c r="T364" s="55" t="b">
        <v>0</v>
      </c>
      <c r="U364" s="55" t="b">
        <v>0</v>
      </c>
      <c r="V364" s="55" t="b">
        <v>0</v>
      </c>
    </row>
    <row r="365" ht="69" customHeight="1" s="211">
      <c r="A365" s="92">
        <f>Accounts!A365</f>
        <v/>
      </c>
      <c r="B365" s="12" t="b">
        <v>0</v>
      </c>
      <c r="C365" s="93">
        <f>Accounts!N365</f>
        <v/>
      </c>
      <c r="D365" s="94" t="n"/>
      <c r="E365" s="93">
        <f>Accounts!F365</f>
        <v/>
      </c>
      <c r="F365" s="94">
        <f>Accounts!Q365</f>
        <v/>
      </c>
      <c r="G365" s="94">
        <f>Accounts!R365</f>
        <v/>
      </c>
      <c r="H365" s="94">
        <f>Accounts!I365</f>
        <v/>
      </c>
      <c r="I365" s="94">
        <f>Accounts!J365</f>
        <v/>
      </c>
      <c r="J365" s="93">
        <f>Accounts!S365</f>
        <v/>
      </c>
      <c r="K365" s="88" t="n"/>
      <c r="L365" s="95" t="n"/>
      <c r="M365" s="55" t="b">
        <v>0</v>
      </c>
      <c r="N365" s="96" t="b">
        <v>0</v>
      </c>
      <c r="O365" s="55" t="b">
        <v>0</v>
      </c>
      <c r="P365" s="55" t="b">
        <v>0</v>
      </c>
      <c r="Q365" s="55" t="b">
        <v>0</v>
      </c>
      <c r="R365" s="55" t="b">
        <v>0</v>
      </c>
      <c r="S365" s="55" t="b">
        <v>0</v>
      </c>
      <c r="T365" s="55" t="b">
        <v>0</v>
      </c>
      <c r="U365" s="55" t="b">
        <v>0</v>
      </c>
      <c r="V365" s="55" t="b">
        <v>0</v>
      </c>
    </row>
    <row r="366" ht="69" customHeight="1" s="211">
      <c r="A366" s="92">
        <f>Accounts!A366</f>
        <v/>
      </c>
      <c r="B366" s="12" t="b">
        <v>0</v>
      </c>
      <c r="C366" s="93">
        <f>Accounts!N366</f>
        <v/>
      </c>
      <c r="D366" s="94" t="n"/>
      <c r="E366" s="93">
        <f>Accounts!F366</f>
        <v/>
      </c>
      <c r="F366" s="94">
        <f>Accounts!Q366</f>
        <v/>
      </c>
      <c r="G366" s="94">
        <f>Accounts!R366</f>
        <v/>
      </c>
      <c r="H366" s="94">
        <f>Accounts!I366</f>
        <v/>
      </c>
      <c r="I366" s="94">
        <f>Accounts!J366</f>
        <v/>
      </c>
      <c r="J366" s="93">
        <f>Accounts!S366</f>
        <v/>
      </c>
      <c r="K366" s="88" t="n"/>
      <c r="L366" s="95" t="n"/>
      <c r="M366" s="55" t="b">
        <v>0</v>
      </c>
      <c r="N366" s="96" t="b">
        <v>0</v>
      </c>
      <c r="O366" s="55" t="b">
        <v>0</v>
      </c>
      <c r="P366" s="55" t="b">
        <v>0</v>
      </c>
      <c r="Q366" s="55" t="b">
        <v>0</v>
      </c>
      <c r="R366" s="55" t="b">
        <v>0</v>
      </c>
      <c r="S366" s="55" t="b">
        <v>0</v>
      </c>
      <c r="T366" s="55" t="b">
        <v>0</v>
      </c>
      <c r="U366" s="55" t="b">
        <v>0</v>
      </c>
      <c r="V366" s="55" t="b">
        <v>0</v>
      </c>
    </row>
    <row r="367" ht="69" customHeight="1" s="211">
      <c r="A367" s="92">
        <f>Accounts!A367</f>
        <v/>
      </c>
      <c r="B367" s="12" t="b">
        <v>0</v>
      </c>
      <c r="C367" s="93">
        <f>Accounts!N367</f>
        <v/>
      </c>
      <c r="D367" s="94" t="n"/>
      <c r="E367" s="93">
        <f>Accounts!F367</f>
        <v/>
      </c>
      <c r="F367" s="94">
        <f>Accounts!Q367</f>
        <v/>
      </c>
      <c r="G367" s="94">
        <f>Accounts!R367</f>
        <v/>
      </c>
      <c r="H367" s="94">
        <f>Accounts!I367</f>
        <v/>
      </c>
      <c r="I367" s="94">
        <f>Accounts!J367</f>
        <v/>
      </c>
      <c r="J367" s="93">
        <f>Accounts!S367</f>
        <v/>
      </c>
      <c r="K367" s="88" t="n"/>
      <c r="L367" s="95" t="n"/>
      <c r="M367" s="55" t="b">
        <v>0</v>
      </c>
      <c r="N367" s="96" t="b">
        <v>0</v>
      </c>
      <c r="O367" s="55" t="b">
        <v>0</v>
      </c>
      <c r="P367" s="55" t="b">
        <v>0</v>
      </c>
      <c r="Q367" s="55" t="b">
        <v>0</v>
      </c>
      <c r="R367" s="55" t="b">
        <v>0</v>
      </c>
      <c r="S367" s="55" t="b">
        <v>0</v>
      </c>
      <c r="T367" s="55" t="b">
        <v>0</v>
      </c>
      <c r="U367" s="55" t="b">
        <v>0</v>
      </c>
      <c r="V367" s="55" t="b">
        <v>0</v>
      </c>
    </row>
    <row r="368" ht="69" customHeight="1" s="211">
      <c r="A368" s="92">
        <f>Accounts!A368</f>
        <v/>
      </c>
      <c r="B368" s="12" t="b">
        <v>0</v>
      </c>
      <c r="C368" s="93">
        <f>Accounts!N368</f>
        <v/>
      </c>
      <c r="D368" s="94" t="n"/>
      <c r="E368" s="93">
        <f>Accounts!F368</f>
        <v/>
      </c>
      <c r="F368" s="94">
        <f>Accounts!Q368</f>
        <v/>
      </c>
      <c r="G368" s="94">
        <f>Accounts!R368</f>
        <v/>
      </c>
      <c r="H368" s="94">
        <f>Accounts!I368</f>
        <v/>
      </c>
      <c r="I368" s="94">
        <f>Accounts!J368</f>
        <v/>
      </c>
      <c r="J368" s="93">
        <f>Accounts!S368</f>
        <v/>
      </c>
      <c r="K368" s="88" t="n"/>
      <c r="L368" s="95" t="n"/>
      <c r="M368" s="55" t="b">
        <v>0</v>
      </c>
      <c r="N368" s="96" t="b">
        <v>0</v>
      </c>
      <c r="O368" s="55" t="b">
        <v>0</v>
      </c>
      <c r="P368" s="55" t="b">
        <v>0</v>
      </c>
      <c r="Q368" s="55" t="b">
        <v>0</v>
      </c>
      <c r="R368" s="55" t="b">
        <v>0</v>
      </c>
      <c r="S368" s="55" t="b">
        <v>0</v>
      </c>
      <c r="T368" s="55" t="b">
        <v>0</v>
      </c>
      <c r="U368" s="55" t="b">
        <v>0</v>
      </c>
      <c r="V368" s="55" t="b">
        <v>0</v>
      </c>
    </row>
    <row r="369" ht="69" customHeight="1" s="211">
      <c r="A369" s="92">
        <f>Accounts!A369</f>
        <v/>
      </c>
      <c r="B369" s="12" t="b">
        <v>0</v>
      </c>
      <c r="C369" s="93">
        <f>Accounts!N369</f>
        <v/>
      </c>
      <c r="D369" s="94" t="n"/>
      <c r="E369" s="93">
        <f>Accounts!F369</f>
        <v/>
      </c>
      <c r="F369" s="94">
        <f>Accounts!Q369</f>
        <v/>
      </c>
      <c r="G369" s="94">
        <f>Accounts!R369</f>
        <v/>
      </c>
      <c r="H369" s="94">
        <f>Accounts!I369</f>
        <v/>
      </c>
      <c r="I369" s="94">
        <f>Accounts!J369</f>
        <v/>
      </c>
      <c r="J369" s="93">
        <f>Accounts!S369</f>
        <v/>
      </c>
      <c r="K369" s="88" t="n"/>
      <c r="L369" s="95" t="n"/>
      <c r="M369" s="55" t="b">
        <v>0</v>
      </c>
      <c r="N369" s="96" t="b">
        <v>0</v>
      </c>
      <c r="O369" s="55" t="b">
        <v>0</v>
      </c>
      <c r="P369" s="55" t="b">
        <v>0</v>
      </c>
      <c r="Q369" s="55" t="b">
        <v>0</v>
      </c>
      <c r="R369" s="55" t="b">
        <v>0</v>
      </c>
      <c r="S369" s="55" t="b">
        <v>0</v>
      </c>
      <c r="T369" s="55" t="b">
        <v>0</v>
      </c>
      <c r="U369" s="55" t="b">
        <v>0</v>
      </c>
      <c r="V369" s="55" t="b">
        <v>0</v>
      </c>
    </row>
    <row r="370" ht="69" customHeight="1" s="211">
      <c r="A370" s="92">
        <f>Accounts!A370</f>
        <v/>
      </c>
      <c r="B370" s="12" t="b">
        <v>0</v>
      </c>
      <c r="C370" s="93">
        <f>Accounts!N370</f>
        <v/>
      </c>
      <c r="D370" s="94" t="n"/>
      <c r="E370" s="93">
        <f>Accounts!F370</f>
        <v/>
      </c>
      <c r="F370" s="94">
        <f>Accounts!Q370</f>
        <v/>
      </c>
      <c r="G370" s="94">
        <f>Accounts!R370</f>
        <v/>
      </c>
      <c r="H370" s="94">
        <f>Accounts!I370</f>
        <v/>
      </c>
      <c r="I370" s="94">
        <f>Accounts!J370</f>
        <v/>
      </c>
      <c r="J370" s="93">
        <f>Accounts!S370</f>
        <v/>
      </c>
      <c r="K370" s="88" t="n"/>
      <c r="L370" s="95" t="n"/>
      <c r="M370" s="55" t="b">
        <v>0</v>
      </c>
      <c r="N370" s="96" t="b">
        <v>0</v>
      </c>
      <c r="O370" s="55" t="b">
        <v>0</v>
      </c>
      <c r="P370" s="55" t="b">
        <v>0</v>
      </c>
      <c r="Q370" s="55" t="b">
        <v>0</v>
      </c>
      <c r="R370" s="55" t="b">
        <v>0</v>
      </c>
      <c r="S370" s="55" t="b">
        <v>0</v>
      </c>
      <c r="T370" s="55" t="b">
        <v>0</v>
      </c>
      <c r="U370" s="55" t="b">
        <v>0</v>
      </c>
      <c r="V370" s="55" t="b">
        <v>0</v>
      </c>
    </row>
    <row r="371" ht="69" customHeight="1" s="211">
      <c r="A371" s="92">
        <f>Accounts!A371</f>
        <v/>
      </c>
      <c r="B371" s="12" t="b">
        <v>0</v>
      </c>
      <c r="C371" s="93">
        <f>Accounts!N371</f>
        <v/>
      </c>
      <c r="D371" s="94" t="n"/>
      <c r="E371" s="93">
        <f>Accounts!F371</f>
        <v/>
      </c>
      <c r="F371" s="94">
        <f>Accounts!Q371</f>
        <v/>
      </c>
      <c r="G371" s="94">
        <f>Accounts!R371</f>
        <v/>
      </c>
      <c r="H371" s="94">
        <f>Accounts!I371</f>
        <v/>
      </c>
      <c r="I371" s="94">
        <f>Accounts!J371</f>
        <v/>
      </c>
      <c r="J371" s="93">
        <f>Accounts!S371</f>
        <v/>
      </c>
      <c r="K371" s="88" t="n"/>
      <c r="L371" s="95" t="n"/>
      <c r="M371" s="55" t="b">
        <v>0</v>
      </c>
      <c r="N371" s="96" t="b">
        <v>0</v>
      </c>
      <c r="O371" s="55" t="b">
        <v>0</v>
      </c>
      <c r="P371" s="55" t="b">
        <v>0</v>
      </c>
      <c r="Q371" s="55" t="b">
        <v>0</v>
      </c>
      <c r="R371" s="55" t="b">
        <v>0</v>
      </c>
      <c r="S371" s="55" t="b">
        <v>0</v>
      </c>
      <c r="T371" s="55" t="b">
        <v>0</v>
      </c>
      <c r="U371" s="55" t="b">
        <v>0</v>
      </c>
      <c r="V371" s="55" t="b">
        <v>0</v>
      </c>
    </row>
    <row r="372" ht="69" customHeight="1" s="211">
      <c r="A372" s="92">
        <f>Accounts!A372</f>
        <v/>
      </c>
      <c r="B372" s="12" t="b">
        <v>0</v>
      </c>
      <c r="C372" s="93">
        <f>Accounts!N372</f>
        <v/>
      </c>
      <c r="D372" s="94" t="n"/>
      <c r="E372" s="93">
        <f>Accounts!F372</f>
        <v/>
      </c>
      <c r="F372" s="94">
        <f>Accounts!Q372</f>
        <v/>
      </c>
      <c r="G372" s="94">
        <f>Accounts!R372</f>
        <v/>
      </c>
      <c r="H372" s="94">
        <f>Accounts!I372</f>
        <v/>
      </c>
      <c r="I372" s="94">
        <f>Accounts!J372</f>
        <v/>
      </c>
      <c r="J372" s="93">
        <f>Accounts!S372</f>
        <v/>
      </c>
      <c r="K372" s="88" t="n"/>
      <c r="L372" s="95" t="n"/>
      <c r="M372" s="55" t="b">
        <v>0</v>
      </c>
      <c r="N372" s="96" t="b">
        <v>0</v>
      </c>
      <c r="O372" s="55" t="b">
        <v>0</v>
      </c>
      <c r="P372" s="55" t="b">
        <v>0</v>
      </c>
      <c r="Q372" s="55" t="b">
        <v>0</v>
      </c>
      <c r="R372" s="55" t="b">
        <v>0</v>
      </c>
      <c r="S372" s="55" t="b">
        <v>0</v>
      </c>
      <c r="T372" s="55" t="b">
        <v>0</v>
      </c>
      <c r="U372" s="55" t="b">
        <v>0</v>
      </c>
      <c r="V372" s="55" t="b">
        <v>0</v>
      </c>
    </row>
    <row r="373" ht="69" customHeight="1" s="211">
      <c r="A373" s="92">
        <f>Accounts!A373</f>
        <v/>
      </c>
      <c r="B373" s="12" t="b">
        <v>0</v>
      </c>
      <c r="C373" s="93">
        <f>Accounts!N373</f>
        <v/>
      </c>
      <c r="D373" s="94" t="n"/>
      <c r="E373" s="93">
        <f>Accounts!F373</f>
        <v/>
      </c>
      <c r="F373" s="94">
        <f>Accounts!Q373</f>
        <v/>
      </c>
      <c r="G373" s="94">
        <f>Accounts!R373</f>
        <v/>
      </c>
      <c r="H373" s="94">
        <f>Accounts!I373</f>
        <v/>
      </c>
      <c r="I373" s="94">
        <f>Accounts!J373</f>
        <v/>
      </c>
      <c r="J373" s="93">
        <f>Accounts!S373</f>
        <v/>
      </c>
      <c r="K373" s="88" t="n"/>
      <c r="L373" s="95" t="n"/>
      <c r="M373" s="55" t="b">
        <v>0</v>
      </c>
      <c r="N373" s="96" t="b">
        <v>0</v>
      </c>
      <c r="O373" s="55" t="b">
        <v>0</v>
      </c>
      <c r="P373" s="55" t="b">
        <v>0</v>
      </c>
      <c r="Q373" s="55" t="b">
        <v>0</v>
      </c>
      <c r="R373" s="55" t="b">
        <v>0</v>
      </c>
      <c r="S373" s="55" t="b">
        <v>0</v>
      </c>
      <c r="T373" s="55" t="b">
        <v>0</v>
      </c>
      <c r="U373" s="55" t="b">
        <v>0</v>
      </c>
      <c r="V373" s="55" t="b">
        <v>0</v>
      </c>
    </row>
    <row r="374" ht="69" customHeight="1" s="211">
      <c r="A374" s="92">
        <f>Accounts!A374</f>
        <v/>
      </c>
      <c r="B374" s="12" t="b">
        <v>0</v>
      </c>
      <c r="C374" s="93">
        <f>Accounts!N374</f>
        <v/>
      </c>
      <c r="D374" s="94" t="n"/>
      <c r="E374" s="93">
        <f>Accounts!F374</f>
        <v/>
      </c>
      <c r="F374" s="94">
        <f>Accounts!Q374</f>
        <v/>
      </c>
      <c r="G374" s="94">
        <f>Accounts!R374</f>
        <v/>
      </c>
      <c r="H374" s="94">
        <f>Accounts!I374</f>
        <v/>
      </c>
      <c r="I374" s="94">
        <f>Accounts!J374</f>
        <v/>
      </c>
      <c r="J374" s="93">
        <f>Accounts!S374</f>
        <v/>
      </c>
      <c r="K374" s="88" t="n"/>
      <c r="L374" s="95" t="n"/>
      <c r="M374" s="55" t="b">
        <v>0</v>
      </c>
      <c r="N374" s="96" t="b">
        <v>0</v>
      </c>
      <c r="O374" s="55" t="b">
        <v>0</v>
      </c>
      <c r="P374" s="55" t="b">
        <v>0</v>
      </c>
      <c r="Q374" s="55" t="b">
        <v>0</v>
      </c>
      <c r="R374" s="55" t="b">
        <v>0</v>
      </c>
      <c r="S374" s="55" t="b">
        <v>0</v>
      </c>
      <c r="T374" s="55" t="b">
        <v>0</v>
      </c>
      <c r="U374" s="55" t="b">
        <v>0</v>
      </c>
      <c r="V374" s="55" t="b">
        <v>0</v>
      </c>
    </row>
    <row r="375" ht="69" customHeight="1" s="211">
      <c r="A375" s="92">
        <f>Accounts!A375</f>
        <v/>
      </c>
      <c r="B375" s="12" t="b">
        <v>0</v>
      </c>
      <c r="C375" s="93">
        <f>Accounts!N375</f>
        <v/>
      </c>
      <c r="D375" s="94" t="n"/>
      <c r="E375" s="93">
        <f>Accounts!F375</f>
        <v/>
      </c>
      <c r="F375" s="94">
        <f>Accounts!Q375</f>
        <v/>
      </c>
      <c r="G375" s="94">
        <f>Accounts!R375</f>
        <v/>
      </c>
      <c r="H375" s="94">
        <f>Accounts!I375</f>
        <v/>
      </c>
      <c r="I375" s="94">
        <f>Accounts!J375</f>
        <v/>
      </c>
      <c r="J375" s="93">
        <f>Accounts!S375</f>
        <v/>
      </c>
      <c r="K375" s="88" t="n"/>
      <c r="L375" s="95" t="n"/>
      <c r="M375" s="55" t="b">
        <v>0</v>
      </c>
      <c r="N375" s="96" t="b">
        <v>0</v>
      </c>
      <c r="O375" s="55" t="b">
        <v>0</v>
      </c>
      <c r="P375" s="55" t="b">
        <v>0</v>
      </c>
      <c r="Q375" s="55" t="b">
        <v>0</v>
      </c>
      <c r="R375" s="55" t="b">
        <v>0</v>
      </c>
      <c r="S375" s="55" t="b">
        <v>0</v>
      </c>
      <c r="T375" s="55" t="b">
        <v>0</v>
      </c>
      <c r="U375" s="55" t="b">
        <v>0</v>
      </c>
      <c r="V375" s="55" t="b">
        <v>0</v>
      </c>
    </row>
    <row r="376" ht="69" customHeight="1" s="211">
      <c r="A376" s="92">
        <f>Accounts!A376</f>
        <v/>
      </c>
      <c r="B376" s="12" t="b">
        <v>0</v>
      </c>
      <c r="C376" s="93">
        <f>Accounts!N376</f>
        <v/>
      </c>
      <c r="D376" s="94" t="n"/>
      <c r="E376" s="93">
        <f>Accounts!F376</f>
        <v/>
      </c>
      <c r="F376" s="94">
        <f>Accounts!Q376</f>
        <v/>
      </c>
      <c r="G376" s="94">
        <f>Accounts!R376</f>
        <v/>
      </c>
      <c r="H376" s="94">
        <f>Accounts!I376</f>
        <v/>
      </c>
      <c r="I376" s="94">
        <f>Accounts!J376</f>
        <v/>
      </c>
      <c r="J376" s="93">
        <f>Accounts!S376</f>
        <v/>
      </c>
      <c r="K376" s="88" t="n"/>
      <c r="L376" s="95" t="n"/>
      <c r="M376" s="55" t="b">
        <v>0</v>
      </c>
      <c r="N376" s="96" t="b">
        <v>0</v>
      </c>
      <c r="O376" s="55" t="b">
        <v>0</v>
      </c>
      <c r="P376" s="55" t="b">
        <v>0</v>
      </c>
      <c r="Q376" s="55" t="b">
        <v>0</v>
      </c>
      <c r="R376" s="55" t="b">
        <v>0</v>
      </c>
      <c r="S376" s="55" t="b">
        <v>0</v>
      </c>
      <c r="T376" s="55" t="b">
        <v>0</v>
      </c>
      <c r="U376" s="55" t="b">
        <v>0</v>
      </c>
      <c r="V376" s="55" t="b">
        <v>0</v>
      </c>
    </row>
    <row r="377" ht="69" customHeight="1" s="211">
      <c r="A377" s="92">
        <f>Accounts!A377</f>
        <v/>
      </c>
      <c r="B377" s="12" t="b">
        <v>0</v>
      </c>
      <c r="C377" s="93">
        <f>Accounts!N377</f>
        <v/>
      </c>
      <c r="D377" s="94" t="n"/>
      <c r="E377" s="93">
        <f>Accounts!F377</f>
        <v/>
      </c>
      <c r="F377" s="94">
        <f>Accounts!Q377</f>
        <v/>
      </c>
      <c r="G377" s="94">
        <f>Accounts!R377</f>
        <v/>
      </c>
      <c r="H377" s="94">
        <f>Accounts!I377</f>
        <v/>
      </c>
      <c r="I377" s="94">
        <f>Accounts!J377</f>
        <v/>
      </c>
      <c r="J377" s="93">
        <f>Accounts!S377</f>
        <v/>
      </c>
      <c r="K377" s="88" t="n"/>
      <c r="L377" s="95" t="n"/>
      <c r="M377" s="55" t="b">
        <v>0</v>
      </c>
      <c r="N377" s="96" t="b">
        <v>0</v>
      </c>
      <c r="O377" s="55" t="b">
        <v>0</v>
      </c>
      <c r="P377" s="55" t="b">
        <v>0</v>
      </c>
      <c r="Q377" s="55" t="b">
        <v>0</v>
      </c>
      <c r="R377" s="55" t="b">
        <v>0</v>
      </c>
      <c r="S377" s="55" t="b">
        <v>0</v>
      </c>
      <c r="T377" s="55" t="b">
        <v>0</v>
      </c>
      <c r="U377" s="55" t="b">
        <v>0</v>
      </c>
      <c r="V377" s="55" t="b">
        <v>0</v>
      </c>
    </row>
    <row r="378" ht="69" customHeight="1" s="211">
      <c r="A378" s="92">
        <f>Accounts!A378</f>
        <v/>
      </c>
      <c r="B378" s="12" t="b">
        <v>0</v>
      </c>
      <c r="C378" s="93">
        <f>Accounts!N378</f>
        <v/>
      </c>
      <c r="D378" s="94" t="n"/>
      <c r="E378" s="93">
        <f>Accounts!F378</f>
        <v/>
      </c>
      <c r="F378" s="94">
        <f>Accounts!Q378</f>
        <v/>
      </c>
      <c r="G378" s="94">
        <f>Accounts!R378</f>
        <v/>
      </c>
      <c r="H378" s="94">
        <f>Accounts!I378</f>
        <v/>
      </c>
      <c r="I378" s="94">
        <f>Accounts!J378</f>
        <v/>
      </c>
      <c r="J378" s="93">
        <f>Accounts!S378</f>
        <v/>
      </c>
      <c r="K378" s="88" t="n"/>
      <c r="L378" s="95" t="n"/>
      <c r="M378" s="55" t="b">
        <v>0</v>
      </c>
      <c r="N378" s="96" t="b">
        <v>0</v>
      </c>
      <c r="O378" s="55" t="b">
        <v>0</v>
      </c>
      <c r="P378" s="55" t="b">
        <v>0</v>
      </c>
      <c r="Q378" s="55" t="b">
        <v>0</v>
      </c>
      <c r="R378" s="55" t="b">
        <v>0</v>
      </c>
      <c r="S378" s="55" t="b">
        <v>0</v>
      </c>
      <c r="T378" s="55" t="b">
        <v>0</v>
      </c>
      <c r="U378" s="55" t="b">
        <v>0</v>
      </c>
      <c r="V378" s="55" t="b">
        <v>0</v>
      </c>
    </row>
    <row r="379" ht="69" customHeight="1" s="211">
      <c r="A379" s="92">
        <f>Accounts!A379</f>
        <v/>
      </c>
      <c r="B379" s="12" t="b">
        <v>0</v>
      </c>
      <c r="C379" s="93">
        <f>Accounts!N379</f>
        <v/>
      </c>
      <c r="D379" s="94" t="n"/>
      <c r="E379" s="93">
        <f>Accounts!F379</f>
        <v/>
      </c>
      <c r="F379" s="94">
        <f>Accounts!Q379</f>
        <v/>
      </c>
      <c r="G379" s="94">
        <f>Accounts!R379</f>
        <v/>
      </c>
      <c r="H379" s="94">
        <f>Accounts!I379</f>
        <v/>
      </c>
      <c r="I379" s="94">
        <f>Accounts!J379</f>
        <v/>
      </c>
      <c r="J379" s="93">
        <f>Accounts!S379</f>
        <v/>
      </c>
      <c r="K379" s="88" t="n"/>
      <c r="L379" s="95" t="n"/>
      <c r="M379" s="55" t="b">
        <v>0</v>
      </c>
      <c r="N379" s="96" t="b">
        <v>0</v>
      </c>
      <c r="O379" s="55" t="b">
        <v>0</v>
      </c>
      <c r="P379" s="55" t="b">
        <v>0</v>
      </c>
      <c r="Q379" s="55" t="b">
        <v>0</v>
      </c>
      <c r="R379" s="55" t="b">
        <v>0</v>
      </c>
      <c r="S379" s="55" t="b">
        <v>0</v>
      </c>
      <c r="T379" s="55" t="b">
        <v>0</v>
      </c>
      <c r="U379" s="55" t="b">
        <v>0</v>
      </c>
      <c r="V379" s="55" t="b">
        <v>0</v>
      </c>
    </row>
    <row r="380" ht="69" customHeight="1" s="211">
      <c r="A380" s="92">
        <f>Accounts!A380</f>
        <v/>
      </c>
      <c r="B380" s="12" t="b">
        <v>0</v>
      </c>
      <c r="C380" s="93">
        <f>Accounts!N380</f>
        <v/>
      </c>
      <c r="D380" s="94" t="n"/>
      <c r="E380" s="93">
        <f>Accounts!F380</f>
        <v/>
      </c>
      <c r="F380" s="94">
        <f>Accounts!Q380</f>
        <v/>
      </c>
      <c r="G380" s="94">
        <f>Accounts!R380</f>
        <v/>
      </c>
      <c r="H380" s="94">
        <f>Accounts!I380</f>
        <v/>
      </c>
      <c r="I380" s="94">
        <f>Accounts!J380</f>
        <v/>
      </c>
      <c r="J380" s="93">
        <f>Accounts!S380</f>
        <v/>
      </c>
      <c r="K380" s="88" t="n"/>
      <c r="L380" s="95" t="n"/>
      <c r="M380" s="55" t="b">
        <v>0</v>
      </c>
      <c r="N380" s="96" t="b">
        <v>0</v>
      </c>
      <c r="O380" s="55" t="b">
        <v>0</v>
      </c>
      <c r="P380" s="55" t="b">
        <v>0</v>
      </c>
      <c r="Q380" s="55" t="b">
        <v>0</v>
      </c>
      <c r="R380" s="55" t="b">
        <v>0</v>
      </c>
      <c r="S380" s="55" t="b">
        <v>0</v>
      </c>
      <c r="T380" s="55" t="b">
        <v>0</v>
      </c>
      <c r="U380" s="55" t="b">
        <v>0</v>
      </c>
      <c r="V380" s="55" t="b">
        <v>0</v>
      </c>
    </row>
    <row r="381" ht="69" customHeight="1" s="211">
      <c r="A381" s="92">
        <f>Accounts!A381</f>
        <v/>
      </c>
      <c r="B381" s="12" t="b">
        <v>0</v>
      </c>
      <c r="C381" s="93">
        <f>Accounts!N381</f>
        <v/>
      </c>
      <c r="D381" s="94" t="n"/>
      <c r="E381" s="93">
        <f>Accounts!F381</f>
        <v/>
      </c>
      <c r="F381" s="94">
        <f>Accounts!Q381</f>
        <v/>
      </c>
      <c r="G381" s="94">
        <f>Accounts!R381</f>
        <v/>
      </c>
      <c r="H381" s="94">
        <f>Accounts!I381</f>
        <v/>
      </c>
      <c r="I381" s="94">
        <f>Accounts!J381</f>
        <v/>
      </c>
      <c r="J381" s="93">
        <f>Accounts!S381</f>
        <v/>
      </c>
      <c r="K381" s="88" t="n"/>
      <c r="L381" s="95" t="n"/>
      <c r="M381" s="55" t="b">
        <v>0</v>
      </c>
      <c r="N381" s="96" t="b">
        <v>0</v>
      </c>
      <c r="O381" s="55" t="b">
        <v>0</v>
      </c>
      <c r="P381" s="55" t="b">
        <v>0</v>
      </c>
      <c r="Q381" s="55" t="b">
        <v>0</v>
      </c>
      <c r="R381" s="55" t="b">
        <v>0</v>
      </c>
      <c r="S381" s="55" t="b">
        <v>0</v>
      </c>
      <c r="T381" s="55" t="b">
        <v>0</v>
      </c>
      <c r="U381" s="55" t="b">
        <v>0</v>
      </c>
      <c r="V381" s="55" t="b">
        <v>0</v>
      </c>
    </row>
    <row r="382" ht="69" customHeight="1" s="211">
      <c r="A382" s="92">
        <f>Accounts!A382</f>
        <v/>
      </c>
      <c r="B382" s="12" t="b">
        <v>0</v>
      </c>
      <c r="C382" s="93">
        <f>Accounts!N382</f>
        <v/>
      </c>
      <c r="D382" s="94" t="n"/>
      <c r="E382" s="93">
        <f>Accounts!F382</f>
        <v/>
      </c>
      <c r="F382" s="94">
        <f>Accounts!Q382</f>
        <v/>
      </c>
      <c r="G382" s="94">
        <f>Accounts!R382</f>
        <v/>
      </c>
      <c r="H382" s="94">
        <f>Accounts!I382</f>
        <v/>
      </c>
      <c r="I382" s="94">
        <f>Accounts!J382</f>
        <v/>
      </c>
      <c r="J382" s="93">
        <f>Accounts!S382</f>
        <v/>
      </c>
      <c r="K382" s="88" t="n"/>
      <c r="L382" s="95" t="n"/>
      <c r="M382" s="55" t="b">
        <v>0</v>
      </c>
      <c r="N382" s="96" t="b">
        <v>0</v>
      </c>
      <c r="O382" s="55" t="b">
        <v>0</v>
      </c>
      <c r="P382" s="55" t="b">
        <v>0</v>
      </c>
      <c r="Q382" s="55" t="b">
        <v>0</v>
      </c>
      <c r="R382" s="55" t="b">
        <v>0</v>
      </c>
      <c r="S382" s="55" t="b">
        <v>0</v>
      </c>
      <c r="T382" s="55" t="b">
        <v>0</v>
      </c>
      <c r="U382" s="55" t="b">
        <v>0</v>
      </c>
      <c r="V382" s="55" t="b">
        <v>0</v>
      </c>
    </row>
    <row r="383" ht="69" customHeight="1" s="211">
      <c r="A383" s="92">
        <f>Accounts!A383</f>
        <v/>
      </c>
      <c r="B383" s="12" t="b">
        <v>0</v>
      </c>
      <c r="C383" s="93">
        <f>Accounts!N383</f>
        <v/>
      </c>
      <c r="D383" s="94" t="n"/>
      <c r="E383" s="93">
        <f>Accounts!F383</f>
        <v/>
      </c>
      <c r="F383" s="94">
        <f>Accounts!Q383</f>
        <v/>
      </c>
      <c r="G383" s="94">
        <f>Accounts!R383</f>
        <v/>
      </c>
      <c r="H383" s="94">
        <f>Accounts!I383</f>
        <v/>
      </c>
      <c r="I383" s="94">
        <f>Accounts!J383</f>
        <v/>
      </c>
      <c r="J383" s="93">
        <f>Accounts!S383</f>
        <v/>
      </c>
      <c r="K383" s="88" t="n"/>
      <c r="L383" s="95" t="n"/>
      <c r="M383" s="55" t="b">
        <v>0</v>
      </c>
      <c r="N383" s="96" t="b">
        <v>0</v>
      </c>
      <c r="O383" s="55" t="b">
        <v>0</v>
      </c>
      <c r="P383" s="55" t="b">
        <v>0</v>
      </c>
      <c r="Q383" s="55" t="b">
        <v>0</v>
      </c>
      <c r="R383" s="55" t="b">
        <v>0</v>
      </c>
      <c r="S383" s="55" t="b">
        <v>0</v>
      </c>
      <c r="T383" s="55" t="b">
        <v>0</v>
      </c>
      <c r="U383" s="55" t="b">
        <v>0</v>
      </c>
      <c r="V383" s="55" t="b">
        <v>0</v>
      </c>
    </row>
    <row r="384" ht="69" customHeight="1" s="211">
      <c r="A384" s="92">
        <f>Accounts!A384</f>
        <v/>
      </c>
      <c r="B384" s="12" t="b">
        <v>0</v>
      </c>
      <c r="C384" s="93">
        <f>Accounts!N384</f>
        <v/>
      </c>
      <c r="D384" s="94" t="n"/>
      <c r="E384" s="93">
        <f>Accounts!F384</f>
        <v/>
      </c>
      <c r="F384" s="94">
        <f>Accounts!Q384</f>
        <v/>
      </c>
      <c r="G384" s="94">
        <f>Accounts!R384</f>
        <v/>
      </c>
      <c r="H384" s="94">
        <f>Accounts!I384</f>
        <v/>
      </c>
      <c r="I384" s="94">
        <f>Accounts!J384</f>
        <v/>
      </c>
      <c r="J384" s="93">
        <f>Accounts!S384</f>
        <v/>
      </c>
      <c r="K384" s="88" t="n"/>
      <c r="L384" s="95" t="n"/>
      <c r="M384" s="55" t="b">
        <v>0</v>
      </c>
      <c r="N384" s="96" t="b">
        <v>0</v>
      </c>
      <c r="O384" s="55" t="b">
        <v>0</v>
      </c>
      <c r="P384" s="55" t="b">
        <v>0</v>
      </c>
      <c r="Q384" s="55" t="b">
        <v>0</v>
      </c>
      <c r="R384" s="55" t="b">
        <v>0</v>
      </c>
      <c r="S384" s="55" t="b">
        <v>0</v>
      </c>
      <c r="T384" s="55" t="b">
        <v>0</v>
      </c>
      <c r="U384" s="55" t="b">
        <v>0</v>
      </c>
      <c r="V384" s="55" t="b">
        <v>0</v>
      </c>
    </row>
    <row r="385" ht="69" customHeight="1" s="211">
      <c r="A385" s="92">
        <f>Accounts!A385</f>
        <v/>
      </c>
      <c r="B385" s="12" t="b">
        <v>0</v>
      </c>
      <c r="C385" s="93">
        <f>Accounts!N385</f>
        <v/>
      </c>
      <c r="D385" s="94" t="n"/>
      <c r="E385" s="93">
        <f>Accounts!F385</f>
        <v/>
      </c>
      <c r="F385" s="94">
        <f>Accounts!Q385</f>
        <v/>
      </c>
      <c r="G385" s="94">
        <f>Accounts!R385</f>
        <v/>
      </c>
      <c r="H385" s="94">
        <f>Accounts!I385</f>
        <v/>
      </c>
      <c r="I385" s="94">
        <f>Accounts!J385</f>
        <v/>
      </c>
      <c r="J385" s="93">
        <f>Accounts!S385</f>
        <v/>
      </c>
      <c r="K385" s="88" t="n"/>
      <c r="L385" s="95" t="n"/>
      <c r="M385" s="55" t="b">
        <v>0</v>
      </c>
      <c r="N385" s="96" t="b">
        <v>0</v>
      </c>
      <c r="O385" s="55" t="b">
        <v>0</v>
      </c>
      <c r="P385" s="55" t="b">
        <v>0</v>
      </c>
      <c r="Q385" s="55" t="b">
        <v>0</v>
      </c>
      <c r="R385" s="55" t="b">
        <v>0</v>
      </c>
      <c r="S385" s="55" t="b">
        <v>0</v>
      </c>
      <c r="T385" s="55" t="b">
        <v>0</v>
      </c>
      <c r="U385" s="55" t="b">
        <v>0</v>
      </c>
      <c r="V385" s="55" t="b">
        <v>0</v>
      </c>
    </row>
    <row r="386" ht="69" customHeight="1" s="211">
      <c r="A386" s="92">
        <f>Accounts!A386</f>
        <v/>
      </c>
      <c r="B386" s="12" t="b">
        <v>0</v>
      </c>
      <c r="C386" s="93">
        <f>Accounts!N386</f>
        <v/>
      </c>
      <c r="D386" s="94" t="n"/>
      <c r="E386" s="93">
        <f>Accounts!F386</f>
        <v/>
      </c>
      <c r="F386" s="94">
        <f>Accounts!Q386</f>
        <v/>
      </c>
      <c r="G386" s="94">
        <f>Accounts!R386</f>
        <v/>
      </c>
      <c r="H386" s="94">
        <f>Accounts!I386</f>
        <v/>
      </c>
      <c r="I386" s="94">
        <f>Accounts!J386</f>
        <v/>
      </c>
      <c r="J386" s="93">
        <f>Accounts!S386</f>
        <v/>
      </c>
      <c r="K386" s="88" t="n"/>
      <c r="L386" s="95" t="n"/>
      <c r="M386" s="55" t="b">
        <v>0</v>
      </c>
      <c r="N386" s="96" t="b">
        <v>0</v>
      </c>
      <c r="O386" s="55" t="b">
        <v>0</v>
      </c>
      <c r="P386" s="55" t="b">
        <v>0</v>
      </c>
      <c r="Q386" s="55" t="b">
        <v>0</v>
      </c>
      <c r="R386" s="55" t="b">
        <v>0</v>
      </c>
      <c r="S386" s="55" t="b">
        <v>0</v>
      </c>
      <c r="T386" s="55" t="b">
        <v>0</v>
      </c>
      <c r="U386" s="55" t="b">
        <v>0</v>
      </c>
      <c r="V386" s="55" t="b">
        <v>0</v>
      </c>
    </row>
    <row r="387" ht="69" customHeight="1" s="211">
      <c r="A387" s="92">
        <f>Accounts!A387</f>
        <v/>
      </c>
      <c r="B387" s="12" t="b">
        <v>0</v>
      </c>
      <c r="C387" s="93">
        <f>Accounts!N387</f>
        <v/>
      </c>
      <c r="D387" s="94" t="n"/>
      <c r="E387" s="93">
        <f>Accounts!F387</f>
        <v/>
      </c>
      <c r="F387" s="94">
        <f>Accounts!Q387</f>
        <v/>
      </c>
      <c r="G387" s="94">
        <f>Accounts!R387</f>
        <v/>
      </c>
      <c r="H387" s="94">
        <f>Accounts!I387</f>
        <v/>
      </c>
      <c r="I387" s="94">
        <f>Accounts!J387</f>
        <v/>
      </c>
      <c r="J387" s="93">
        <f>Accounts!S387</f>
        <v/>
      </c>
      <c r="K387" s="88" t="n"/>
      <c r="L387" s="95" t="n"/>
      <c r="M387" s="55" t="b">
        <v>0</v>
      </c>
      <c r="N387" s="96" t="b">
        <v>0</v>
      </c>
      <c r="O387" s="55" t="b">
        <v>0</v>
      </c>
      <c r="P387" s="55" t="b">
        <v>0</v>
      </c>
      <c r="Q387" s="55" t="b">
        <v>0</v>
      </c>
      <c r="R387" s="55" t="b">
        <v>0</v>
      </c>
      <c r="S387" s="55" t="b">
        <v>0</v>
      </c>
      <c r="T387" s="55" t="b">
        <v>0</v>
      </c>
      <c r="U387" s="55" t="b">
        <v>0</v>
      </c>
      <c r="V387" s="55" t="b">
        <v>0</v>
      </c>
    </row>
    <row r="388" ht="69" customHeight="1" s="211">
      <c r="A388" s="92">
        <f>Accounts!A388</f>
        <v/>
      </c>
      <c r="B388" s="12" t="b">
        <v>0</v>
      </c>
      <c r="C388" s="93">
        <f>Accounts!N388</f>
        <v/>
      </c>
      <c r="D388" s="94" t="n"/>
      <c r="E388" s="93">
        <f>Accounts!F388</f>
        <v/>
      </c>
      <c r="F388" s="94">
        <f>Accounts!Q388</f>
        <v/>
      </c>
      <c r="G388" s="94">
        <f>Accounts!R388</f>
        <v/>
      </c>
      <c r="H388" s="94">
        <f>Accounts!I388</f>
        <v/>
      </c>
      <c r="I388" s="94">
        <f>Accounts!J388</f>
        <v/>
      </c>
      <c r="J388" s="93">
        <f>Accounts!S388</f>
        <v/>
      </c>
      <c r="K388" s="88" t="n"/>
      <c r="L388" s="95" t="n"/>
      <c r="M388" s="55" t="b">
        <v>0</v>
      </c>
      <c r="N388" s="96" t="b">
        <v>0</v>
      </c>
      <c r="O388" s="55" t="b">
        <v>0</v>
      </c>
      <c r="P388" s="55" t="b">
        <v>0</v>
      </c>
      <c r="Q388" s="55" t="b">
        <v>0</v>
      </c>
      <c r="R388" s="55" t="b">
        <v>0</v>
      </c>
      <c r="S388" s="55" t="b">
        <v>0</v>
      </c>
      <c r="T388" s="55" t="b">
        <v>0</v>
      </c>
      <c r="U388" s="55" t="b">
        <v>0</v>
      </c>
      <c r="V388" s="55" t="b">
        <v>0</v>
      </c>
    </row>
    <row r="389" ht="69" customHeight="1" s="211">
      <c r="A389" s="92">
        <f>Accounts!A389</f>
        <v/>
      </c>
      <c r="B389" s="12" t="b">
        <v>0</v>
      </c>
      <c r="C389" s="93">
        <f>Accounts!N389</f>
        <v/>
      </c>
      <c r="D389" s="94" t="n"/>
      <c r="E389" s="93">
        <f>Accounts!F389</f>
        <v/>
      </c>
      <c r="F389" s="94">
        <f>Accounts!Q389</f>
        <v/>
      </c>
      <c r="G389" s="94">
        <f>Accounts!R389</f>
        <v/>
      </c>
      <c r="H389" s="94">
        <f>Accounts!I389</f>
        <v/>
      </c>
      <c r="I389" s="94">
        <f>Accounts!J389</f>
        <v/>
      </c>
      <c r="J389" s="93">
        <f>Accounts!S389</f>
        <v/>
      </c>
      <c r="K389" s="88" t="n"/>
      <c r="L389" s="95" t="n"/>
      <c r="M389" s="55" t="b">
        <v>0</v>
      </c>
      <c r="N389" s="96" t="b">
        <v>0</v>
      </c>
      <c r="O389" s="55" t="b">
        <v>0</v>
      </c>
      <c r="P389" s="55" t="b">
        <v>0</v>
      </c>
      <c r="Q389" s="55" t="b">
        <v>0</v>
      </c>
      <c r="R389" s="55" t="b">
        <v>0</v>
      </c>
      <c r="S389" s="55" t="b">
        <v>0</v>
      </c>
      <c r="T389" s="55" t="b">
        <v>0</v>
      </c>
      <c r="U389" s="55" t="b">
        <v>0</v>
      </c>
      <c r="V389" s="55" t="b">
        <v>0</v>
      </c>
    </row>
    <row r="390" ht="69" customHeight="1" s="211">
      <c r="A390" s="92">
        <f>Accounts!A390</f>
        <v/>
      </c>
      <c r="B390" s="12" t="b">
        <v>0</v>
      </c>
      <c r="C390" s="93">
        <f>Accounts!N390</f>
        <v/>
      </c>
      <c r="D390" s="94" t="n"/>
      <c r="E390" s="93">
        <f>Accounts!F390</f>
        <v/>
      </c>
      <c r="F390" s="94">
        <f>Accounts!Q390</f>
        <v/>
      </c>
      <c r="G390" s="94">
        <f>Accounts!R390</f>
        <v/>
      </c>
      <c r="H390" s="94">
        <f>Accounts!I390</f>
        <v/>
      </c>
      <c r="I390" s="94">
        <f>Accounts!J390</f>
        <v/>
      </c>
      <c r="J390" s="93">
        <f>Accounts!S390</f>
        <v/>
      </c>
      <c r="K390" s="88" t="n"/>
      <c r="L390" s="95" t="n"/>
      <c r="M390" s="55" t="b">
        <v>0</v>
      </c>
      <c r="N390" s="96" t="b">
        <v>0</v>
      </c>
      <c r="O390" s="55" t="b">
        <v>0</v>
      </c>
      <c r="P390" s="55" t="b">
        <v>0</v>
      </c>
      <c r="Q390" s="55" t="b">
        <v>0</v>
      </c>
      <c r="R390" s="55" t="b">
        <v>0</v>
      </c>
      <c r="S390" s="55" t="b">
        <v>0</v>
      </c>
      <c r="T390" s="55" t="b">
        <v>0</v>
      </c>
      <c r="U390" s="55" t="b">
        <v>0</v>
      </c>
      <c r="V390" s="55" t="b">
        <v>0</v>
      </c>
    </row>
    <row r="391" ht="69" customHeight="1" s="211">
      <c r="A391" s="92">
        <f>Accounts!A391</f>
        <v/>
      </c>
      <c r="B391" s="12" t="b">
        <v>0</v>
      </c>
      <c r="C391" s="93">
        <f>Accounts!N391</f>
        <v/>
      </c>
      <c r="D391" s="94" t="n"/>
      <c r="E391" s="93">
        <f>Accounts!F391</f>
        <v/>
      </c>
      <c r="F391" s="94">
        <f>Accounts!Q391</f>
        <v/>
      </c>
      <c r="G391" s="94">
        <f>Accounts!R391</f>
        <v/>
      </c>
      <c r="H391" s="94">
        <f>Accounts!I391</f>
        <v/>
      </c>
      <c r="I391" s="94">
        <f>Accounts!J391</f>
        <v/>
      </c>
      <c r="J391" s="93">
        <f>Accounts!S391</f>
        <v/>
      </c>
      <c r="K391" s="88" t="n"/>
      <c r="L391" s="95" t="n"/>
      <c r="M391" s="55" t="b">
        <v>0</v>
      </c>
      <c r="N391" s="96" t="b">
        <v>0</v>
      </c>
      <c r="O391" s="55" t="b">
        <v>0</v>
      </c>
      <c r="P391" s="55" t="b">
        <v>0</v>
      </c>
      <c r="Q391" s="55" t="b">
        <v>0</v>
      </c>
      <c r="R391" s="55" t="b">
        <v>0</v>
      </c>
      <c r="S391" s="55" t="b">
        <v>0</v>
      </c>
      <c r="T391" s="55" t="b">
        <v>0</v>
      </c>
      <c r="U391" s="55" t="b">
        <v>0</v>
      </c>
      <c r="V391" s="55" t="b">
        <v>0</v>
      </c>
    </row>
    <row r="392" ht="69" customHeight="1" s="211">
      <c r="A392" s="92">
        <f>Accounts!A392</f>
        <v/>
      </c>
      <c r="B392" s="12" t="b">
        <v>0</v>
      </c>
      <c r="C392" s="93">
        <f>Accounts!N392</f>
        <v/>
      </c>
      <c r="D392" s="94" t="n"/>
      <c r="E392" s="93">
        <f>Accounts!F392</f>
        <v/>
      </c>
      <c r="F392" s="94">
        <f>Accounts!Q392</f>
        <v/>
      </c>
      <c r="G392" s="94">
        <f>Accounts!R392</f>
        <v/>
      </c>
      <c r="H392" s="94">
        <f>Accounts!I392</f>
        <v/>
      </c>
      <c r="I392" s="94">
        <f>Accounts!J392</f>
        <v/>
      </c>
      <c r="J392" s="93">
        <f>Accounts!S392</f>
        <v/>
      </c>
      <c r="K392" s="88" t="n"/>
      <c r="L392" s="95" t="n"/>
      <c r="M392" s="55" t="b">
        <v>0</v>
      </c>
      <c r="N392" s="96" t="b">
        <v>0</v>
      </c>
      <c r="O392" s="55" t="b">
        <v>0</v>
      </c>
      <c r="P392" s="55" t="b">
        <v>0</v>
      </c>
      <c r="Q392" s="55" t="b">
        <v>0</v>
      </c>
      <c r="R392" s="55" t="b">
        <v>0</v>
      </c>
      <c r="S392" s="55" t="b">
        <v>0</v>
      </c>
      <c r="T392" s="55" t="b">
        <v>0</v>
      </c>
      <c r="U392" s="55" t="b">
        <v>0</v>
      </c>
      <c r="V392" s="55" t="b">
        <v>0</v>
      </c>
    </row>
    <row r="393" ht="69" customHeight="1" s="211">
      <c r="A393" s="92">
        <f>Accounts!A393</f>
        <v/>
      </c>
      <c r="B393" s="12" t="b">
        <v>0</v>
      </c>
      <c r="C393" s="93">
        <f>Accounts!N393</f>
        <v/>
      </c>
      <c r="D393" s="94" t="n"/>
      <c r="E393" s="93">
        <f>Accounts!F393</f>
        <v/>
      </c>
      <c r="F393" s="94">
        <f>Accounts!Q393</f>
        <v/>
      </c>
      <c r="G393" s="94">
        <f>Accounts!R393</f>
        <v/>
      </c>
      <c r="H393" s="94">
        <f>Accounts!I393</f>
        <v/>
      </c>
      <c r="I393" s="94">
        <f>Accounts!J393</f>
        <v/>
      </c>
      <c r="J393" s="93">
        <f>Accounts!S393</f>
        <v/>
      </c>
      <c r="K393" s="88" t="n"/>
      <c r="L393" s="95" t="n"/>
      <c r="M393" s="55" t="b">
        <v>0</v>
      </c>
      <c r="N393" s="96" t="b">
        <v>0</v>
      </c>
      <c r="O393" s="55" t="b">
        <v>0</v>
      </c>
      <c r="P393" s="55" t="b">
        <v>0</v>
      </c>
      <c r="Q393" s="55" t="b">
        <v>0</v>
      </c>
      <c r="R393" s="55" t="b">
        <v>0</v>
      </c>
      <c r="S393" s="55" t="b">
        <v>0</v>
      </c>
      <c r="T393" s="55" t="b">
        <v>0</v>
      </c>
      <c r="U393" s="55" t="b">
        <v>0</v>
      </c>
      <c r="V393" s="55" t="b">
        <v>0</v>
      </c>
    </row>
    <row r="394" ht="69" customHeight="1" s="211">
      <c r="A394" s="92">
        <f>Accounts!A394</f>
        <v/>
      </c>
      <c r="B394" s="12" t="b">
        <v>0</v>
      </c>
      <c r="C394" s="93">
        <f>Accounts!N394</f>
        <v/>
      </c>
      <c r="D394" s="94" t="n"/>
      <c r="E394" s="93">
        <f>Accounts!F394</f>
        <v/>
      </c>
      <c r="F394" s="94">
        <f>Accounts!Q394</f>
        <v/>
      </c>
      <c r="G394" s="94">
        <f>Accounts!R394</f>
        <v/>
      </c>
      <c r="H394" s="94">
        <f>Accounts!I394</f>
        <v/>
      </c>
      <c r="I394" s="94">
        <f>Accounts!J394</f>
        <v/>
      </c>
      <c r="J394" s="93">
        <f>Accounts!S394</f>
        <v/>
      </c>
      <c r="K394" s="88" t="n"/>
      <c r="L394" s="95" t="n"/>
      <c r="M394" s="55" t="b">
        <v>0</v>
      </c>
      <c r="N394" s="96" t="b">
        <v>0</v>
      </c>
      <c r="O394" s="55" t="b">
        <v>0</v>
      </c>
      <c r="P394" s="55" t="b">
        <v>0</v>
      </c>
      <c r="Q394" s="55" t="b">
        <v>0</v>
      </c>
      <c r="R394" s="55" t="b">
        <v>0</v>
      </c>
      <c r="S394" s="55" t="b">
        <v>0</v>
      </c>
      <c r="T394" s="55" t="b">
        <v>0</v>
      </c>
      <c r="U394" s="55" t="b">
        <v>0</v>
      </c>
      <c r="V394" s="55" t="b">
        <v>0</v>
      </c>
    </row>
    <row r="395" ht="69" customHeight="1" s="211">
      <c r="A395" s="92">
        <f>Accounts!A395</f>
        <v/>
      </c>
      <c r="B395" s="12" t="b">
        <v>0</v>
      </c>
      <c r="C395" s="93">
        <f>Accounts!N395</f>
        <v/>
      </c>
      <c r="D395" s="94" t="n"/>
      <c r="E395" s="93">
        <f>Accounts!F395</f>
        <v/>
      </c>
      <c r="F395" s="94">
        <f>Accounts!Q395</f>
        <v/>
      </c>
      <c r="G395" s="94">
        <f>Accounts!R395</f>
        <v/>
      </c>
      <c r="H395" s="94">
        <f>Accounts!I395</f>
        <v/>
      </c>
      <c r="I395" s="94">
        <f>Accounts!J395</f>
        <v/>
      </c>
      <c r="J395" s="93">
        <f>Accounts!S395</f>
        <v/>
      </c>
      <c r="K395" s="88" t="n"/>
      <c r="L395" s="95" t="n"/>
      <c r="M395" s="55" t="b">
        <v>0</v>
      </c>
      <c r="N395" s="96" t="b">
        <v>0</v>
      </c>
      <c r="O395" s="55" t="b">
        <v>0</v>
      </c>
      <c r="P395" s="55" t="b">
        <v>0</v>
      </c>
      <c r="Q395" s="55" t="b">
        <v>0</v>
      </c>
      <c r="R395" s="55" t="b">
        <v>0</v>
      </c>
      <c r="S395" s="55" t="b">
        <v>0</v>
      </c>
      <c r="T395" s="55" t="b">
        <v>0</v>
      </c>
      <c r="U395" s="55" t="b">
        <v>0</v>
      </c>
      <c r="V395" s="55" t="b">
        <v>0</v>
      </c>
    </row>
    <row r="396" ht="69" customHeight="1" s="211">
      <c r="A396" s="92">
        <f>Accounts!A396</f>
        <v/>
      </c>
      <c r="B396" s="12" t="b">
        <v>0</v>
      </c>
      <c r="C396" s="93">
        <f>Accounts!N396</f>
        <v/>
      </c>
      <c r="D396" s="94" t="n"/>
      <c r="E396" s="93">
        <f>Accounts!F396</f>
        <v/>
      </c>
      <c r="F396" s="94">
        <f>Accounts!Q396</f>
        <v/>
      </c>
      <c r="G396" s="94">
        <f>Accounts!R396</f>
        <v/>
      </c>
      <c r="H396" s="94">
        <f>Accounts!I396</f>
        <v/>
      </c>
      <c r="I396" s="94">
        <f>Accounts!J396</f>
        <v/>
      </c>
      <c r="J396" s="93">
        <f>Accounts!S396</f>
        <v/>
      </c>
      <c r="K396" s="88" t="n"/>
      <c r="L396" s="95" t="n"/>
      <c r="M396" s="55" t="b">
        <v>0</v>
      </c>
      <c r="N396" s="96" t="b">
        <v>0</v>
      </c>
      <c r="O396" s="55" t="b">
        <v>0</v>
      </c>
      <c r="P396" s="55" t="b">
        <v>0</v>
      </c>
      <c r="Q396" s="55" t="b">
        <v>0</v>
      </c>
      <c r="R396" s="55" t="b">
        <v>0</v>
      </c>
      <c r="S396" s="55" t="b">
        <v>0</v>
      </c>
      <c r="T396" s="55" t="b">
        <v>0</v>
      </c>
      <c r="U396" s="55" t="b">
        <v>0</v>
      </c>
      <c r="V396" s="55" t="b">
        <v>0</v>
      </c>
    </row>
    <row r="397" ht="69" customHeight="1" s="211">
      <c r="A397" s="92">
        <f>Accounts!A397</f>
        <v/>
      </c>
      <c r="B397" s="12" t="b">
        <v>0</v>
      </c>
      <c r="C397" s="93">
        <f>Accounts!N397</f>
        <v/>
      </c>
      <c r="D397" s="94" t="n"/>
      <c r="E397" s="93">
        <f>Accounts!F397</f>
        <v/>
      </c>
      <c r="F397" s="94">
        <f>Accounts!Q397</f>
        <v/>
      </c>
      <c r="G397" s="94">
        <f>Accounts!R397</f>
        <v/>
      </c>
      <c r="H397" s="94">
        <f>Accounts!I397</f>
        <v/>
      </c>
      <c r="I397" s="94">
        <f>Accounts!J397</f>
        <v/>
      </c>
      <c r="J397" s="93">
        <f>Accounts!S397</f>
        <v/>
      </c>
      <c r="K397" s="88" t="n"/>
      <c r="L397" s="95" t="n"/>
      <c r="M397" s="55" t="b">
        <v>0</v>
      </c>
      <c r="N397" s="96" t="b">
        <v>0</v>
      </c>
      <c r="O397" s="55" t="b">
        <v>0</v>
      </c>
      <c r="P397" s="55" t="b">
        <v>0</v>
      </c>
      <c r="Q397" s="55" t="b">
        <v>0</v>
      </c>
      <c r="R397" s="55" t="b">
        <v>0</v>
      </c>
      <c r="S397" s="55" t="b">
        <v>0</v>
      </c>
      <c r="T397" s="55" t="b">
        <v>0</v>
      </c>
      <c r="U397" s="55" t="b">
        <v>0</v>
      </c>
      <c r="V397" s="55" t="b">
        <v>0</v>
      </c>
    </row>
    <row r="398" ht="69" customHeight="1" s="211">
      <c r="A398" s="92">
        <f>Accounts!A398</f>
        <v/>
      </c>
      <c r="B398" s="12" t="b">
        <v>0</v>
      </c>
      <c r="C398" s="93">
        <f>Accounts!N398</f>
        <v/>
      </c>
      <c r="D398" s="94" t="n"/>
      <c r="E398" s="93">
        <f>Accounts!F398</f>
        <v/>
      </c>
      <c r="F398" s="94">
        <f>Accounts!Q398</f>
        <v/>
      </c>
      <c r="G398" s="94">
        <f>Accounts!R398</f>
        <v/>
      </c>
      <c r="H398" s="94">
        <f>Accounts!I398</f>
        <v/>
      </c>
      <c r="I398" s="94">
        <f>Accounts!J398</f>
        <v/>
      </c>
      <c r="J398" s="93">
        <f>Accounts!S398</f>
        <v/>
      </c>
      <c r="K398" s="88" t="n"/>
      <c r="L398" s="95" t="n"/>
      <c r="M398" s="55" t="b">
        <v>0</v>
      </c>
      <c r="N398" s="96" t="b">
        <v>0</v>
      </c>
      <c r="O398" s="55" t="b">
        <v>0</v>
      </c>
      <c r="P398" s="55" t="b">
        <v>0</v>
      </c>
      <c r="Q398" s="55" t="b">
        <v>0</v>
      </c>
      <c r="R398" s="55" t="b">
        <v>0</v>
      </c>
      <c r="S398" s="55" t="b">
        <v>0</v>
      </c>
      <c r="T398" s="55" t="b">
        <v>0</v>
      </c>
      <c r="U398" s="55" t="b">
        <v>0</v>
      </c>
      <c r="V398" s="55" t="b">
        <v>0</v>
      </c>
    </row>
    <row r="399" ht="69" customHeight="1" s="211">
      <c r="A399" s="92">
        <f>Accounts!A399</f>
        <v/>
      </c>
      <c r="B399" s="12" t="b">
        <v>0</v>
      </c>
      <c r="C399" s="93">
        <f>Accounts!N399</f>
        <v/>
      </c>
      <c r="D399" s="94" t="n"/>
      <c r="E399" s="93">
        <f>Accounts!F399</f>
        <v/>
      </c>
      <c r="F399" s="94">
        <f>Accounts!Q399</f>
        <v/>
      </c>
      <c r="G399" s="94">
        <f>Accounts!R399</f>
        <v/>
      </c>
      <c r="H399" s="94">
        <f>Accounts!I399</f>
        <v/>
      </c>
      <c r="I399" s="94">
        <f>Accounts!J399</f>
        <v/>
      </c>
      <c r="J399" s="93">
        <f>Accounts!S399</f>
        <v/>
      </c>
      <c r="K399" s="88" t="n"/>
      <c r="L399" s="95" t="n"/>
      <c r="M399" s="55" t="b">
        <v>0</v>
      </c>
      <c r="N399" s="96" t="b">
        <v>0</v>
      </c>
      <c r="O399" s="55" t="b">
        <v>0</v>
      </c>
      <c r="P399" s="55" t="b">
        <v>0</v>
      </c>
      <c r="Q399" s="55" t="b">
        <v>0</v>
      </c>
      <c r="R399" s="55" t="b">
        <v>0</v>
      </c>
      <c r="S399" s="55" t="b">
        <v>0</v>
      </c>
      <c r="T399" s="55" t="b">
        <v>0</v>
      </c>
      <c r="U399" s="55" t="b">
        <v>0</v>
      </c>
      <c r="V399" s="55" t="b">
        <v>0</v>
      </c>
    </row>
    <row r="400" ht="69" customHeight="1" s="211">
      <c r="A400" s="92">
        <f>Accounts!A400</f>
        <v/>
      </c>
      <c r="B400" s="12" t="b">
        <v>0</v>
      </c>
      <c r="C400" s="93">
        <f>Accounts!N400</f>
        <v/>
      </c>
      <c r="D400" s="94" t="n"/>
      <c r="E400" s="93">
        <f>Accounts!F400</f>
        <v/>
      </c>
      <c r="F400" s="94">
        <f>Accounts!Q400</f>
        <v/>
      </c>
      <c r="G400" s="94">
        <f>Accounts!R400</f>
        <v/>
      </c>
      <c r="H400" s="94">
        <f>Accounts!I400</f>
        <v/>
      </c>
      <c r="I400" s="94">
        <f>Accounts!J400</f>
        <v/>
      </c>
      <c r="J400" s="93">
        <f>Accounts!S400</f>
        <v/>
      </c>
      <c r="K400" s="88" t="n"/>
      <c r="L400" s="95" t="n"/>
      <c r="M400" s="55" t="b">
        <v>0</v>
      </c>
      <c r="N400" s="96" t="b">
        <v>0</v>
      </c>
      <c r="O400" s="55" t="b">
        <v>0</v>
      </c>
      <c r="P400" s="55" t="b">
        <v>0</v>
      </c>
      <c r="Q400" s="55" t="b">
        <v>0</v>
      </c>
      <c r="R400" s="55" t="b">
        <v>0</v>
      </c>
      <c r="S400" s="55" t="b">
        <v>0</v>
      </c>
      <c r="T400" s="55" t="b">
        <v>0</v>
      </c>
      <c r="U400" s="55" t="b">
        <v>0</v>
      </c>
      <c r="V400" s="55" t="b">
        <v>0</v>
      </c>
    </row>
    <row r="401" ht="69" customHeight="1" s="211">
      <c r="A401" s="92">
        <f>Accounts!A401</f>
        <v/>
      </c>
      <c r="B401" s="12" t="b">
        <v>0</v>
      </c>
      <c r="C401" s="93">
        <f>Accounts!N401</f>
        <v/>
      </c>
      <c r="D401" s="94" t="n"/>
      <c r="E401" s="93">
        <f>Accounts!F401</f>
        <v/>
      </c>
      <c r="F401" s="94">
        <f>Accounts!Q401</f>
        <v/>
      </c>
      <c r="G401" s="94">
        <f>Accounts!R401</f>
        <v/>
      </c>
      <c r="H401" s="94">
        <f>Accounts!I401</f>
        <v/>
      </c>
      <c r="I401" s="94">
        <f>Accounts!J401</f>
        <v/>
      </c>
      <c r="J401" s="93">
        <f>Accounts!S401</f>
        <v/>
      </c>
      <c r="K401" s="88" t="n"/>
      <c r="L401" s="95" t="n"/>
      <c r="M401" s="55" t="b">
        <v>0</v>
      </c>
      <c r="N401" s="96" t="b">
        <v>0</v>
      </c>
      <c r="O401" s="55" t="b">
        <v>0</v>
      </c>
      <c r="P401" s="55" t="b">
        <v>0</v>
      </c>
      <c r="Q401" s="55" t="b">
        <v>0</v>
      </c>
      <c r="R401" s="55" t="b">
        <v>0</v>
      </c>
      <c r="S401" s="55" t="b">
        <v>0</v>
      </c>
      <c r="T401" s="55" t="b">
        <v>0</v>
      </c>
      <c r="U401" s="55" t="b">
        <v>0</v>
      </c>
      <c r="V401" s="55" t="b">
        <v>0</v>
      </c>
    </row>
    <row r="402" ht="69" customHeight="1" s="211">
      <c r="A402" s="92">
        <f>Accounts!A402</f>
        <v/>
      </c>
      <c r="B402" s="12" t="b">
        <v>0</v>
      </c>
      <c r="C402" s="93">
        <f>Accounts!N402</f>
        <v/>
      </c>
      <c r="D402" s="94" t="n"/>
      <c r="E402" s="93">
        <f>Accounts!F402</f>
        <v/>
      </c>
      <c r="F402" s="94">
        <f>Accounts!Q402</f>
        <v/>
      </c>
      <c r="G402" s="94">
        <f>Accounts!R402</f>
        <v/>
      </c>
      <c r="H402" s="94">
        <f>Accounts!I402</f>
        <v/>
      </c>
      <c r="I402" s="94">
        <f>Accounts!J402</f>
        <v/>
      </c>
      <c r="J402" s="93">
        <f>Accounts!S402</f>
        <v/>
      </c>
      <c r="K402" s="88" t="n"/>
      <c r="L402" s="95" t="n"/>
      <c r="M402" s="55" t="b">
        <v>0</v>
      </c>
      <c r="N402" s="96" t="b">
        <v>0</v>
      </c>
      <c r="O402" s="55" t="b">
        <v>0</v>
      </c>
      <c r="P402" s="55" t="b">
        <v>0</v>
      </c>
      <c r="Q402" s="55" t="b">
        <v>0</v>
      </c>
      <c r="R402" s="55" t="b">
        <v>0</v>
      </c>
      <c r="S402" s="55" t="b">
        <v>0</v>
      </c>
      <c r="T402" s="55" t="b">
        <v>0</v>
      </c>
      <c r="U402" s="55" t="b">
        <v>0</v>
      </c>
      <c r="V402" s="55" t="b">
        <v>0</v>
      </c>
    </row>
    <row r="403" ht="69" customHeight="1" s="211">
      <c r="A403" s="92">
        <f>Accounts!A403</f>
        <v/>
      </c>
      <c r="B403" s="12" t="b">
        <v>0</v>
      </c>
      <c r="C403" s="93">
        <f>Accounts!N403</f>
        <v/>
      </c>
      <c r="D403" s="94" t="n"/>
      <c r="E403" s="93">
        <f>Accounts!F403</f>
        <v/>
      </c>
      <c r="F403" s="94">
        <f>Accounts!Q403</f>
        <v/>
      </c>
      <c r="G403" s="94">
        <f>Accounts!R403</f>
        <v/>
      </c>
      <c r="H403" s="94">
        <f>Accounts!I403</f>
        <v/>
      </c>
      <c r="I403" s="94">
        <f>Accounts!J403</f>
        <v/>
      </c>
      <c r="J403" s="93">
        <f>Accounts!S403</f>
        <v/>
      </c>
      <c r="K403" s="88" t="n"/>
      <c r="L403" s="95" t="n"/>
      <c r="M403" s="55" t="b">
        <v>0</v>
      </c>
      <c r="N403" s="96" t="b">
        <v>0</v>
      </c>
      <c r="O403" s="55" t="b">
        <v>0</v>
      </c>
      <c r="P403" s="55" t="b">
        <v>0</v>
      </c>
      <c r="Q403" s="55" t="b">
        <v>0</v>
      </c>
      <c r="R403" s="55" t="b">
        <v>0</v>
      </c>
      <c r="S403" s="55" t="b">
        <v>0</v>
      </c>
      <c r="T403" s="55" t="b">
        <v>0</v>
      </c>
      <c r="U403" s="55" t="b">
        <v>0</v>
      </c>
      <c r="V403" s="55" t="b">
        <v>0</v>
      </c>
    </row>
    <row r="404" ht="69" customHeight="1" s="211">
      <c r="A404" s="92">
        <f>Accounts!A404</f>
        <v/>
      </c>
      <c r="B404" s="12" t="b">
        <v>0</v>
      </c>
      <c r="C404" s="93">
        <f>Accounts!N404</f>
        <v/>
      </c>
      <c r="D404" s="94" t="n"/>
      <c r="E404" s="93">
        <f>Accounts!F404</f>
        <v/>
      </c>
      <c r="F404" s="94">
        <f>Accounts!Q404</f>
        <v/>
      </c>
      <c r="G404" s="94">
        <f>Accounts!R404</f>
        <v/>
      </c>
      <c r="H404" s="94">
        <f>Accounts!I404</f>
        <v/>
      </c>
      <c r="I404" s="94">
        <f>Accounts!J404</f>
        <v/>
      </c>
      <c r="J404" s="93">
        <f>Accounts!S404</f>
        <v/>
      </c>
      <c r="K404" s="88" t="n"/>
      <c r="L404" s="95" t="n"/>
      <c r="M404" s="55" t="b">
        <v>0</v>
      </c>
      <c r="N404" s="96" t="b">
        <v>0</v>
      </c>
      <c r="O404" s="55" t="b">
        <v>0</v>
      </c>
      <c r="P404" s="55" t="b">
        <v>0</v>
      </c>
      <c r="Q404" s="55" t="b">
        <v>0</v>
      </c>
      <c r="R404" s="55" t="b">
        <v>0</v>
      </c>
      <c r="S404" s="55" t="b">
        <v>0</v>
      </c>
      <c r="T404" s="55" t="b">
        <v>0</v>
      </c>
      <c r="U404" s="55" t="b">
        <v>0</v>
      </c>
      <c r="V404" s="55" t="b">
        <v>0</v>
      </c>
    </row>
    <row r="405" ht="69" customHeight="1" s="211">
      <c r="A405" s="92">
        <f>Accounts!A405</f>
        <v/>
      </c>
      <c r="B405" s="12" t="b">
        <v>0</v>
      </c>
      <c r="C405" s="93">
        <f>Accounts!N405</f>
        <v/>
      </c>
      <c r="D405" s="94" t="n"/>
      <c r="E405" s="93">
        <f>Accounts!F405</f>
        <v/>
      </c>
      <c r="F405" s="94">
        <f>Accounts!Q405</f>
        <v/>
      </c>
      <c r="G405" s="94">
        <f>Accounts!R405</f>
        <v/>
      </c>
      <c r="H405" s="94">
        <f>Accounts!I405</f>
        <v/>
      </c>
      <c r="I405" s="94">
        <f>Accounts!J405</f>
        <v/>
      </c>
      <c r="J405" s="93">
        <f>Accounts!S405</f>
        <v/>
      </c>
      <c r="K405" s="88" t="n"/>
      <c r="L405" s="95" t="n"/>
      <c r="M405" s="55" t="b">
        <v>0</v>
      </c>
      <c r="N405" s="96" t="b">
        <v>0</v>
      </c>
      <c r="O405" s="55" t="b">
        <v>0</v>
      </c>
      <c r="P405" s="55" t="b">
        <v>0</v>
      </c>
      <c r="Q405" s="55" t="b">
        <v>0</v>
      </c>
      <c r="R405" s="55" t="b">
        <v>0</v>
      </c>
      <c r="S405" s="55" t="b">
        <v>0</v>
      </c>
      <c r="T405" s="55" t="b">
        <v>0</v>
      </c>
      <c r="U405" s="55" t="b">
        <v>0</v>
      </c>
      <c r="V405" s="55" t="b">
        <v>0</v>
      </c>
    </row>
    <row r="406" ht="69" customHeight="1" s="211">
      <c r="A406" s="92">
        <f>Accounts!A406</f>
        <v/>
      </c>
      <c r="B406" s="12" t="b">
        <v>0</v>
      </c>
      <c r="C406" s="93">
        <f>Accounts!N406</f>
        <v/>
      </c>
      <c r="D406" s="94" t="n"/>
      <c r="E406" s="93">
        <f>Accounts!F406</f>
        <v/>
      </c>
      <c r="F406" s="94">
        <f>Accounts!Q406</f>
        <v/>
      </c>
      <c r="G406" s="94">
        <f>Accounts!R406</f>
        <v/>
      </c>
      <c r="H406" s="94">
        <f>Accounts!I406</f>
        <v/>
      </c>
      <c r="I406" s="94">
        <f>Accounts!J406</f>
        <v/>
      </c>
      <c r="J406" s="93">
        <f>Accounts!S406</f>
        <v/>
      </c>
      <c r="K406" s="88" t="n"/>
      <c r="L406" s="95" t="n"/>
      <c r="M406" s="55" t="b">
        <v>0</v>
      </c>
      <c r="N406" s="96" t="b">
        <v>0</v>
      </c>
      <c r="O406" s="55" t="b">
        <v>0</v>
      </c>
      <c r="P406" s="55" t="b">
        <v>0</v>
      </c>
      <c r="Q406" s="55" t="b">
        <v>0</v>
      </c>
      <c r="R406" s="55" t="b">
        <v>0</v>
      </c>
      <c r="S406" s="55" t="b">
        <v>0</v>
      </c>
      <c r="T406" s="55" t="b">
        <v>0</v>
      </c>
      <c r="U406" s="55" t="b">
        <v>0</v>
      </c>
      <c r="V406" s="55" t="b">
        <v>0</v>
      </c>
    </row>
    <row r="407" ht="69" customHeight="1" s="211">
      <c r="A407" s="92">
        <f>Accounts!A407</f>
        <v/>
      </c>
      <c r="B407" s="12" t="b">
        <v>0</v>
      </c>
      <c r="C407" s="93">
        <f>Accounts!N407</f>
        <v/>
      </c>
      <c r="D407" s="94" t="n"/>
      <c r="E407" s="93">
        <f>Accounts!F407</f>
        <v/>
      </c>
      <c r="F407" s="94">
        <f>Accounts!Q407</f>
        <v/>
      </c>
      <c r="G407" s="94">
        <f>Accounts!R407</f>
        <v/>
      </c>
      <c r="H407" s="94">
        <f>Accounts!I407</f>
        <v/>
      </c>
      <c r="I407" s="94">
        <f>Accounts!J407</f>
        <v/>
      </c>
      <c r="J407" s="93">
        <f>Accounts!S407</f>
        <v/>
      </c>
      <c r="K407" s="88" t="n"/>
      <c r="L407" s="95" t="n"/>
      <c r="M407" s="55" t="b">
        <v>0</v>
      </c>
      <c r="N407" s="96" t="b">
        <v>0</v>
      </c>
      <c r="O407" s="55" t="b">
        <v>0</v>
      </c>
      <c r="P407" s="55" t="b">
        <v>0</v>
      </c>
      <c r="Q407" s="55" t="b">
        <v>0</v>
      </c>
      <c r="R407" s="55" t="b">
        <v>0</v>
      </c>
      <c r="S407" s="55" t="b">
        <v>0</v>
      </c>
      <c r="T407" s="55" t="b">
        <v>0</v>
      </c>
      <c r="U407" s="55" t="b">
        <v>0</v>
      </c>
      <c r="V407" s="55" t="b">
        <v>0</v>
      </c>
    </row>
    <row r="408" ht="69" customHeight="1" s="211">
      <c r="A408" s="92">
        <f>Accounts!A408</f>
        <v/>
      </c>
      <c r="B408" s="12" t="b">
        <v>0</v>
      </c>
      <c r="C408" s="93">
        <f>Accounts!N408</f>
        <v/>
      </c>
      <c r="D408" s="94" t="n"/>
      <c r="E408" s="93">
        <f>Accounts!F408</f>
        <v/>
      </c>
      <c r="F408" s="94">
        <f>Accounts!Q408</f>
        <v/>
      </c>
      <c r="G408" s="94">
        <f>Accounts!R408</f>
        <v/>
      </c>
      <c r="H408" s="94">
        <f>Accounts!I408</f>
        <v/>
      </c>
      <c r="I408" s="94">
        <f>Accounts!J408</f>
        <v/>
      </c>
      <c r="J408" s="93">
        <f>Accounts!S408</f>
        <v/>
      </c>
      <c r="K408" s="88" t="n"/>
      <c r="L408" s="95" t="n"/>
      <c r="M408" s="55" t="b">
        <v>0</v>
      </c>
      <c r="N408" s="96" t="b">
        <v>0</v>
      </c>
      <c r="O408" s="55" t="b">
        <v>0</v>
      </c>
      <c r="P408" s="55" t="b">
        <v>0</v>
      </c>
      <c r="Q408" s="55" t="b">
        <v>0</v>
      </c>
      <c r="R408" s="55" t="b">
        <v>0</v>
      </c>
      <c r="S408" s="55" t="b">
        <v>0</v>
      </c>
      <c r="T408" s="55" t="b">
        <v>0</v>
      </c>
      <c r="U408" s="55" t="b">
        <v>0</v>
      </c>
      <c r="V408" s="55" t="b">
        <v>0</v>
      </c>
    </row>
    <row r="409" ht="69" customHeight="1" s="211">
      <c r="A409" s="92">
        <f>Accounts!A409</f>
        <v/>
      </c>
      <c r="B409" s="12" t="b">
        <v>0</v>
      </c>
      <c r="C409" s="93">
        <f>Accounts!N409</f>
        <v/>
      </c>
      <c r="D409" s="94" t="n"/>
      <c r="E409" s="93">
        <f>Accounts!F409</f>
        <v/>
      </c>
      <c r="F409" s="94">
        <f>Accounts!Q409</f>
        <v/>
      </c>
      <c r="G409" s="94">
        <f>Accounts!R409</f>
        <v/>
      </c>
      <c r="H409" s="94">
        <f>Accounts!I409</f>
        <v/>
      </c>
      <c r="I409" s="94">
        <f>Accounts!J409</f>
        <v/>
      </c>
      <c r="J409" s="93">
        <f>Accounts!S409</f>
        <v/>
      </c>
      <c r="K409" s="88" t="n"/>
      <c r="L409" s="95" t="n"/>
      <c r="M409" s="55" t="b">
        <v>0</v>
      </c>
      <c r="N409" s="96" t="b">
        <v>0</v>
      </c>
      <c r="O409" s="55" t="b">
        <v>0</v>
      </c>
      <c r="P409" s="55" t="b">
        <v>0</v>
      </c>
      <c r="Q409" s="55" t="b">
        <v>0</v>
      </c>
      <c r="R409" s="55" t="b">
        <v>0</v>
      </c>
      <c r="S409" s="55" t="b">
        <v>0</v>
      </c>
      <c r="T409" s="55" t="b">
        <v>0</v>
      </c>
      <c r="U409" s="55" t="b">
        <v>0</v>
      </c>
      <c r="V409" s="55" t="b">
        <v>0</v>
      </c>
    </row>
    <row r="410" ht="69" customHeight="1" s="211">
      <c r="A410" s="92">
        <f>Accounts!A410</f>
        <v/>
      </c>
      <c r="B410" s="12" t="b">
        <v>0</v>
      </c>
      <c r="C410" s="93">
        <f>Accounts!N410</f>
        <v/>
      </c>
      <c r="D410" s="94" t="n"/>
      <c r="E410" s="93">
        <f>Accounts!F410</f>
        <v/>
      </c>
      <c r="F410" s="94">
        <f>Accounts!Q410</f>
        <v/>
      </c>
      <c r="G410" s="94">
        <f>Accounts!R410</f>
        <v/>
      </c>
      <c r="H410" s="94">
        <f>Accounts!I410</f>
        <v/>
      </c>
      <c r="I410" s="94">
        <f>Accounts!J410</f>
        <v/>
      </c>
      <c r="J410" s="93">
        <f>Accounts!S410</f>
        <v/>
      </c>
      <c r="K410" s="88" t="n"/>
      <c r="L410" s="95" t="n"/>
      <c r="M410" s="55" t="b">
        <v>0</v>
      </c>
      <c r="N410" s="96" t="b">
        <v>0</v>
      </c>
      <c r="O410" s="55" t="b">
        <v>0</v>
      </c>
      <c r="P410" s="55" t="b">
        <v>0</v>
      </c>
      <c r="Q410" s="55" t="b">
        <v>0</v>
      </c>
      <c r="R410" s="55" t="b">
        <v>0</v>
      </c>
      <c r="S410" s="55" t="b">
        <v>0</v>
      </c>
      <c r="T410" s="55" t="b">
        <v>0</v>
      </c>
      <c r="U410" s="55" t="b">
        <v>0</v>
      </c>
      <c r="V410" s="55" t="b">
        <v>0</v>
      </c>
    </row>
    <row r="411" ht="69" customHeight="1" s="211">
      <c r="A411" s="92">
        <f>Accounts!A411</f>
        <v/>
      </c>
      <c r="B411" s="12" t="b">
        <v>0</v>
      </c>
      <c r="C411" s="93">
        <f>Accounts!N411</f>
        <v/>
      </c>
      <c r="D411" s="94" t="n"/>
      <c r="E411" s="93">
        <f>Accounts!F411</f>
        <v/>
      </c>
      <c r="F411" s="94">
        <f>Accounts!Q411</f>
        <v/>
      </c>
      <c r="G411" s="94">
        <f>Accounts!R411</f>
        <v/>
      </c>
      <c r="H411" s="94">
        <f>Accounts!I411</f>
        <v/>
      </c>
      <c r="I411" s="94">
        <f>Accounts!J411</f>
        <v/>
      </c>
      <c r="J411" s="93">
        <f>Accounts!S411</f>
        <v/>
      </c>
      <c r="K411" s="88" t="n"/>
      <c r="L411" s="95" t="n"/>
      <c r="M411" s="55" t="b">
        <v>0</v>
      </c>
      <c r="N411" s="96" t="b">
        <v>0</v>
      </c>
      <c r="O411" s="55" t="b">
        <v>0</v>
      </c>
      <c r="P411" s="55" t="b">
        <v>0</v>
      </c>
      <c r="Q411" s="55" t="b">
        <v>0</v>
      </c>
      <c r="R411" s="55" t="b">
        <v>0</v>
      </c>
      <c r="S411" s="55" t="b">
        <v>0</v>
      </c>
      <c r="T411" s="55" t="b">
        <v>0</v>
      </c>
      <c r="U411" s="55" t="b">
        <v>0</v>
      </c>
      <c r="V411" s="55" t="b">
        <v>0</v>
      </c>
    </row>
    <row r="412" ht="69" customHeight="1" s="211">
      <c r="A412" s="92">
        <f>Accounts!A412</f>
        <v/>
      </c>
      <c r="B412" s="12" t="b">
        <v>0</v>
      </c>
      <c r="C412" s="93">
        <f>Accounts!N412</f>
        <v/>
      </c>
      <c r="D412" s="94" t="n"/>
      <c r="E412" s="93">
        <f>Accounts!F412</f>
        <v/>
      </c>
      <c r="F412" s="94">
        <f>Accounts!Q412</f>
        <v/>
      </c>
      <c r="G412" s="94">
        <f>Accounts!R412</f>
        <v/>
      </c>
      <c r="H412" s="94">
        <f>Accounts!I412</f>
        <v/>
      </c>
      <c r="I412" s="94">
        <f>Accounts!J412</f>
        <v/>
      </c>
      <c r="J412" s="93">
        <f>Accounts!S412</f>
        <v/>
      </c>
      <c r="K412" s="88" t="n"/>
      <c r="L412" s="95" t="n"/>
      <c r="M412" s="55" t="b">
        <v>0</v>
      </c>
      <c r="N412" s="96" t="b">
        <v>0</v>
      </c>
      <c r="O412" s="55" t="b">
        <v>0</v>
      </c>
      <c r="P412" s="55" t="b">
        <v>0</v>
      </c>
      <c r="Q412" s="55" t="b">
        <v>0</v>
      </c>
      <c r="R412" s="55" t="b">
        <v>0</v>
      </c>
      <c r="S412" s="55" t="b">
        <v>0</v>
      </c>
      <c r="T412" s="55" t="b">
        <v>0</v>
      </c>
      <c r="U412" s="55" t="b">
        <v>0</v>
      </c>
      <c r="V412" s="55" t="b">
        <v>0</v>
      </c>
    </row>
    <row r="413" ht="69" customHeight="1" s="211">
      <c r="A413" s="92">
        <f>Accounts!A413</f>
        <v/>
      </c>
      <c r="B413" s="12" t="b">
        <v>0</v>
      </c>
      <c r="C413" s="93">
        <f>Accounts!N413</f>
        <v/>
      </c>
      <c r="D413" s="94" t="n"/>
      <c r="E413" s="93">
        <f>Accounts!F413</f>
        <v/>
      </c>
      <c r="F413" s="94">
        <f>Accounts!Q413</f>
        <v/>
      </c>
      <c r="G413" s="94">
        <f>Accounts!R413</f>
        <v/>
      </c>
      <c r="H413" s="94">
        <f>Accounts!I413</f>
        <v/>
      </c>
      <c r="I413" s="94">
        <f>Accounts!J413</f>
        <v/>
      </c>
      <c r="J413" s="93">
        <f>Accounts!S413</f>
        <v/>
      </c>
      <c r="K413" s="88" t="n"/>
      <c r="L413" s="95" t="n"/>
      <c r="M413" s="55" t="b">
        <v>0</v>
      </c>
      <c r="N413" s="96" t="b">
        <v>0</v>
      </c>
      <c r="O413" s="55" t="b">
        <v>0</v>
      </c>
      <c r="P413" s="55" t="b">
        <v>0</v>
      </c>
      <c r="Q413" s="55" t="b">
        <v>0</v>
      </c>
      <c r="R413" s="55" t="b">
        <v>0</v>
      </c>
      <c r="S413" s="55" t="b">
        <v>0</v>
      </c>
      <c r="T413" s="55" t="b">
        <v>0</v>
      </c>
      <c r="U413" s="55" t="b">
        <v>0</v>
      </c>
      <c r="V413" s="55" t="b">
        <v>0</v>
      </c>
    </row>
    <row r="414" ht="69" customHeight="1" s="211">
      <c r="A414" s="92">
        <f>Accounts!A414</f>
        <v/>
      </c>
      <c r="B414" s="12" t="b">
        <v>0</v>
      </c>
      <c r="C414" s="93">
        <f>Accounts!N414</f>
        <v/>
      </c>
      <c r="D414" s="94" t="n"/>
      <c r="E414" s="93">
        <f>Accounts!F414</f>
        <v/>
      </c>
      <c r="F414" s="94">
        <f>Accounts!Q414</f>
        <v/>
      </c>
      <c r="G414" s="94">
        <f>Accounts!R414</f>
        <v/>
      </c>
      <c r="H414" s="94">
        <f>Accounts!I414</f>
        <v/>
      </c>
      <c r="I414" s="94">
        <f>Accounts!J414</f>
        <v/>
      </c>
      <c r="J414" s="93">
        <f>Accounts!S414</f>
        <v/>
      </c>
      <c r="K414" s="88" t="n"/>
      <c r="L414" s="95" t="n"/>
      <c r="M414" s="55" t="b">
        <v>0</v>
      </c>
      <c r="N414" s="96" t="b">
        <v>0</v>
      </c>
      <c r="O414" s="55" t="b">
        <v>0</v>
      </c>
      <c r="P414" s="55" t="b">
        <v>0</v>
      </c>
      <c r="Q414" s="55" t="b">
        <v>0</v>
      </c>
      <c r="R414" s="55" t="b">
        <v>0</v>
      </c>
      <c r="S414" s="55" t="b">
        <v>0</v>
      </c>
      <c r="T414" s="55" t="b">
        <v>0</v>
      </c>
      <c r="U414" s="55" t="b">
        <v>0</v>
      </c>
      <c r="V414" s="55" t="b">
        <v>0</v>
      </c>
    </row>
    <row r="415" ht="69" customHeight="1" s="211">
      <c r="A415" s="92">
        <f>Accounts!A415</f>
        <v/>
      </c>
      <c r="B415" s="12" t="b">
        <v>0</v>
      </c>
      <c r="C415" s="93">
        <f>Accounts!N415</f>
        <v/>
      </c>
      <c r="D415" s="94" t="n"/>
      <c r="E415" s="93">
        <f>Accounts!F415</f>
        <v/>
      </c>
      <c r="F415" s="94">
        <f>Accounts!Q415</f>
        <v/>
      </c>
      <c r="G415" s="94">
        <f>Accounts!R415</f>
        <v/>
      </c>
      <c r="H415" s="94">
        <f>Accounts!I415</f>
        <v/>
      </c>
      <c r="I415" s="94">
        <f>Accounts!J415</f>
        <v/>
      </c>
      <c r="J415" s="93">
        <f>Accounts!S415</f>
        <v/>
      </c>
      <c r="K415" s="88" t="n"/>
      <c r="L415" s="95" t="n"/>
      <c r="M415" s="55" t="b">
        <v>0</v>
      </c>
      <c r="N415" s="96" t="b">
        <v>0</v>
      </c>
      <c r="O415" s="55" t="b">
        <v>0</v>
      </c>
      <c r="P415" s="55" t="b">
        <v>0</v>
      </c>
      <c r="Q415" s="55" t="b">
        <v>0</v>
      </c>
      <c r="R415" s="55" t="b">
        <v>0</v>
      </c>
      <c r="S415" s="55" t="b">
        <v>0</v>
      </c>
      <c r="T415" s="55" t="b">
        <v>0</v>
      </c>
      <c r="U415" s="55" t="b">
        <v>0</v>
      </c>
      <c r="V415" s="55" t="b">
        <v>0</v>
      </c>
    </row>
    <row r="416" ht="69" customHeight="1" s="211">
      <c r="A416" s="92">
        <f>Accounts!A416</f>
        <v/>
      </c>
      <c r="B416" s="12" t="b">
        <v>0</v>
      </c>
      <c r="C416" s="93">
        <f>Accounts!N416</f>
        <v/>
      </c>
      <c r="D416" s="94" t="n"/>
      <c r="E416" s="93">
        <f>Accounts!F416</f>
        <v/>
      </c>
      <c r="F416" s="94">
        <f>Accounts!Q416</f>
        <v/>
      </c>
      <c r="G416" s="94">
        <f>Accounts!R416</f>
        <v/>
      </c>
      <c r="H416" s="94">
        <f>Accounts!I416</f>
        <v/>
      </c>
      <c r="I416" s="94">
        <f>Accounts!J416</f>
        <v/>
      </c>
      <c r="J416" s="93">
        <f>Accounts!S416</f>
        <v/>
      </c>
      <c r="K416" s="88" t="n"/>
      <c r="L416" s="95" t="n"/>
      <c r="M416" s="55" t="b">
        <v>0</v>
      </c>
      <c r="N416" s="96" t="b">
        <v>0</v>
      </c>
      <c r="O416" s="55" t="b">
        <v>0</v>
      </c>
      <c r="P416" s="55" t="b">
        <v>0</v>
      </c>
      <c r="Q416" s="55" t="b">
        <v>0</v>
      </c>
      <c r="R416" s="55" t="b">
        <v>0</v>
      </c>
      <c r="S416" s="55" t="b">
        <v>0</v>
      </c>
      <c r="T416" s="55" t="b">
        <v>0</v>
      </c>
      <c r="U416" s="55" t="b">
        <v>0</v>
      </c>
      <c r="V416" s="55" t="b">
        <v>0</v>
      </c>
    </row>
    <row r="417" ht="69" customHeight="1" s="211">
      <c r="A417" s="92">
        <f>Accounts!A417</f>
        <v/>
      </c>
      <c r="B417" s="12" t="b">
        <v>0</v>
      </c>
      <c r="C417" s="93">
        <f>Accounts!N417</f>
        <v/>
      </c>
      <c r="D417" s="94" t="n"/>
      <c r="E417" s="93">
        <f>Accounts!F417</f>
        <v/>
      </c>
      <c r="F417" s="94">
        <f>Accounts!Q417</f>
        <v/>
      </c>
      <c r="G417" s="94">
        <f>Accounts!R417</f>
        <v/>
      </c>
      <c r="H417" s="94">
        <f>Accounts!I417</f>
        <v/>
      </c>
      <c r="I417" s="94">
        <f>Accounts!J417</f>
        <v/>
      </c>
      <c r="J417" s="93">
        <f>Accounts!S417</f>
        <v/>
      </c>
      <c r="K417" s="88" t="n"/>
      <c r="L417" s="95" t="n"/>
      <c r="M417" s="55" t="b">
        <v>0</v>
      </c>
      <c r="N417" s="96" t="b">
        <v>0</v>
      </c>
      <c r="O417" s="55" t="b">
        <v>0</v>
      </c>
      <c r="P417" s="55" t="b">
        <v>0</v>
      </c>
      <c r="Q417" s="55" t="b">
        <v>0</v>
      </c>
      <c r="R417" s="55" t="b">
        <v>0</v>
      </c>
      <c r="S417" s="55" t="b">
        <v>0</v>
      </c>
      <c r="T417" s="55" t="b">
        <v>0</v>
      </c>
      <c r="U417" s="55" t="b">
        <v>0</v>
      </c>
      <c r="V417" s="55" t="b">
        <v>0</v>
      </c>
    </row>
    <row r="418" ht="69" customHeight="1" s="211">
      <c r="A418" s="92">
        <f>Accounts!A418</f>
        <v/>
      </c>
      <c r="B418" s="12" t="b">
        <v>0</v>
      </c>
      <c r="C418" s="93">
        <f>Accounts!N418</f>
        <v/>
      </c>
      <c r="D418" s="94" t="n"/>
      <c r="E418" s="93">
        <f>Accounts!F418</f>
        <v/>
      </c>
      <c r="F418" s="94">
        <f>Accounts!Q418</f>
        <v/>
      </c>
      <c r="G418" s="94">
        <f>Accounts!R418</f>
        <v/>
      </c>
      <c r="H418" s="94">
        <f>Accounts!I418</f>
        <v/>
      </c>
      <c r="I418" s="94">
        <f>Accounts!J418</f>
        <v/>
      </c>
      <c r="J418" s="93">
        <f>Accounts!S418</f>
        <v/>
      </c>
      <c r="K418" s="88" t="n"/>
      <c r="L418" s="95" t="n"/>
      <c r="M418" s="55" t="b">
        <v>0</v>
      </c>
      <c r="N418" s="96" t="b">
        <v>0</v>
      </c>
      <c r="O418" s="55" t="b">
        <v>0</v>
      </c>
      <c r="P418" s="55" t="b">
        <v>0</v>
      </c>
      <c r="Q418" s="55" t="b">
        <v>0</v>
      </c>
      <c r="R418" s="55" t="b">
        <v>0</v>
      </c>
      <c r="S418" s="55" t="b">
        <v>0</v>
      </c>
      <c r="T418" s="55" t="b">
        <v>0</v>
      </c>
      <c r="U418" s="55" t="b">
        <v>0</v>
      </c>
      <c r="V418" s="55" t="b">
        <v>0</v>
      </c>
    </row>
    <row r="419" ht="69" customHeight="1" s="211">
      <c r="A419" s="92">
        <f>Accounts!A419</f>
        <v/>
      </c>
      <c r="B419" s="12" t="b">
        <v>0</v>
      </c>
      <c r="C419" s="93">
        <f>Accounts!N419</f>
        <v/>
      </c>
      <c r="D419" s="94" t="n"/>
      <c r="E419" s="93">
        <f>Accounts!F419</f>
        <v/>
      </c>
      <c r="F419" s="94">
        <f>Accounts!Q419</f>
        <v/>
      </c>
      <c r="G419" s="94">
        <f>Accounts!R419</f>
        <v/>
      </c>
      <c r="H419" s="94">
        <f>Accounts!I419</f>
        <v/>
      </c>
      <c r="I419" s="94">
        <f>Accounts!J419</f>
        <v/>
      </c>
      <c r="J419" s="93">
        <f>Accounts!S419</f>
        <v/>
      </c>
      <c r="K419" s="88" t="n"/>
      <c r="L419" s="95" t="n"/>
      <c r="M419" s="55" t="b">
        <v>0</v>
      </c>
      <c r="N419" s="96" t="b">
        <v>0</v>
      </c>
      <c r="O419" s="55" t="b">
        <v>0</v>
      </c>
      <c r="P419" s="55" t="b">
        <v>0</v>
      </c>
      <c r="Q419" s="55" t="b">
        <v>0</v>
      </c>
      <c r="R419" s="55" t="b">
        <v>0</v>
      </c>
      <c r="S419" s="55" t="b">
        <v>0</v>
      </c>
      <c r="T419" s="55" t="b">
        <v>0</v>
      </c>
      <c r="U419" s="55" t="b">
        <v>0</v>
      </c>
      <c r="V419" s="55" t="b">
        <v>0</v>
      </c>
    </row>
    <row r="420" ht="69" customHeight="1" s="211">
      <c r="A420" s="92">
        <f>Accounts!A420</f>
        <v/>
      </c>
      <c r="B420" s="12" t="b">
        <v>0</v>
      </c>
      <c r="C420" s="93">
        <f>Accounts!N420</f>
        <v/>
      </c>
      <c r="D420" s="94" t="n"/>
      <c r="E420" s="93">
        <f>Accounts!F420</f>
        <v/>
      </c>
      <c r="F420" s="94">
        <f>Accounts!Q420</f>
        <v/>
      </c>
      <c r="G420" s="94">
        <f>Accounts!R420</f>
        <v/>
      </c>
      <c r="H420" s="94">
        <f>Accounts!I420</f>
        <v/>
      </c>
      <c r="I420" s="94">
        <f>Accounts!J420</f>
        <v/>
      </c>
      <c r="J420" s="93">
        <f>Accounts!S420</f>
        <v/>
      </c>
      <c r="K420" s="88" t="n"/>
      <c r="L420" s="95" t="n"/>
      <c r="M420" s="55" t="b">
        <v>0</v>
      </c>
      <c r="N420" s="96" t="b">
        <v>0</v>
      </c>
      <c r="O420" s="55" t="b">
        <v>0</v>
      </c>
      <c r="P420" s="55" t="b">
        <v>0</v>
      </c>
      <c r="Q420" s="55" t="b">
        <v>0</v>
      </c>
      <c r="R420" s="55" t="b">
        <v>0</v>
      </c>
      <c r="S420" s="55" t="b">
        <v>0</v>
      </c>
      <c r="T420" s="55" t="b">
        <v>0</v>
      </c>
      <c r="U420" s="55" t="b">
        <v>0</v>
      </c>
      <c r="V420" s="55" t="b">
        <v>0</v>
      </c>
    </row>
    <row r="421" ht="69" customHeight="1" s="211">
      <c r="A421" s="92">
        <f>Accounts!A421</f>
        <v/>
      </c>
      <c r="B421" s="12" t="b">
        <v>0</v>
      </c>
      <c r="C421" s="93">
        <f>Accounts!N421</f>
        <v/>
      </c>
      <c r="D421" s="94" t="n"/>
      <c r="E421" s="93">
        <f>Accounts!F421</f>
        <v/>
      </c>
      <c r="F421" s="94">
        <f>Accounts!Q421</f>
        <v/>
      </c>
      <c r="G421" s="94">
        <f>Accounts!R421</f>
        <v/>
      </c>
      <c r="H421" s="94">
        <f>Accounts!I421</f>
        <v/>
      </c>
      <c r="I421" s="94">
        <f>Accounts!J421</f>
        <v/>
      </c>
      <c r="J421" s="93">
        <f>Accounts!S421</f>
        <v/>
      </c>
      <c r="K421" s="88" t="n"/>
      <c r="L421" s="95" t="n"/>
      <c r="M421" s="55" t="b">
        <v>0</v>
      </c>
      <c r="N421" s="96" t="b">
        <v>0</v>
      </c>
      <c r="O421" s="55" t="b">
        <v>0</v>
      </c>
      <c r="P421" s="55" t="b">
        <v>0</v>
      </c>
      <c r="Q421" s="55" t="b">
        <v>0</v>
      </c>
      <c r="R421" s="55" t="b">
        <v>0</v>
      </c>
      <c r="S421" s="55" t="b">
        <v>0</v>
      </c>
      <c r="T421" s="55" t="b">
        <v>0</v>
      </c>
      <c r="U421" s="55" t="b">
        <v>0</v>
      </c>
      <c r="V421" s="55" t="b">
        <v>0</v>
      </c>
    </row>
    <row r="422" ht="69" customHeight="1" s="211">
      <c r="A422" s="92">
        <f>Accounts!A422</f>
        <v/>
      </c>
      <c r="B422" s="12" t="b">
        <v>0</v>
      </c>
      <c r="C422" s="93">
        <f>Accounts!N422</f>
        <v/>
      </c>
      <c r="D422" s="94" t="n"/>
      <c r="E422" s="93">
        <f>Accounts!F422</f>
        <v/>
      </c>
      <c r="F422" s="94">
        <f>Accounts!Q422</f>
        <v/>
      </c>
      <c r="G422" s="94">
        <f>Accounts!R422</f>
        <v/>
      </c>
      <c r="H422" s="94">
        <f>Accounts!I422</f>
        <v/>
      </c>
      <c r="I422" s="94">
        <f>Accounts!J422</f>
        <v/>
      </c>
      <c r="J422" s="93">
        <f>Accounts!S422</f>
        <v/>
      </c>
      <c r="K422" s="88" t="n"/>
      <c r="L422" s="95" t="n"/>
      <c r="M422" s="55" t="b">
        <v>0</v>
      </c>
      <c r="N422" s="96" t="b">
        <v>0</v>
      </c>
      <c r="O422" s="55" t="b">
        <v>0</v>
      </c>
      <c r="P422" s="55" t="b">
        <v>0</v>
      </c>
      <c r="Q422" s="55" t="b">
        <v>0</v>
      </c>
      <c r="R422" s="55" t="b">
        <v>0</v>
      </c>
      <c r="S422" s="55" t="b">
        <v>0</v>
      </c>
      <c r="T422" s="55" t="b">
        <v>0</v>
      </c>
      <c r="U422" s="55" t="b">
        <v>0</v>
      </c>
      <c r="V422" s="55" t="b">
        <v>0</v>
      </c>
    </row>
    <row r="423" ht="69" customHeight="1" s="211">
      <c r="A423" s="92">
        <f>Accounts!A423</f>
        <v/>
      </c>
      <c r="B423" s="12" t="b">
        <v>0</v>
      </c>
      <c r="C423" s="93">
        <f>Accounts!N423</f>
        <v/>
      </c>
      <c r="D423" s="94" t="n"/>
      <c r="E423" s="93">
        <f>Accounts!F423</f>
        <v/>
      </c>
      <c r="F423" s="94">
        <f>Accounts!Q423</f>
        <v/>
      </c>
      <c r="G423" s="94">
        <f>Accounts!R423</f>
        <v/>
      </c>
      <c r="H423" s="94">
        <f>Accounts!I423</f>
        <v/>
      </c>
      <c r="I423" s="94">
        <f>Accounts!J423</f>
        <v/>
      </c>
      <c r="J423" s="93">
        <f>Accounts!S423</f>
        <v/>
      </c>
      <c r="K423" s="88" t="n"/>
      <c r="L423" s="95" t="n"/>
      <c r="M423" s="55" t="b">
        <v>0</v>
      </c>
      <c r="N423" s="96" t="b">
        <v>0</v>
      </c>
      <c r="O423" s="55" t="b">
        <v>0</v>
      </c>
      <c r="P423" s="55" t="b">
        <v>0</v>
      </c>
      <c r="Q423" s="55" t="b">
        <v>0</v>
      </c>
      <c r="R423" s="55" t="b">
        <v>0</v>
      </c>
      <c r="S423" s="55" t="b">
        <v>0</v>
      </c>
      <c r="T423" s="55" t="b">
        <v>0</v>
      </c>
      <c r="U423" s="55" t="b">
        <v>0</v>
      </c>
      <c r="V423" s="55" t="b">
        <v>0</v>
      </c>
    </row>
    <row r="424" ht="69" customHeight="1" s="211">
      <c r="A424" s="92">
        <f>Accounts!A424</f>
        <v/>
      </c>
      <c r="B424" s="12" t="b">
        <v>0</v>
      </c>
      <c r="C424" s="93">
        <f>Accounts!N424</f>
        <v/>
      </c>
      <c r="D424" s="94" t="n"/>
      <c r="E424" s="93">
        <f>Accounts!F424</f>
        <v/>
      </c>
      <c r="F424" s="94">
        <f>Accounts!Q424</f>
        <v/>
      </c>
      <c r="G424" s="94">
        <f>Accounts!R424</f>
        <v/>
      </c>
      <c r="H424" s="94">
        <f>Accounts!I424</f>
        <v/>
      </c>
      <c r="I424" s="94">
        <f>Accounts!J424</f>
        <v/>
      </c>
      <c r="J424" s="93">
        <f>Accounts!S424</f>
        <v/>
      </c>
      <c r="K424" s="88" t="n"/>
      <c r="L424" s="95" t="n"/>
      <c r="M424" s="55" t="b">
        <v>0</v>
      </c>
      <c r="N424" s="96" t="b">
        <v>0</v>
      </c>
      <c r="O424" s="55" t="b">
        <v>0</v>
      </c>
      <c r="P424" s="55" t="b">
        <v>0</v>
      </c>
      <c r="Q424" s="55" t="b">
        <v>0</v>
      </c>
      <c r="R424" s="55" t="b">
        <v>0</v>
      </c>
      <c r="S424" s="55" t="b">
        <v>0</v>
      </c>
      <c r="T424" s="55" t="b">
        <v>0</v>
      </c>
      <c r="U424" s="55" t="b">
        <v>0</v>
      </c>
      <c r="V424" s="55" t="b">
        <v>0</v>
      </c>
    </row>
    <row r="425" ht="69" customHeight="1" s="211">
      <c r="A425" s="92">
        <f>Accounts!A425</f>
        <v/>
      </c>
      <c r="B425" s="12" t="b">
        <v>0</v>
      </c>
      <c r="C425" s="93">
        <f>Accounts!N425</f>
        <v/>
      </c>
      <c r="D425" s="94" t="n"/>
      <c r="E425" s="93">
        <f>Accounts!F425</f>
        <v/>
      </c>
      <c r="F425" s="94">
        <f>Accounts!Q425</f>
        <v/>
      </c>
      <c r="G425" s="94">
        <f>Accounts!R425</f>
        <v/>
      </c>
      <c r="H425" s="94">
        <f>Accounts!I425</f>
        <v/>
      </c>
      <c r="I425" s="94">
        <f>Accounts!J425</f>
        <v/>
      </c>
      <c r="J425" s="93">
        <f>Accounts!S425</f>
        <v/>
      </c>
      <c r="K425" s="88" t="n"/>
      <c r="L425" s="95" t="n"/>
      <c r="M425" s="55" t="b">
        <v>0</v>
      </c>
      <c r="N425" s="96" t="b">
        <v>0</v>
      </c>
      <c r="O425" s="55" t="b">
        <v>0</v>
      </c>
      <c r="P425" s="55" t="b">
        <v>0</v>
      </c>
      <c r="Q425" s="55" t="b">
        <v>0</v>
      </c>
      <c r="R425" s="55" t="b">
        <v>0</v>
      </c>
      <c r="S425" s="55" t="b">
        <v>0</v>
      </c>
      <c r="T425" s="55" t="b">
        <v>0</v>
      </c>
      <c r="U425" s="55" t="b">
        <v>0</v>
      </c>
      <c r="V425" s="55" t="b">
        <v>0</v>
      </c>
    </row>
    <row r="426" ht="69" customHeight="1" s="211">
      <c r="A426" s="92">
        <f>Accounts!A426</f>
        <v/>
      </c>
      <c r="B426" s="12" t="b">
        <v>0</v>
      </c>
      <c r="C426" s="93">
        <f>Accounts!N426</f>
        <v/>
      </c>
      <c r="D426" s="94" t="n"/>
      <c r="E426" s="93">
        <f>Accounts!F426</f>
        <v/>
      </c>
      <c r="F426" s="94">
        <f>Accounts!Q426</f>
        <v/>
      </c>
      <c r="G426" s="94">
        <f>Accounts!R426</f>
        <v/>
      </c>
      <c r="H426" s="94">
        <f>Accounts!I426</f>
        <v/>
      </c>
      <c r="I426" s="94">
        <f>Accounts!J426</f>
        <v/>
      </c>
      <c r="J426" s="93">
        <f>Accounts!S426</f>
        <v/>
      </c>
      <c r="K426" s="88" t="n"/>
      <c r="L426" s="95" t="n"/>
      <c r="M426" s="55" t="b">
        <v>0</v>
      </c>
      <c r="N426" s="96" t="b">
        <v>0</v>
      </c>
      <c r="O426" s="55" t="b">
        <v>0</v>
      </c>
      <c r="P426" s="55" t="b">
        <v>0</v>
      </c>
      <c r="Q426" s="55" t="b">
        <v>0</v>
      </c>
      <c r="R426" s="55" t="b">
        <v>0</v>
      </c>
      <c r="S426" s="55" t="b">
        <v>0</v>
      </c>
      <c r="T426" s="55" t="b">
        <v>0</v>
      </c>
      <c r="U426" s="55" t="b">
        <v>0</v>
      </c>
      <c r="V426" s="55" t="b">
        <v>0</v>
      </c>
    </row>
    <row r="427" ht="69" customHeight="1" s="211">
      <c r="A427" s="92">
        <f>Accounts!A427</f>
        <v/>
      </c>
      <c r="B427" s="12" t="b">
        <v>0</v>
      </c>
      <c r="C427" s="93">
        <f>Accounts!N427</f>
        <v/>
      </c>
      <c r="D427" s="94" t="n"/>
      <c r="E427" s="93">
        <f>Accounts!F427</f>
        <v/>
      </c>
      <c r="F427" s="94">
        <f>Accounts!Q427</f>
        <v/>
      </c>
      <c r="G427" s="94">
        <f>Accounts!R427</f>
        <v/>
      </c>
      <c r="H427" s="94">
        <f>Accounts!I427</f>
        <v/>
      </c>
      <c r="I427" s="94">
        <f>Accounts!J427</f>
        <v/>
      </c>
      <c r="J427" s="93">
        <f>Accounts!S427</f>
        <v/>
      </c>
      <c r="K427" s="88" t="n"/>
      <c r="L427" s="95" t="n"/>
      <c r="M427" s="55" t="b">
        <v>0</v>
      </c>
      <c r="N427" s="96" t="b">
        <v>0</v>
      </c>
      <c r="O427" s="55" t="b">
        <v>0</v>
      </c>
      <c r="P427" s="55" t="b">
        <v>0</v>
      </c>
      <c r="Q427" s="55" t="b">
        <v>0</v>
      </c>
      <c r="R427" s="55" t="b">
        <v>0</v>
      </c>
      <c r="S427" s="55" t="b">
        <v>0</v>
      </c>
      <c r="T427" s="55" t="b">
        <v>0</v>
      </c>
      <c r="U427" s="55" t="b">
        <v>0</v>
      </c>
      <c r="V427" s="55" t="b">
        <v>0</v>
      </c>
    </row>
    <row r="428" ht="69" customHeight="1" s="211">
      <c r="A428" s="92">
        <f>Accounts!A428</f>
        <v/>
      </c>
      <c r="B428" s="12" t="b">
        <v>0</v>
      </c>
      <c r="C428" s="93">
        <f>Accounts!N428</f>
        <v/>
      </c>
      <c r="D428" s="94" t="n"/>
      <c r="E428" s="93">
        <f>Accounts!F428</f>
        <v/>
      </c>
      <c r="F428" s="94">
        <f>Accounts!Q428</f>
        <v/>
      </c>
      <c r="G428" s="94">
        <f>Accounts!R428</f>
        <v/>
      </c>
      <c r="H428" s="94">
        <f>Accounts!I428</f>
        <v/>
      </c>
      <c r="I428" s="94">
        <f>Accounts!J428</f>
        <v/>
      </c>
      <c r="J428" s="93">
        <f>Accounts!S428</f>
        <v/>
      </c>
      <c r="K428" s="88" t="n"/>
      <c r="L428" s="95" t="n"/>
      <c r="M428" s="55" t="b">
        <v>0</v>
      </c>
      <c r="N428" s="96" t="b">
        <v>0</v>
      </c>
      <c r="O428" s="55" t="b">
        <v>0</v>
      </c>
      <c r="P428" s="55" t="b">
        <v>0</v>
      </c>
      <c r="Q428" s="55" t="b">
        <v>0</v>
      </c>
      <c r="R428" s="55" t="b">
        <v>0</v>
      </c>
      <c r="S428" s="55" t="b">
        <v>0</v>
      </c>
      <c r="T428" s="55" t="b">
        <v>0</v>
      </c>
      <c r="U428" s="55" t="b">
        <v>0</v>
      </c>
      <c r="V428" s="55" t="b">
        <v>0</v>
      </c>
    </row>
    <row r="429" ht="69" customHeight="1" s="211">
      <c r="A429" s="92">
        <f>Accounts!A429</f>
        <v/>
      </c>
      <c r="B429" s="12" t="b">
        <v>0</v>
      </c>
      <c r="C429" s="93">
        <f>Accounts!N429</f>
        <v/>
      </c>
      <c r="D429" s="94" t="n"/>
      <c r="E429" s="93">
        <f>Accounts!F429</f>
        <v/>
      </c>
      <c r="F429" s="94">
        <f>Accounts!Q429</f>
        <v/>
      </c>
      <c r="G429" s="94">
        <f>Accounts!R429</f>
        <v/>
      </c>
      <c r="H429" s="94">
        <f>Accounts!I429</f>
        <v/>
      </c>
      <c r="I429" s="94">
        <f>Accounts!J429</f>
        <v/>
      </c>
      <c r="J429" s="93">
        <f>Accounts!S429</f>
        <v/>
      </c>
      <c r="K429" s="88" t="n"/>
      <c r="L429" s="95" t="n"/>
      <c r="M429" s="55" t="b">
        <v>0</v>
      </c>
      <c r="N429" s="96" t="b">
        <v>0</v>
      </c>
      <c r="O429" s="55" t="b">
        <v>0</v>
      </c>
      <c r="P429" s="55" t="b">
        <v>0</v>
      </c>
      <c r="Q429" s="55" t="b">
        <v>0</v>
      </c>
      <c r="R429" s="55" t="b">
        <v>0</v>
      </c>
      <c r="S429" s="55" t="b">
        <v>0</v>
      </c>
      <c r="T429" s="55" t="b">
        <v>0</v>
      </c>
      <c r="U429" s="55" t="b">
        <v>0</v>
      </c>
      <c r="V429" s="55" t="b">
        <v>0</v>
      </c>
    </row>
    <row r="430" ht="69" customHeight="1" s="211">
      <c r="A430" s="92">
        <f>Accounts!A430</f>
        <v/>
      </c>
      <c r="B430" s="12" t="b">
        <v>0</v>
      </c>
      <c r="C430" s="93">
        <f>Accounts!N430</f>
        <v/>
      </c>
      <c r="D430" s="94" t="n"/>
      <c r="E430" s="93">
        <f>Accounts!F430</f>
        <v/>
      </c>
      <c r="F430" s="94">
        <f>Accounts!Q430</f>
        <v/>
      </c>
      <c r="G430" s="94">
        <f>Accounts!R430</f>
        <v/>
      </c>
      <c r="H430" s="94">
        <f>Accounts!I430</f>
        <v/>
      </c>
      <c r="I430" s="94">
        <f>Accounts!J430</f>
        <v/>
      </c>
      <c r="J430" s="93">
        <f>Accounts!S430</f>
        <v/>
      </c>
      <c r="K430" s="88" t="n"/>
      <c r="L430" s="95" t="n"/>
      <c r="M430" s="55" t="b">
        <v>0</v>
      </c>
      <c r="N430" s="96" t="b">
        <v>0</v>
      </c>
      <c r="O430" s="55" t="b">
        <v>0</v>
      </c>
      <c r="P430" s="55" t="b">
        <v>0</v>
      </c>
      <c r="Q430" s="55" t="b">
        <v>0</v>
      </c>
      <c r="R430" s="55" t="b">
        <v>0</v>
      </c>
      <c r="S430" s="55" t="b">
        <v>0</v>
      </c>
      <c r="T430" s="55" t="b">
        <v>0</v>
      </c>
      <c r="U430" s="55" t="b">
        <v>0</v>
      </c>
      <c r="V430" s="55" t="b">
        <v>0</v>
      </c>
    </row>
    <row r="431" ht="69" customHeight="1" s="211">
      <c r="A431" s="92">
        <f>Accounts!A431</f>
        <v/>
      </c>
      <c r="B431" s="12" t="b">
        <v>0</v>
      </c>
      <c r="C431" s="93">
        <f>Accounts!N431</f>
        <v/>
      </c>
      <c r="D431" s="94" t="n"/>
      <c r="E431" s="93">
        <f>Accounts!F431</f>
        <v/>
      </c>
      <c r="F431" s="94">
        <f>Accounts!Q431</f>
        <v/>
      </c>
      <c r="G431" s="94">
        <f>Accounts!R431</f>
        <v/>
      </c>
      <c r="H431" s="94">
        <f>Accounts!I431</f>
        <v/>
      </c>
      <c r="I431" s="94">
        <f>Accounts!J431</f>
        <v/>
      </c>
      <c r="J431" s="93">
        <f>Accounts!S431</f>
        <v/>
      </c>
      <c r="K431" s="88" t="n"/>
      <c r="L431" s="95" t="n"/>
      <c r="M431" s="55" t="b">
        <v>0</v>
      </c>
      <c r="N431" s="96" t="b">
        <v>0</v>
      </c>
      <c r="O431" s="55" t="b">
        <v>0</v>
      </c>
      <c r="P431" s="55" t="b">
        <v>0</v>
      </c>
      <c r="Q431" s="55" t="b">
        <v>0</v>
      </c>
      <c r="R431" s="55" t="b">
        <v>0</v>
      </c>
      <c r="S431" s="55" t="b">
        <v>0</v>
      </c>
      <c r="T431" s="55" t="b">
        <v>0</v>
      </c>
      <c r="U431" s="55" t="b">
        <v>0</v>
      </c>
      <c r="V431" s="55" t="b">
        <v>0</v>
      </c>
    </row>
    <row r="432" ht="69" customHeight="1" s="211">
      <c r="A432" s="92">
        <f>Accounts!A432</f>
        <v/>
      </c>
      <c r="B432" s="12" t="b">
        <v>0</v>
      </c>
      <c r="C432" s="93">
        <f>Accounts!N432</f>
        <v/>
      </c>
      <c r="D432" s="94" t="n"/>
      <c r="E432" s="93">
        <f>Accounts!F432</f>
        <v/>
      </c>
      <c r="F432" s="94">
        <f>Accounts!Q432</f>
        <v/>
      </c>
      <c r="G432" s="94">
        <f>Accounts!R432</f>
        <v/>
      </c>
      <c r="H432" s="94">
        <f>Accounts!I432</f>
        <v/>
      </c>
      <c r="I432" s="94">
        <f>Accounts!J432</f>
        <v/>
      </c>
      <c r="J432" s="93">
        <f>Accounts!S432</f>
        <v/>
      </c>
      <c r="K432" s="88" t="n"/>
      <c r="L432" s="95" t="n"/>
      <c r="M432" s="55" t="b">
        <v>0</v>
      </c>
      <c r="N432" s="96" t="b">
        <v>0</v>
      </c>
      <c r="O432" s="55" t="b">
        <v>0</v>
      </c>
      <c r="P432" s="55" t="b">
        <v>0</v>
      </c>
      <c r="Q432" s="55" t="b">
        <v>0</v>
      </c>
      <c r="R432" s="55" t="b">
        <v>0</v>
      </c>
      <c r="S432" s="55" t="b">
        <v>0</v>
      </c>
      <c r="T432" s="55" t="b">
        <v>0</v>
      </c>
      <c r="U432" s="55" t="b">
        <v>0</v>
      </c>
      <c r="V432" s="55" t="b">
        <v>0</v>
      </c>
    </row>
    <row r="433" ht="69" customHeight="1" s="211">
      <c r="A433" s="92">
        <f>Accounts!A433</f>
        <v/>
      </c>
      <c r="B433" s="12" t="b">
        <v>0</v>
      </c>
      <c r="C433" s="93">
        <f>Accounts!N433</f>
        <v/>
      </c>
      <c r="D433" s="94" t="n"/>
      <c r="E433" s="93">
        <f>Accounts!F433</f>
        <v/>
      </c>
      <c r="F433" s="94">
        <f>Accounts!Q433</f>
        <v/>
      </c>
      <c r="G433" s="94">
        <f>Accounts!R433</f>
        <v/>
      </c>
      <c r="H433" s="94">
        <f>Accounts!I433</f>
        <v/>
      </c>
      <c r="I433" s="94">
        <f>Accounts!J433</f>
        <v/>
      </c>
      <c r="J433" s="93">
        <f>Accounts!S433</f>
        <v/>
      </c>
      <c r="K433" s="88" t="n"/>
      <c r="L433" s="95" t="n"/>
      <c r="M433" s="55" t="b">
        <v>0</v>
      </c>
      <c r="N433" s="96" t="b">
        <v>0</v>
      </c>
      <c r="O433" s="55" t="b">
        <v>0</v>
      </c>
      <c r="P433" s="55" t="b">
        <v>0</v>
      </c>
      <c r="Q433" s="55" t="b">
        <v>0</v>
      </c>
      <c r="R433" s="55" t="b">
        <v>0</v>
      </c>
      <c r="S433" s="55" t="b">
        <v>0</v>
      </c>
      <c r="T433" s="55" t="b">
        <v>0</v>
      </c>
      <c r="U433" s="55" t="b">
        <v>0</v>
      </c>
      <c r="V433" s="55" t="b">
        <v>0</v>
      </c>
    </row>
    <row r="434" ht="69" customHeight="1" s="211">
      <c r="A434" s="92">
        <f>Accounts!A434</f>
        <v/>
      </c>
      <c r="B434" s="12" t="b">
        <v>0</v>
      </c>
      <c r="C434" s="93">
        <f>Accounts!N434</f>
        <v/>
      </c>
      <c r="D434" s="94" t="n"/>
      <c r="E434" s="93">
        <f>Accounts!F434</f>
        <v/>
      </c>
      <c r="F434" s="94">
        <f>Accounts!Q434</f>
        <v/>
      </c>
      <c r="G434" s="94">
        <f>Accounts!R434</f>
        <v/>
      </c>
      <c r="H434" s="94">
        <f>Accounts!I434</f>
        <v/>
      </c>
      <c r="I434" s="94">
        <f>Accounts!J434</f>
        <v/>
      </c>
      <c r="J434" s="93">
        <f>Accounts!S434</f>
        <v/>
      </c>
      <c r="K434" s="88" t="n"/>
      <c r="L434" s="95" t="n"/>
      <c r="M434" s="55" t="b">
        <v>0</v>
      </c>
      <c r="N434" s="96" t="b">
        <v>0</v>
      </c>
      <c r="O434" s="55" t="b">
        <v>0</v>
      </c>
      <c r="P434" s="55" t="b">
        <v>0</v>
      </c>
      <c r="Q434" s="55" t="b">
        <v>0</v>
      </c>
      <c r="R434" s="55" t="b">
        <v>0</v>
      </c>
      <c r="S434" s="55" t="b">
        <v>0</v>
      </c>
      <c r="T434" s="55" t="b">
        <v>0</v>
      </c>
      <c r="U434" s="55" t="b">
        <v>0</v>
      </c>
      <c r="V434" s="55" t="b">
        <v>0</v>
      </c>
    </row>
    <row r="435" ht="69" customHeight="1" s="211">
      <c r="A435" s="92">
        <f>Accounts!A435</f>
        <v/>
      </c>
      <c r="B435" s="12" t="b">
        <v>0</v>
      </c>
      <c r="C435" s="93">
        <f>Accounts!N435</f>
        <v/>
      </c>
      <c r="D435" s="94" t="n"/>
      <c r="E435" s="93">
        <f>Accounts!F435</f>
        <v/>
      </c>
      <c r="F435" s="94">
        <f>Accounts!Q435</f>
        <v/>
      </c>
      <c r="G435" s="94">
        <f>Accounts!R435</f>
        <v/>
      </c>
      <c r="H435" s="94">
        <f>Accounts!I435</f>
        <v/>
      </c>
      <c r="I435" s="94">
        <f>Accounts!J435</f>
        <v/>
      </c>
      <c r="J435" s="93">
        <f>Accounts!S435</f>
        <v/>
      </c>
      <c r="K435" s="88" t="n"/>
      <c r="L435" s="95" t="n"/>
      <c r="M435" s="55" t="b">
        <v>0</v>
      </c>
      <c r="N435" s="96" t="b">
        <v>0</v>
      </c>
      <c r="O435" s="55" t="b">
        <v>0</v>
      </c>
      <c r="P435" s="55" t="b">
        <v>0</v>
      </c>
      <c r="Q435" s="55" t="b">
        <v>0</v>
      </c>
      <c r="R435" s="55" t="b">
        <v>0</v>
      </c>
      <c r="S435" s="55" t="b">
        <v>0</v>
      </c>
      <c r="T435" s="55" t="b">
        <v>0</v>
      </c>
      <c r="U435" s="55" t="b">
        <v>0</v>
      </c>
      <c r="V435" s="55" t="b">
        <v>0</v>
      </c>
    </row>
    <row r="436" ht="69" customHeight="1" s="211">
      <c r="A436" s="92">
        <f>Accounts!A436</f>
        <v/>
      </c>
      <c r="B436" s="12" t="b">
        <v>0</v>
      </c>
      <c r="C436" s="93">
        <f>Accounts!N436</f>
        <v/>
      </c>
      <c r="D436" s="94" t="n"/>
      <c r="E436" s="93">
        <f>Accounts!F436</f>
        <v/>
      </c>
      <c r="F436" s="94">
        <f>Accounts!Q436</f>
        <v/>
      </c>
      <c r="G436" s="94">
        <f>Accounts!R436</f>
        <v/>
      </c>
      <c r="H436" s="94">
        <f>Accounts!I436</f>
        <v/>
      </c>
      <c r="I436" s="94">
        <f>Accounts!J436</f>
        <v/>
      </c>
      <c r="J436" s="93">
        <f>Accounts!S436</f>
        <v/>
      </c>
      <c r="K436" s="88" t="n"/>
      <c r="L436" s="95" t="n"/>
      <c r="M436" s="55" t="b">
        <v>0</v>
      </c>
      <c r="N436" s="96" t="b">
        <v>0</v>
      </c>
      <c r="O436" s="55" t="b">
        <v>0</v>
      </c>
      <c r="P436" s="55" t="b">
        <v>0</v>
      </c>
      <c r="Q436" s="55" t="b">
        <v>0</v>
      </c>
      <c r="R436" s="55" t="b">
        <v>0</v>
      </c>
      <c r="S436" s="55" t="b">
        <v>0</v>
      </c>
      <c r="T436" s="55" t="b">
        <v>0</v>
      </c>
      <c r="U436" s="55" t="b">
        <v>0</v>
      </c>
      <c r="V436" s="55" t="b">
        <v>0</v>
      </c>
    </row>
    <row r="437" ht="69" customHeight="1" s="211">
      <c r="A437" s="92">
        <f>Accounts!A437</f>
        <v/>
      </c>
      <c r="B437" s="12" t="b">
        <v>0</v>
      </c>
      <c r="C437" s="93">
        <f>Accounts!N437</f>
        <v/>
      </c>
      <c r="D437" s="94" t="n"/>
      <c r="E437" s="93">
        <f>Accounts!F437</f>
        <v/>
      </c>
      <c r="F437" s="94">
        <f>Accounts!Q437</f>
        <v/>
      </c>
      <c r="G437" s="94">
        <f>Accounts!R437</f>
        <v/>
      </c>
      <c r="H437" s="94">
        <f>Accounts!I437</f>
        <v/>
      </c>
      <c r="I437" s="94">
        <f>Accounts!J437</f>
        <v/>
      </c>
      <c r="J437" s="93">
        <f>Accounts!S437</f>
        <v/>
      </c>
      <c r="K437" s="88" t="n"/>
      <c r="L437" s="95" t="n"/>
      <c r="M437" s="55" t="b">
        <v>0</v>
      </c>
      <c r="N437" s="96" t="b">
        <v>0</v>
      </c>
      <c r="O437" s="55" t="b">
        <v>0</v>
      </c>
      <c r="P437" s="55" t="b">
        <v>0</v>
      </c>
      <c r="Q437" s="55" t="b">
        <v>0</v>
      </c>
      <c r="R437" s="55" t="b">
        <v>0</v>
      </c>
      <c r="S437" s="55" t="b">
        <v>0</v>
      </c>
      <c r="T437" s="55" t="b">
        <v>0</v>
      </c>
      <c r="U437" s="55" t="b">
        <v>0</v>
      </c>
      <c r="V437" s="55" t="b">
        <v>0</v>
      </c>
    </row>
    <row r="438" ht="69" customHeight="1" s="211">
      <c r="A438" s="92">
        <f>Accounts!A438</f>
        <v/>
      </c>
      <c r="B438" s="12" t="b">
        <v>0</v>
      </c>
      <c r="C438" s="93">
        <f>Accounts!N438</f>
        <v/>
      </c>
      <c r="D438" s="94" t="n"/>
      <c r="E438" s="93">
        <f>Accounts!F438</f>
        <v/>
      </c>
      <c r="F438" s="94">
        <f>Accounts!Q438</f>
        <v/>
      </c>
      <c r="G438" s="94">
        <f>Accounts!R438</f>
        <v/>
      </c>
      <c r="H438" s="94">
        <f>Accounts!I438</f>
        <v/>
      </c>
      <c r="I438" s="94">
        <f>Accounts!J438</f>
        <v/>
      </c>
      <c r="J438" s="93">
        <f>Accounts!S438</f>
        <v/>
      </c>
      <c r="K438" s="88" t="n"/>
      <c r="L438" s="95" t="n"/>
      <c r="M438" s="55" t="b">
        <v>0</v>
      </c>
      <c r="N438" s="96" t="b">
        <v>0</v>
      </c>
      <c r="O438" s="55" t="b">
        <v>0</v>
      </c>
      <c r="P438" s="55" t="b">
        <v>0</v>
      </c>
      <c r="Q438" s="55" t="b">
        <v>0</v>
      </c>
      <c r="R438" s="55" t="b">
        <v>0</v>
      </c>
      <c r="S438" s="55" t="b">
        <v>0</v>
      </c>
      <c r="T438" s="55" t="b">
        <v>0</v>
      </c>
      <c r="U438" s="55" t="b">
        <v>0</v>
      </c>
      <c r="V438" s="55" t="b">
        <v>0</v>
      </c>
    </row>
    <row r="439" ht="69" customHeight="1" s="211">
      <c r="A439" s="92">
        <f>Accounts!A439</f>
        <v/>
      </c>
      <c r="B439" s="12" t="b">
        <v>0</v>
      </c>
      <c r="C439" s="93">
        <f>Accounts!N439</f>
        <v/>
      </c>
      <c r="D439" s="94" t="n"/>
      <c r="E439" s="93">
        <f>Accounts!F439</f>
        <v/>
      </c>
      <c r="F439" s="94">
        <f>Accounts!Q439</f>
        <v/>
      </c>
      <c r="G439" s="94">
        <f>Accounts!R439</f>
        <v/>
      </c>
      <c r="H439" s="94">
        <f>Accounts!I439</f>
        <v/>
      </c>
      <c r="I439" s="94">
        <f>Accounts!J439</f>
        <v/>
      </c>
      <c r="J439" s="93">
        <f>Accounts!S439</f>
        <v/>
      </c>
      <c r="K439" s="88" t="n"/>
      <c r="L439" s="95" t="n"/>
      <c r="M439" s="55" t="b">
        <v>0</v>
      </c>
      <c r="N439" s="96" t="b">
        <v>0</v>
      </c>
      <c r="O439" s="55" t="b">
        <v>0</v>
      </c>
      <c r="P439" s="55" t="b">
        <v>0</v>
      </c>
      <c r="Q439" s="55" t="b">
        <v>0</v>
      </c>
      <c r="R439" s="55" t="b">
        <v>0</v>
      </c>
      <c r="S439" s="55" t="b">
        <v>0</v>
      </c>
      <c r="T439" s="55" t="b">
        <v>0</v>
      </c>
      <c r="U439" s="55" t="b">
        <v>0</v>
      </c>
      <c r="V439" s="55" t="b">
        <v>0</v>
      </c>
    </row>
    <row r="440" ht="69" customHeight="1" s="211">
      <c r="A440" s="92">
        <f>Accounts!A440</f>
        <v/>
      </c>
      <c r="B440" s="12" t="b">
        <v>0</v>
      </c>
      <c r="C440" s="93">
        <f>Accounts!N440</f>
        <v/>
      </c>
      <c r="D440" s="94" t="n"/>
      <c r="E440" s="93">
        <f>Accounts!F440</f>
        <v/>
      </c>
      <c r="F440" s="94">
        <f>Accounts!Q440</f>
        <v/>
      </c>
      <c r="G440" s="94">
        <f>Accounts!R440</f>
        <v/>
      </c>
      <c r="H440" s="94">
        <f>Accounts!I440</f>
        <v/>
      </c>
      <c r="I440" s="94">
        <f>Accounts!J440</f>
        <v/>
      </c>
      <c r="J440" s="93">
        <f>Accounts!S440</f>
        <v/>
      </c>
      <c r="K440" s="88" t="n"/>
      <c r="L440" s="95" t="n"/>
      <c r="M440" s="55" t="b">
        <v>0</v>
      </c>
      <c r="N440" s="96" t="b">
        <v>0</v>
      </c>
      <c r="O440" s="55" t="b">
        <v>0</v>
      </c>
      <c r="P440" s="55" t="b">
        <v>0</v>
      </c>
      <c r="Q440" s="55" t="b">
        <v>0</v>
      </c>
      <c r="R440" s="55" t="b">
        <v>0</v>
      </c>
      <c r="S440" s="55" t="b">
        <v>0</v>
      </c>
      <c r="T440" s="55" t="b">
        <v>0</v>
      </c>
      <c r="U440" s="55" t="b">
        <v>0</v>
      </c>
      <c r="V440" s="55" t="b">
        <v>0</v>
      </c>
    </row>
    <row r="441" ht="69" customHeight="1" s="211">
      <c r="A441" s="92">
        <f>Accounts!A441</f>
        <v/>
      </c>
      <c r="B441" s="12" t="b">
        <v>0</v>
      </c>
      <c r="C441" s="93">
        <f>Accounts!N441</f>
        <v/>
      </c>
      <c r="D441" s="94" t="n"/>
      <c r="E441" s="93">
        <f>Accounts!F441</f>
        <v/>
      </c>
      <c r="F441" s="94">
        <f>Accounts!Q441</f>
        <v/>
      </c>
      <c r="G441" s="94">
        <f>Accounts!R441</f>
        <v/>
      </c>
      <c r="H441" s="94">
        <f>Accounts!I441</f>
        <v/>
      </c>
      <c r="I441" s="94">
        <f>Accounts!J441</f>
        <v/>
      </c>
      <c r="J441" s="93">
        <f>Accounts!S441</f>
        <v/>
      </c>
      <c r="K441" s="88" t="n"/>
      <c r="L441" s="95" t="n"/>
      <c r="M441" s="55" t="b">
        <v>0</v>
      </c>
      <c r="N441" s="96" t="b">
        <v>0</v>
      </c>
      <c r="O441" s="55" t="b">
        <v>0</v>
      </c>
      <c r="P441" s="55" t="b">
        <v>0</v>
      </c>
      <c r="Q441" s="55" t="b">
        <v>0</v>
      </c>
      <c r="R441" s="55" t="b">
        <v>0</v>
      </c>
      <c r="S441" s="55" t="b">
        <v>0</v>
      </c>
      <c r="T441" s="55" t="b">
        <v>0</v>
      </c>
      <c r="U441" s="55" t="b">
        <v>0</v>
      </c>
      <c r="V441" s="55" t="b">
        <v>0</v>
      </c>
    </row>
    <row r="442" ht="69" customHeight="1" s="211">
      <c r="A442" s="92">
        <f>Accounts!A442</f>
        <v/>
      </c>
      <c r="B442" s="12" t="b">
        <v>0</v>
      </c>
      <c r="C442" s="93">
        <f>Accounts!N442</f>
        <v/>
      </c>
      <c r="D442" s="94" t="n"/>
      <c r="E442" s="93">
        <f>Accounts!F442</f>
        <v/>
      </c>
      <c r="F442" s="94">
        <f>Accounts!Q442</f>
        <v/>
      </c>
      <c r="G442" s="94">
        <f>Accounts!R442</f>
        <v/>
      </c>
      <c r="H442" s="94">
        <f>Accounts!I442</f>
        <v/>
      </c>
      <c r="I442" s="94">
        <f>Accounts!J442</f>
        <v/>
      </c>
      <c r="J442" s="93">
        <f>Accounts!S442</f>
        <v/>
      </c>
      <c r="K442" s="88" t="n"/>
      <c r="L442" s="95" t="n"/>
      <c r="M442" s="55" t="b">
        <v>0</v>
      </c>
      <c r="N442" s="96" t="b">
        <v>0</v>
      </c>
      <c r="O442" s="55" t="b">
        <v>0</v>
      </c>
      <c r="P442" s="55" t="b">
        <v>0</v>
      </c>
      <c r="Q442" s="55" t="b">
        <v>0</v>
      </c>
      <c r="R442" s="55" t="b">
        <v>0</v>
      </c>
      <c r="S442" s="55" t="b">
        <v>0</v>
      </c>
      <c r="T442" s="55" t="b">
        <v>0</v>
      </c>
      <c r="U442" s="55" t="b">
        <v>0</v>
      </c>
      <c r="V442" s="55" t="b">
        <v>0</v>
      </c>
    </row>
    <row r="443" ht="69" customHeight="1" s="211">
      <c r="A443" s="92">
        <f>Accounts!A443</f>
        <v/>
      </c>
      <c r="B443" s="12" t="b">
        <v>0</v>
      </c>
      <c r="C443" s="93">
        <f>Accounts!N443</f>
        <v/>
      </c>
      <c r="D443" s="94" t="n"/>
      <c r="E443" s="93">
        <f>Accounts!F443</f>
        <v/>
      </c>
      <c r="F443" s="94">
        <f>Accounts!Q443</f>
        <v/>
      </c>
      <c r="G443" s="94">
        <f>Accounts!R443</f>
        <v/>
      </c>
      <c r="H443" s="94">
        <f>Accounts!I443</f>
        <v/>
      </c>
      <c r="I443" s="94">
        <f>Accounts!J443</f>
        <v/>
      </c>
      <c r="J443" s="93">
        <f>Accounts!S443</f>
        <v/>
      </c>
      <c r="K443" s="88" t="n"/>
      <c r="L443" s="95" t="n"/>
      <c r="M443" s="55" t="b">
        <v>0</v>
      </c>
      <c r="N443" s="96" t="b">
        <v>0</v>
      </c>
      <c r="O443" s="55" t="b">
        <v>0</v>
      </c>
      <c r="P443" s="55" t="b">
        <v>0</v>
      </c>
      <c r="Q443" s="55" t="b">
        <v>0</v>
      </c>
      <c r="R443" s="55" t="b">
        <v>0</v>
      </c>
      <c r="S443" s="55" t="b">
        <v>0</v>
      </c>
      <c r="T443" s="55" t="b">
        <v>0</v>
      </c>
      <c r="U443" s="55" t="b">
        <v>0</v>
      </c>
      <c r="V443" s="55" t="b">
        <v>0</v>
      </c>
    </row>
    <row r="444" ht="69" customHeight="1" s="211">
      <c r="A444" s="92">
        <f>Accounts!A444</f>
        <v/>
      </c>
      <c r="B444" s="12" t="b">
        <v>0</v>
      </c>
      <c r="C444" s="93">
        <f>Accounts!N444</f>
        <v/>
      </c>
      <c r="D444" s="94" t="n"/>
      <c r="E444" s="93">
        <f>Accounts!F444</f>
        <v/>
      </c>
      <c r="F444" s="94">
        <f>Accounts!Q444</f>
        <v/>
      </c>
      <c r="G444" s="94">
        <f>Accounts!R444</f>
        <v/>
      </c>
      <c r="H444" s="94">
        <f>Accounts!I444</f>
        <v/>
      </c>
      <c r="I444" s="94">
        <f>Accounts!J444</f>
        <v/>
      </c>
      <c r="J444" s="93">
        <f>Accounts!S444</f>
        <v/>
      </c>
      <c r="K444" s="88" t="n"/>
      <c r="L444" s="95" t="n"/>
      <c r="M444" s="55" t="b">
        <v>0</v>
      </c>
      <c r="N444" s="96" t="b">
        <v>0</v>
      </c>
      <c r="O444" s="55" t="b">
        <v>0</v>
      </c>
      <c r="P444" s="55" t="b">
        <v>0</v>
      </c>
      <c r="Q444" s="55" t="b">
        <v>0</v>
      </c>
      <c r="R444" s="55" t="b">
        <v>0</v>
      </c>
      <c r="S444" s="55" t="b">
        <v>0</v>
      </c>
      <c r="T444" s="55" t="b">
        <v>0</v>
      </c>
      <c r="U444" s="55" t="b">
        <v>0</v>
      </c>
      <c r="V444" s="55" t="b">
        <v>0</v>
      </c>
    </row>
    <row r="445" ht="69" customHeight="1" s="211">
      <c r="A445" s="92">
        <f>Accounts!A445</f>
        <v/>
      </c>
      <c r="B445" s="12" t="b">
        <v>0</v>
      </c>
      <c r="C445" s="93">
        <f>Accounts!N445</f>
        <v/>
      </c>
      <c r="D445" s="94" t="n"/>
      <c r="E445" s="93">
        <f>Accounts!F445</f>
        <v/>
      </c>
      <c r="F445" s="94">
        <f>Accounts!Q445</f>
        <v/>
      </c>
      <c r="G445" s="94">
        <f>Accounts!R445</f>
        <v/>
      </c>
      <c r="H445" s="94">
        <f>Accounts!I445</f>
        <v/>
      </c>
      <c r="I445" s="94">
        <f>Accounts!J445</f>
        <v/>
      </c>
      <c r="J445" s="93">
        <f>Accounts!S445</f>
        <v/>
      </c>
      <c r="K445" s="88" t="n"/>
      <c r="L445" s="95" t="n"/>
      <c r="M445" s="55" t="b">
        <v>0</v>
      </c>
      <c r="N445" s="96" t="b">
        <v>0</v>
      </c>
      <c r="O445" s="55" t="b">
        <v>0</v>
      </c>
      <c r="P445" s="55" t="b">
        <v>0</v>
      </c>
      <c r="Q445" s="55" t="b">
        <v>0</v>
      </c>
      <c r="R445" s="55" t="b">
        <v>0</v>
      </c>
      <c r="S445" s="55" t="b">
        <v>0</v>
      </c>
      <c r="T445" s="55" t="b">
        <v>0</v>
      </c>
      <c r="U445" s="55" t="b">
        <v>0</v>
      </c>
      <c r="V445" s="55" t="b">
        <v>0</v>
      </c>
    </row>
    <row r="446" ht="69" customHeight="1" s="211">
      <c r="A446" s="92">
        <f>Accounts!A446</f>
        <v/>
      </c>
      <c r="B446" s="12" t="b">
        <v>0</v>
      </c>
      <c r="C446" s="93">
        <f>Accounts!N446</f>
        <v/>
      </c>
      <c r="D446" s="94" t="n"/>
      <c r="E446" s="93">
        <f>Accounts!F446</f>
        <v/>
      </c>
      <c r="F446" s="94">
        <f>Accounts!Q446</f>
        <v/>
      </c>
      <c r="G446" s="94">
        <f>Accounts!R446</f>
        <v/>
      </c>
      <c r="H446" s="94">
        <f>Accounts!I446</f>
        <v/>
      </c>
      <c r="I446" s="94">
        <f>Accounts!J446</f>
        <v/>
      </c>
      <c r="J446" s="93">
        <f>Accounts!S446</f>
        <v/>
      </c>
      <c r="K446" s="88" t="n"/>
      <c r="L446" s="95" t="n"/>
      <c r="M446" s="55" t="b">
        <v>0</v>
      </c>
      <c r="N446" s="96" t="b">
        <v>0</v>
      </c>
      <c r="O446" s="55" t="b">
        <v>0</v>
      </c>
      <c r="P446" s="55" t="b">
        <v>0</v>
      </c>
      <c r="Q446" s="55" t="b">
        <v>0</v>
      </c>
      <c r="R446" s="55" t="b">
        <v>0</v>
      </c>
      <c r="S446" s="55" t="b">
        <v>0</v>
      </c>
      <c r="T446" s="55" t="b">
        <v>0</v>
      </c>
      <c r="U446" s="55" t="b">
        <v>0</v>
      </c>
      <c r="V446" s="55" t="b">
        <v>0</v>
      </c>
    </row>
    <row r="447" ht="69" customHeight="1" s="211">
      <c r="A447" s="92">
        <f>Accounts!A447</f>
        <v/>
      </c>
      <c r="B447" s="12" t="b">
        <v>0</v>
      </c>
      <c r="C447" s="93">
        <f>Accounts!N447</f>
        <v/>
      </c>
      <c r="D447" s="94" t="n"/>
      <c r="E447" s="93">
        <f>Accounts!F447</f>
        <v/>
      </c>
      <c r="F447" s="94">
        <f>Accounts!Q447</f>
        <v/>
      </c>
      <c r="G447" s="94">
        <f>Accounts!R447</f>
        <v/>
      </c>
      <c r="H447" s="94">
        <f>Accounts!I447</f>
        <v/>
      </c>
      <c r="I447" s="94">
        <f>Accounts!J447</f>
        <v/>
      </c>
      <c r="J447" s="93">
        <f>Accounts!S447</f>
        <v/>
      </c>
      <c r="K447" s="88" t="n"/>
      <c r="L447" s="95" t="n"/>
      <c r="M447" s="55" t="b">
        <v>0</v>
      </c>
      <c r="N447" s="96" t="b">
        <v>0</v>
      </c>
      <c r="O447" s="55" t="b">
        <v>0</v>
      </c>
      <c r="P447" s="55" t="b">
        <v>0</v>
      </c>
      <c r="Q447" s="55" t="b">
        <v>0</v>
      </c>
      <c r="R447" s="55" t="b">
        <v>0</v>
      </c>
      <c r="S447" s="55" t="b">
        <v>0</v>
      </c>
      <c r="T447" s="55" t="b">
        <v>0</v>
      </c>
      <c r="U447" s="55" t="b">
        <v>0</v>
      </c>
      <c r="V447" s="55" t="b">
        <v>0</v>
      </c>
    </row>
    <row r="448" ht="69" customHeight="1" s="211">
      <c r="A448" s="92">
        <f>Accounts!A448</f>
        <v/>
      </c>
      <c r="B448" s="12" t="b">
        <v>0</v>
      </c>
      <c r="C448" s="93">
        <f>Accounts!N448</f>
        <v/>
      </c>
      <c r="D448" s="94" t="n"/>
      <c r="E448" s="93">
        <f>Accounts!F448</f>
        <v/>
      </c>
      <c r="F448" s="94">
        <f>Accounts!Q448</f>
        <v/>
      </c>
      <c r="G448" s="94">
        <f>Accounts!R448</f>
        <v/>
      </c>
      <c r="H448" s="94">
        <f>Accounts!I448</f>
        <v/>
      </c>
      <c r="I448" s="94">
        <f>Accounts!J448</f>
        <v/>
      </c>
      <c r="J448" s="93">
        <f>Accounts!S448</f>
        <v/>
      </c>
      <c r="K448" s="88" t="n"/>
      <c r="L448" s="95" t="n"/>
      <c r="M448" s="55" t="b">
        <v>0</v>
      </c>
      <c r="N448" s="96" t="b">
        <v>0</v>
      </c>
      <c r="O448" s="55" t="b">
        <v>0</v>
      </c>
      <c r="P448" s="55" t="b">
        <v>0</v>
      </c>
      <c r="Q448" s="55" t="b">
        <v>0</v>
      </c>
      <c r="R448" s="55" t="b">
        <v>0</v>
      </c>
      <c r="S448" s="55" t="b">
        <v>0</v>
      </c>
      <c r="T448" s="55" t="b">
        <v>0</v>
      </c>
      <c r="U448" s="55" t="b">
        <v>0</v>
      </c>
      <c r="V448" s="55" t="b">
        <v>0</v>
      </c>
    </row>
    <row r="449" ht="69" customHeight="1" s="211">
      <c r="A449" s="92">
        <f>Accounts!A449</f>
        <v/>
      </c>
      <c r="B449" s="12" t="b">
        <v>0</v>
      </c>
      <c r="C449" s="93">
        <f>Accounts!N449</f>
        <v/>
      </c>
      <c r="D449" s="94" t="n"/>
      <c r="E449" s="93">
        <f>Accounts!F449</f>
        <v/>
      </c>
      <c r="F449" s="94">
        <f>Accounts!Q449</f>
        <v/>
      </c>
      <c r="G449" s="94">
        <f>Accounts!R449</f>
        <v/>
      </c>
      <c r="H449" s="94">
        <f>Accounts!I449</f>
        <v/>
      </c>
      <c r="I449" s="94">
        <f>Accounts!J449</f>
        <v/>
      </c>
      <c r="J449" s="93">
        <f>Accounts!S449</f>
        <v/>
      </c>
      <c r="K449" s="88" t="n"/>
      <c r="L449" s="95" t="n"/>
      <c r="M449" s="55" t="b">
        <v>0</v>
      </c>
      <c r="N449" s="96" t="b">
        <v>0</v>
      </c>
      <c r="O449" s="55" t="b">
        <v>0</v>
      </c>
      <c r="P449" s="55" t="b">
        <v>0</v>
      </c>
      <c r="Q449" s="55" t="b">
        <v>0</v>
      </c>
      <c r="R449" s="55" t="b">
        <v>0</v>
      </c>
      <c r="S449" s="55" t="b">
        <v>0</v>
      </c>
      <c r="T449" s="55" t="b">
        <v>0</v>
      </c>
      <c r="U449" s="55" t="b">
        <v>0</v>
      </c>
      <c r="V449" s="55" t="b">
        <v>0</v>
      </c>
    </row>
    <row r="450" ht="69" customHeight="1" s="211">
      <c r="A450" s="92">
        <f>Accounts!A450</f>
        <v/>
      </c>
      <c r="B450" s="12" t="b">
        <v>0</v>
      </c>
      <c r="C450" s="93">
        <f>Accounts!N450</f>
        <v/>
      </c>
      <c r="D450" s="94" t="n"/>
      <c r="E450" s="93">
        <f>Accounts!F450</f>
        <v/>
      </c>
      <c r="F450" s="94">
        <f>Accounts!Q450</f>
        <v/>
      </c>
      <c r="G450" s="94">
        <f>Accounts!R450</f>
        <v/>
      </c>
      <c r="H450" s="94">
        <f>Accounts!I450</f>
        <v/>
      </c>
      <c r="I450" s="94">
        <f>Accounts!J450</f>
        <v/>
      </c>
      <c r="J450" s="93">
        <f>Accounts!S450</f>
        <v/>
      </c>
      <c r="K450" s="88" t="n"/>
      <c r="L450" s="95" t="n"/>
      <c r="M450" s="55" t="b">
        <v>0</v>
      </c>
      <c r="N450" s="96" t="b">
        <v>0</v>
      </c>
      <c r="O450" s="55" t="b">
        <v>0</v>
      </c>
      <c r="P450" s="55" t="b">
        <v>0</v>
      </c>
      <c r="Q450" s="55" t="b">
        <v>0</v>
      </c>
      <c r="R450" s="55" t="b">
        <v>0</v>
      </c>
      <c r="S450" s="55" t="b">
        <v>0</v>
      </c>
      <c r="T450" s="55" t="b">
        <v>0</v>
      </c>
      <c r="U450" s="55" t="b">
        <v>0</v>
      </c>
      <c r="V450" s="55" t="b">
        <v>0</v>
      </c>
    </row>
    <row r="451" ht="69" customHeight="1" s="211">
      <c r="A451" s="92">
        <f>Accounts!A451</f>
        <v/>
      </c>
      <c r="B451" s="12" t="b">
        <v>0</v>
      </c>
      <c r="C451" s="93">
        <f>Accounts!N451</f>
        <v/>
      </c>
      <c r="D451" s="94" t="n"/>
      <c r="E451" s="93">
        <f>Accounts!F451</f>
        <v/>
      </c>
      <c r="F451" s="94">
        <f>Accounts!Q451</f>
        <v/>
      </c>
      <c r="G451" s="94">
        <f>Accounts!R451</f>
        <v/>
      </c>
      <c r="H451" s="94">
        <f>Accounts!I451</f>
        <v/>
      </c>
      <c r="I451" s="94">
        <f>Accounts!J451</f>
        <v/>
      </c>
      <c r="J451" s="93">
        <f>Accounts!S451</f>
        <v/>
      </c>
      <c r="K451" s="88" t="n"/>
      <c r="L451" s="95" t="n"/>
      <c r="M451" s="55" t="b">
        <v>0</v>
      </c>
      <c r="N451" s="96" t="b">
        <v>0</v>
      </c>
      <c r="O451" s="55" t="b">
        <v>0</v>
      </c>
      <c r="P451" s="55" t="b">
        <v>0</v>
      </c>
      <c r="Q451" s="55" t="b">
        <v>0</v>
      </c>
      <c r="R451" s="55" t="b">
        <v>0</v>
      </c>
      <c r="S451" s="55" t="b">
        <v>0</v>
      </c>
      <c r="T451" s="55" t="b">
        <v>0</v>
      </c>
      <c r="U451" s="55" t="b">
        <v>0</v>
      </c>
      <c r="V451" s="55" t="b">
        <v>0</v>
      </c>
    </row>
    <row r="452" ht="69" customHeight="1" s="211">
      <c r="A452" s="92">
        <f>Accounts!A452</f>
        <v/>
      </c>
      <c r="B452" s="12" t="b">
        <v>0</v>
      </c>
      <c r="C452" s="93">
        <f>Accounts!N452</f>
        <v/>
      </c>
      <c r="D452" s="94" t="n"/>
      <c r="E452" s="93">
        <f>Accounts!F452</f>
        <v/>
      </c>
      <c r="F452" s="94">
        <f>Accounts!Q452</f>
        <v/>
      </c>
      <c r="G452" s="94">
        <f>Accounts!R452</f>
        <v/>
      </c>
      <c r="H452" s="94">
        <f>Accounts!I452</f>
        <v/>
      </c>
      <c r="I452" s="94">
        <f>Accounts!J452</f>
        <v/>
      </c>
      <c r="J452" s="93">
        <f>Accounts!S452</f>
        <v/>
      </c>
      <c r="K452" s="88" t="n"/>
      <c r="L452" s="95" t="n"/>
      <c r="M452" s="55" t="b">
        <v>0</v>
      </c>
      <c r="N452" s="96" t="b">
        <v>0</v>
      </c>
      <c r="O452" s="55" t="b">
        <v>0</v>
      </c>
      <c r="P452" s="55" t="b">
        <v>0</v>
      </c>
      <c r="Q452" s="55" t="b">
        <v>0</v>
      </c>
      <c r="R452" s="55" t="b">
        <v>0</v>
      </c>
      <c r="S452" s="55" t="b">
        <v>0</v>
      </c>
      <c r="T452" s="55" t="b">
        <v>0</v>
      </c>
      <c r="U452" s="55" t="b">
        <v>0</v>
      </c>
      <c r="V452" s="55" t="b">
        <v>0</v>
      </c>
    </row>
    <row r="453" ht="69" customHeight="1" s="211">
      <c r="A453" s="92">
        <f>Accounts!A453</f>
        <v/>
      </c>
      <c r="B453" s="12" t="b">
        <v>0</v>
      </c>
      <c r="C453" s="93">
        <f>Accounts!N453</f>
        <v/>
      </c>
      <c r="D453" s="94" t="n"/>
      <c r="E453" s="93">
        <f>Accounts!F453</f>
        <v/>
      </c>
      <c r="F453" s="94">
        <f>Accounts!Q453</f>
        <v/>
      </c>
      <c r="G453" s="94">
        <f>Accounts!R453</f>
        <v/>
      </c>
      <c r="H453" s="94">
        <f>Accounts!I453</f>
        <v/>
      </c>
      <c r="I453" s="94">
        <f>Accounts!J453</f>
        <v/>
      </c>
      <c r="J453" s="93">
        <f>Accounts!S453</f>
        <v/>
      </c>
      <c r="K453" s="88" t="n"/>
      <c r="L453" s="95" t="n"/>
      <c r="M453" s="55" t="b">
        <v>0</v>
      </c>
      <c r="N453" s="96" t="b">
        <v>0</v>
      </c>
      <c r="O453" s="55" t="b">
        <v>0</v>
      </c>
      <c r="P453" s="55" t="b">
        <v>0</v>
      </c>
      <c r="Q453" s="55" t="b">
        <v>0</v>
      </c>
      <c r="R453" s="55" t="b">
        <v>0</v>
      </c>
      <c r="S453" s="55" t="b">
        <v>0</v>
      </c>
      <c r="T453" s="55" t="b">
        <v>0</v>
      </c>
      <c r="U453" s="55" t="b">
        <v>0</v>
      </c>
      <c r="V453" s="55" t="b">
        <v>0</v>
      </c>
    </row>
    <row r="454" ht="69" customHeight="1" s="211">
      <c r="A454" s="92">
        <f>Accounts!A454</f>
        <v/>
      </c>
      <c r="B454" s="12" t="b">
        <v>0</v>
      </c>
      <c r="C454" s="93">
        <f>Accounts!N454</f>
        <v/>
      </c>
      <c r="D454" s="94" t="n"/>
      <c r="E454" s="93">
        <f>Accounts!F454</f>
        <v/>
      </c>
      <c r="F454" s="94">
        <f>Accounts!Q454</f>
        <v/>
      </c>
      <c r="G454" s="94">
        <f>Accounts!R454</f>
        <v/>
      </c>
      <c r="H454" s="94">
        <f>Accounts!I454</f>
        <v/>
      </c>
      <c r="I454" s="94">
        <f>Accounts!J454</f>
        <v/>
      </c>
      <c r="J454" s="93">
        <f>Accounts!S454</f>
        <v/>
      </c>
      <c r="K454" s="88" t="n"/>
      <c r="L454" s="95" t="n"/>
      <c r="M454" s="55" t="b">
        <v>0</v>
      </c>
      <c r="N454" s="96" t="b">
        <v>0</v>
      </c>
      <c r="O454" s="55" t="b">
        <v>0</v>
      </c>
      <c r="P454" s="55" t="b">
        <v>0</v>
      </c>
      <c r="Q454" s="55" t="b">
        <v>0</v>
      </c>
      <c r="R454" s="55" t="b">
        <v>0</v>
      </c>
      <c r="S454" s="55" t="b">
        <v>0</v>
      </c>
      <c r="T454" s="55" t="b">
        <v>0</v>
      </c>
      <c r="U454" s="55" t="b">
        <v>0</v>
      </c>
      <c r="V454" s="55" t="b">
        <v>0</v>
      </c>
    </row>
    <row r="455" ht="69" customHeight="1" s="211">
      <c r="A455" s="92">
        <f>Accounts!A455</f>
        <v/>
      </c>
      <c r="B455" s="12" t="b">
        <v>0</v>
      </c>
      <c r="C455" s="93">
        <f>Accounts!N455</f>
        <v/>
      </c>
      <c r="D455" s="94" t="n"/>
      <c r="E455" s="93">
        <f>Accounts!F455</f>
        <v/>
      </c>
      <c r="F455" s="94">
        <f>Accounts!Q455</f>
        <v/>
      </c>
      <c r="G455" s="94">
        <f>Accounts!R455</f>
        <v/>
      </c>
      <c r="H455" s="94">
        <f>Accounts!I455</f>
        <v/>
      </c>
      <c r="I455" s="94">
        <f>Accounts!J455</f>
        <v/>
      </c>
      <c r="J455" s="93">
        <f>Accounts!S455</f>
        <v/>
      </c>
      <c r="K455" s="88" t="n"/>
      <c r="L455" s="95" t="n"/>
      <c r="M455" s="55" t="b">
        <v>0</v>
      </c>
      <c r="N455" s="96" t="b">
        <v>0</v>
      </c>
      <c r="O455" s="55" t="b">
        <v>0</v>
      </c>
      <c r="P455" s="55" t="b">
        <v>0</v>
      </c>
      <c r="Q455" s="55" t="b">
        <v>0</v>
      </c>
      <c r="R455" s="55" t="b">
        <v>0</v>
      </c>
      <c r="S455" s="55" t="b">
        <v>0</v>
      </c>
      <c r="T455" s="55" t="b">
        <v>0</v>
      </c>
      <c r="U455" s="55" t="b">
        <v>0</v>
      </c>
      <c r="V455" s="55" t="b">
        <v>0</v>
      </c>
    </row>
    <row r="456" ht="69" customHeight="1" s="211">
      <c r="A456" s="92">
        <f>Accounts!A456</f>
        <v/>
      </c>
      <c r="B456" s="12" t="b">
        <v>0</v>
      </c>
      <c r="C456" s="93">
        <f>Accounts!N456</f>
        <v/>
      </c>
      <c r="D456" s="94" t="n"/>
      <c r="E456" s="93">
        <f>Accounts!F456</f>
        <v/>
      </c>
      <c r="F456" s="94">
        <f>Accounts!Q456</f>
        <v/>
      </c>
      <c r="G456" s="94">
        <f>Accounts!R456</f>
        <v/>
      </c>
      <c r="H456" s="94">
        <f>Accounts!I456</f>
        <v/>
      </c>
      <c r="I456" s="94">
        <f>Accounts!J456</f>
        <v/>
      </c>
      <c r="J456" s="93">
        <f>Accounts!S456</f>
        <v/>
      </c>
      <c r="K456" s="88" t="n"/>
      <c r="L456" s="95" t="n"/>
      <c r="M456" s="55" t="b">
        <v>0</v>
      </c>
      <c r="N456" s="96" t="b">
        <v>0</v>
      </c>
      <c r="O456" s="55" t="b">
        <v>0</v>
      </c>
      <c r="P456" s="55" t="b">
        <v>0</v>
      </c>
      <c r="Q456" s="55" t="b">
        <v>0</v>
      </c>
      <c r="R456" s="55" t="b">
        <v>0</v>
      </c>
      <c r="S456" s="55" t="b">
        <v>0</v>
      </c>
      <c r="T456" s="55" t="b">
        <v>0</v>
      </c>
      <c r="U456" s="55" t="b">
        <v>0</v>
      </c>
      <c r="V456" s="55" t="b">
        <v>0</v>
      </c>
    </row>
    <row r="457" ht="69" customHeight="1" s="211">
      <c r="A457" s="92">
        <f>Accounts!A457</f>
        <v/>
      </c>
      <c r="B457" s="12" t="b">
        <v>0</v>
      </c>
      <c r="C457" s="93">
        <f>Accounts!N457</f>
        <v/>
      </c>
      <c r="D457" s="94" t="n"/>
      <c r="E457" s="93">
        <f>Accounts!F457</f>
        <v/>
      </c>
      <c r="F457" s="94">
        <f>Accounts!Q457</f>
        <v/>
      </c>
      <c r="G457" s="94">
        <f>Accounts!R457</f>
        <v/>
      </c>
      <c r="H457" s="94">
        <f>Accounts!I457</f>
        <v/>
      </c>
      <c r="I457" s="94">
        <f>Accounts!J457</f>
        <v/>
      </c>
      <c r="J457" s="93">
        <f>Accounts!S457</f>
        <v/>
      </c>
      <c r="K457" s="88" t="n"/>
      <c r="L457" s="95" t="n"/>
      <c r="M457" s="55" t="b">
        <v>0</v>
      </c>
      <c r="N457" s="96" t="b">
        <v>0</v>
      </c>
      <c r="O457" s="55" t="b">
        <v>0</v>
      </c>
      <c r="P457" s="55" t="b">
        <v>0</v>
      </c>
      <c r="Q457" s="55" t="b">
        <v>0</v>
      </c>
      <c r="R457" s="55" t="b">
        <v>0</v>
      </c>
      <c r="S457" s="55" t="b">
        <v>0</v>
      </c>
      <c r="T457" s="55" t="b">
        <v>0</v>
      </c>
      <c r="U457" s="55" t="b">
        <v>0</v>
      </c>
      <c r="V457" s="55" t="b">
        <v>0</v>
      </c>
    </row>
    <row r="458" ht="69" customHeight="1" s="211">
      <c r="A458" s="92">
        <f>Accounts!A458</f>
        <v/>
      </c>
      <c r="B458" s="12" t="b">
        <v>0</v>
      </c>
      <c r="C458" s="93">
        <f>Accounts!N458</f>
        <v/>
      </c>
      <c r="D458" s="94" t="n"/>
      <c r="E458" s="93">
        <f>Accounts!F458</f>
        <v/>
      </c>
      <c r="F458" s="94">
        <f>Accounts!Q458</f>
        <v/>
      </c>
      <c r="G458" s="94">
        <f>Accounts!R458</f>
        <v/>
      </c>
      <c r="H458" s="94">
        <f>Accounts!I458</f>
        <v/>
      </c>
      <c r="I458" s="94">
        <f>Accounts!J458</f>
        <v/>
      </c>
      <c r="J458" s="93">
        <f>Accounts!S458</f>
        <v/>
      </c>
      <c r="K458" s="88" t="n"/>
      <c r="L458" s="95" t="n"/>
      <c r="M458" s="55" t="b">
        <v>0</v>
      </c>
      <c r="N458" s="96" t="b">
        <v>0</v>
      </c>
      <c r="O458" s="55" t="b">
        <v>0</v>
      </c>
      <c r="P458" s="55" t="b">
        <v>0</v>
      </c>
      <c r="Q458" s="55" t="b">
        <v>0</v>
      </c>
      <c r="R458" s="55" t="b">
        <v>0</v>
      </c>
      <c r="S458" s="55" t="b">
        <v>0</v>
      </c>
      <c r="T458" s="55" t="b">
        <v>0</v>
      </c>
      <c r="U458" s="55" t="b">
        <v>0</v>
      </c>
      <c r="V458" s="55" t="b">
        <v>0</v>
      </c>
    </row>
    <row r="459" ht="69" customHeight="1" s="211">
      <c r="A459" s="92">
        <f>Accounts!A459</f>
        <v/>
      </c>
      <c r="B459" s="12" t="b">
        <v>0</v>
      </c>
      <c r="C459" s="93">
        <f>Accounts!N459</f>
        <v/>
      </c>
      <c r="D459" s="94" t="n"/>
      <c r="E459" s="93">
        <f>Accounts!F459</f>
        <v/>
      </c>
      <c r="F459" s="94">
        <f>Accounts!Q459</f>
        <v/>
      </c>
      <c r="G459" s="94">
        <f>Accounts!R459</f>
        <v/>
      </c>
      <c r="H459" s="94">
        <f>Accounts!I459</f>
        <v/>
      </c>
      <c r="I459" s="94">
        <f>Accounts!J459</f>
        <v/>
      </c>
      <c r="J459" s="93">
        <f>Accounts!S459</f>
        <v/>
      </c>
      <c r="K459" s="88" t="n"/>
      <c r="L459" s="95" t="n"/>
      <c r="M459" s="55" t="b">
        <v>0</v>
      </c>
      <c r="N459" s="96" t="b">
        <v>0</v>
      </c>
      <c r="O459" s="55" t="b">
        <v>0</v>
      </c>
      <c r="P459" s="55" t="b">
        <v>0</v>
      </c>
      <c r="Q459" s="55" t="b">
        <v>0</v>
      </c>
      <c r="R459" s="55" t="b">
        <v>0</v>
      </c>
      <c r="S459" s="55" t="b">
        <v>0</v>
      </c>
      <c r="T459" s="55" t="b">
        <v>0</v>
      </c>
      <c r="U459" s="55" t="b">
        <v>0</v>
      </c>
      <c r="V459" s="55" t="b">
        <v>0</v>
      </c>
    </row>
    <row r="460" ht="69" customHeight="1" s="211">
      <c r="A460" s="92">
        <f>Accounts!A460</f>
        <v/>
      </c>
      <c r="B460" s="12" t="b">
        <v>0</v>
      </c>
      <c r="C460" s="93">
        <f>Accounts!N460</f>
        <v/>
      </c>
      <c r="D460" s="94" t="n"/>
      <c r="E460" s="93">
        <f>Accounts!F460</f>
        <v/>
      </c>
      <c r="F460" s="94">
        <f>Accounts!Q460</f>
        <v/>
      </c>
      <c r="G460" s="94">
        <f>Accounts!R460</f>
        <v/>
      </c>
      <c r="H460" s="94">
        <f>Accounts!I460</f>
        <v/>
      </c>
      <c r="I460" s="94">
        <f>Accounts!J460</f>
        <v/>
      </c>
      <c r="J460" s="93">
        <f>Accounts!S460</f>
        <v/>
      </c>
      <c r="K460" s="88" t="n"/>
      <c r="L460" s="95" t="n"/>
      <c r="M460" s="55" t="b">
        <v>0</v>
      </c>
      <c r="N460" s="96" t="b">
        <v>0</v>
      </c>
      <c r="O460" s="55" t="b">
        <v>0</v>
      </c>
      <c r="P460" s="55" t="b">
        <v>0</v>
      </c>
      <c r="Q460" s="55" t="b">
        <v>0</v>
      </c>
      <c r="R460" s="55" t="b">
        <v>0</v>
      </c>
      <c r="S460" s="55" t="b">
        <v>0</v>
      </c>
      <c r="T460" s="55" t="b">
        <v>0</v>
      </c>
      <c r="U460" s="55" t="b">
        <v>0</v>
      </c>
      <c r="V460" s="55" t="b">
        <v>0</v>
      </c>
    </row>
    <row r="461" ht="69" customHeight="1" s="211">
      <c r="A461" s="92">
        <f>Accounts!A461</f>
        <v/>
      </c>
      <c r="B461" s="12" t="b">
        <v>0</v>
      </c>
      <c r="C461" s="93">
        <f>Accounts!N461</f>
        <v/>
      </c>
      <c r="D461" s="94" t="n"/>
      <c r="E461" s="93">
        <f>Accounts!F461</f>
        <v/>
      </c>
      <c r="F461" s="94">
        <f>Accounts!Q461</f>
        <v/>
      </c>
      <c r="G461" s="94">
        <f>Accounts!R461</f>
        <v/>
      </c>
      <c r="H461" s="94">
        <f>Accounts!I461</f>
        <v/>
      </c>
      <c r="I461" s="94">
        <f>Accounts!J461</f>
        <v/>
      </c>
      <c r="J461" s="93">
        <f>Accounts!S461</f>
        <v/>
      </c>
      <c r="K461" s="88" t="n"/>
      <c r="L461" s="95" t="n"/>
      <c r="M461" s="55" t="b">
        <v>0</v>
      </c>
      <c r="N461" s="96" t="b">
        <v>0</v>
      </c>
      <c r="O461" s="55" t="b">
        <v>0</v>
      </c>
      <c r="P461" s="55" t="b">
        <v>0</v>
      </c>
      <c r="Q461" s="55" t="b">
        <v>0</v>
      </c>
      <c r="R461" s="55" t="b">
        <v>0</v>
      </c>
      <c r="S461" s="55" t="b">
        <v>0</v>
      </c>
      <c r="T461" s="55" t="b">
        <v>0</v>
      </c>
      <c r="U461" s="55" t="b">
        <v>0</v>
      </c>
      <c r="V461" s="55" t="b">
        <v>0</v>
      </c>
    </row>
    <row r="462" ht="69" customHeight="1" s="211">
      <c r="A462" s="92">
        <f>Accounts!A462</f>
        <v/>
      </c>
      <c r="B462" s="12" t="b">
        <v>0</v>
      </c>
      <c r="C462" s="93">
        <f>Accounts!N462</f>
        <v/>
      </c>
      <c r="D462" s="94" t="n"/>
      <c r="E462" s="93">
        <f>Accounts!F462</f>
        <v/>
      </c>
      <c r="F462" s="94">
        <f>Accounts!Q462</f>
        <v/>
      </c>
      <c r="G462" s="94">
        <f>Accounts!R462</f>
        <v/>
      </c>
      <c r="H462" s="94">
        <f>Accounts!I462</f>
        <v/>
      </c>
      <c r="I462" s="94">
        <f>Accounts!J462</f>
        <v/>
      </c>
      <c r="J462" s="93">
        <f>Accounts!S462</f>
        <v/>
      </c>
      <c r="K462" s="88" t="n"/>
      <c r="L462" s="95" t="n"/>
      <c r="M462" s="55" t="b">
        <v>0</v>
      </c>
      <c r="N462" s="96" t="b">
        <v>0</v>
      </c>
      <c r="O462" s="55" t="b">
        <v>0</v>
      </c>
      <c r="P462" s="55" t="b">
        <v>0</v>
      </c>
      <c r="Q462" s="55" t="b">
        <v>0</v>
      </c>
      <c r="R462" s="55" t="b">
        <v>0</v>
      </c>
      <c r="S462" s="55" t="b">
        <v>0</v>
      </c>
      <c r="T462" s="55" t="b">
        <v>0</v>
      </c>
      <c r="U462" s="55" t="b">
        <v>0</v>
      </c>
      <c r="V462" s="55" t="b">
        <v>0</v>
      </c>
    </row>
    <row r="463" ht="69" customHeight="1" s="211">
      <c r="A463" s="92">
        <f>Accounts!A463</f>
        <v/>
      </c>
      <c r="B463" s="12" t="b">
        <v>0</v>
      </c>
      <c r="C463" s="93">
        <f>Accounts!N463</f>
        <v/>
      </c>
      <c r="D463" s="94" t="n"/>
      <c r="E463" s="93">
        <f>Accounts!F463</f>
        <v/>
      </c>
      <c r="F463" s="94">
        <f>Accounts!Q463</f>
        <v/>
      </c>
      <c r="G463" s="94">
        <f>Accounts!R463</f>
        <v/>
      </c>
      <c r="H463" s="94">
        <f>Accounts!I463</f>
        <v/>
      </c>
      <c r="I463" s="94">
        <f>Accounts!J463</f>
        <v/>
      </c>
      <c r="J463" s="93">
        <f>Accounts!S463</f>
        <v/>
      </c>
      <c r="K463" s="88" t="n"/>
      <c r="L463" s="95" t="n"/>
      <c r="M463" s="55" t="b">
        <v>0</v>
      </c>
      <c r="N463" s="96" t="b">
        <v>0</v>
      </c>
      <c r="O463" s="55" t="b">
        <v>0</v>
      </c>
      <c r="P463" s="55" t="b">
        <v>0</v>
      </c>
      <c r="Q463" s="55" t="b">
        <v>0</v>
      </c>
      <c r="R463" s="55" t="b">
        <v>0</v>
      </c>
      <c r="S463" s="55" t="b">
        <v>0</v>
      </c>
      <c r="T463" s="55" t="b">
        <v>0</v>
      </c>
      <c r="U463" s="55" t="b">
        <v>0</v>
      </c>
      <c r="V463" s="55" t="b">
        <v>0</v>
      </c>
    </row>
    <row r="464" ht="69" customHeight="1" s="211">
      <c r="A464" s="92">
        <f>Accounts!A464</f>
        <v/>
      </c>
      <c r="B464" s="12" t="b">
        <v>0</v>
      </c>
      <c r="C464" s="93">
        <f>Accounts!N464</f>
        <v/>
      </c>
      <c r="D464" s="94" t="n"/>
      <c r="E464" s="93">
        <f>Accounts!F464</f>
        <v/>
      </c>
      <c r="F464" s="94">
        <f>Accounts!Q464</f>
        <v/>
      </c>
      <c r="G464" s="94">
        <f>Accounts!R464</f>
        <v/>
      </c>
      <c r="H464" s="94">
        <f>Accounts!I464</f>
        <v/>
      </c>
      <c r="I464" s="94">
        <f>Accounts!J464</f>
        <v/>
      </c>
      <c r="J464" s="93">
        <f>Accounts!S464</f>
        <v/>
      </c>
      <c r="K464" s="88" t="n"/>
      <c r="L464" s="95" t="n"/>
      <c r="M464" s="55" t="b">
        <v>0</v>
      </c>
      <c r="N464" s="96" t="b">
        <v>0</v>
      </c>
      <c r="O464" s="55" t="b">
        <v>0</v>
      </c>
      <c r="P464" s="55" t="b">
        <v>0</v>
      </c>
      <c r="Q464" s="55" t="b">
        <v>0</v>
      </c>
      <c r="R464" s="55" t="b">
        <v>0</v>
      </c>
      <c r="S464" s="55" t="b">
        <v>0</v>
      </c>
      <c r="T464" s="55" t="b">
        <v>0</v>
      </c>
      <c r="U464" s="55" t="b">
        <v>0</v>
      </c>
      <c r="V464" s="55" t="b">
        <v>0</v>
      </c>
    </row>
    <row r="465" ht="69" customHeight="1" s="211">
      <c r="A465" s="92">
        <f>Accounts!A465</f>
        <v/>
      </c>
      <c r="B465" s="12" t="b">
        <v>0</v>
      </c>
      <c r="C465" s="93">
        <f>Accounts!N465</f>
        <v/>
      </c>
      <c r="D465" s="94" t="n"/>
      <c r="E465" s="93">
        <f>Accounts!F465</f>
        <v/>
      </c>
      <c r="F465" s="94">
        <f>Accounts!Q465</f>
        <v/>
      </c>
      <c r="G465" s="94">
        <f>Accounts!R465</f>
        <v/>
      </c>
      <c r="H465" s="94">
        <f>Accounts!I465</f>
        <v/>
      </c>
      <c r="I465" s="94">
        <f>Accounts!J465</f>
        <v/>
      </c>
      <c r="J465" s="93">
        <f>Accounts!S465</f>
        <v/>
      </c>
      <c r="K465" s="88" t="n"/>
      <c r="L465" s="95" t="n"/>
      <c r="M465" s="55" t="b">
        <v>0</v>
      </c>
      <c r="N465" s="96" t="b">
        <v>0</v>
      </c>
      <c r="O465" s="55" t="b">
        <v>0</v>
      </c>
      <c r="P465" s="55" t="b">
        <v>0</v>
      </c>
      <c r="Q465" s="55" t="b">
        <v>0</v>
      </c>
      <c r="R465" s="55" t="b">
        <v>0</v>
      </c>
      <c r="S465" s="55" t="b">
        <v>0</v>
      </c>
      <c r="T465" s="55" t="b">
        <v>0</v>
      </c>
      <c r="U465" s="55" t="b">
        <v>0</v>
      </c>
      <c r="V465" s="55" t="b">
        <v>0</v>
      </c>
    </row>
    <row r="466" ht="69" customHeight="1" s="211">
      <c r="A466" s="92">
        <f>Accounts!A466</f>
        <v/>
      </c>
      <c r="B466" s="12" t="b">
        <v>0</v>
      </c>
      <c r="C466" s="93">
        <f>Accounts!N466</f>
        <v/>
      </c>
      <c r="D466" s="94" t="n"/>
      <c r="E466" s="93">
        <f>Accounts!F466</f>
        <v/>
      </c>
      <c r="F466" s="94">
        <f>Accounts!Q466</f>
        <v/>
      </c>
      <c r="G466" s="94">
        <f>Accounts!R466</f>
        <v/>
      </c>
      <c r="H466" s="94">
        <f>Accounts!I466</f>
        <v/>
      </c>
      <c r="I466" s="94">
        <f>Accounts!J466</f>
        <v/>
      </c>
      <c r="J466" s="93">
        <f>Accounts!S466</f>
        <v/>
      </c>
      <c r="K466" s="88" t="n"/>
      <c r="L466" s="95" t="n"/>
      <c r="M466" s="55" t="b">
        <v>0</v>
      </c>
      <c r="N466" s="96" t="b">
        <v>0</v>
      </c>
      <c r="O466" s="55" t="b">
        <v>0</v>
      </c>
      <c r="P466" s="55" t="b">
        <v>0</v>
      </c>
      <c r="Q466" s="55" t="b">
        <v>0</v>
      </c>
      <c r="R466" s="55" t="b">
        <v>0</v>
      </c>
      <c r="S466" s="55" t="b">
        <v>0</v>
      </c>
      <c r="T466" s="55" t="b">
        <v>0</v>
      </c>
      <c r="U466" s="55" t="b">
        <v>0</v>
      </c>
      <c r="V466" s="55" t="b">
        <v>0</v>
      </c>
    </row>
    <row r="467" ht="69" customHeight="1" s="211">
      <c r="A467" s="92">
        <f>Accounts!A467</f>
        <v/>
      </c>
      <c r="B467" s="12" t="b">
        <v>0</v>
      </c>
      <c r="C467" s="93">
        <f>Accounts!N467</f>
        <v/>
      </c>
      <c r="D467" s="94" t="n"/>
      <c r="E467" s="93">
        <f>Accounts!F467</f>
        <v/>
      </c>
      <c r="F467" s="94">
        <f>Accounts!Q467</f>
        <v/>
      </c>
      <c r="G467" s="94">
        <f>Accounts!R467</f>
        <v/>
      </c>
      <c r="H467" s="94">
        <f>Accounts!I467</f>
        <v/>
      </c>
      <c r="I467" s="94">
        <f>Accounts!J467</f>
        <v/>
      </c>
      <c r="J467" s="93">
        <f>Accounts!S467</f>
        <v/>
      </c>
      <c r="K467" s="88" t="n"/>
      <c r="L467" s="95" t="n"/>
      <c r="M467" s="55" t="b">
        <v>0</v>
      </c>
      <c r="N467" s="96" t="b">
        <v>0</v>
      </c>
      <c r="O467" s="55" t="b">
        <v>0</v>
      </c>
      <c r="P467" s="55" t="b">
        <v>0</v>
      </c>
      <c r="Q467" s="55" t="b">
        <v>0</v>
      </c>
      <c r="R467" s="55" t="b">
        <v>0</v>
      </c>
      <c r="S467" s="55" t="b">
        <v>0</v>
      </c>
      <c r="T467" s="55" t="b">
        <v>0</v>
      </c>
      <c r="U467" s="55" t="b">
        <v>0</v>
      </c>
      <c r="V467" s="55" t="b">
        <v>0</v>
      </c>
    </row>
    <row r="468" ht="69" customHeight="1" s="211">
      <c r="A468" s="92">
        <f>Accounts!A468</f>
        <v/>
      </c>
      <c r="B468" s="12" t="b">
        <v>0</v>
      </c>
      <c r="C468" s="93">
        <f>Accounts!N468</f>
        <v/>
      </c>
      <c r="D468" s="94" t="n"/>
      <c r="E468" s="93">
        <f>Accounts!F468</f>
        <v/>
      </c>
      <c r="F468" s="94">
        <f>Accounts!Q468</f>
        <v/>
      </c>
      <c r="G468" s="94">
        <f>Accounts!R468</f>
        <v/>
      </c>
      <c r="H468" s="94">
        <f>Accounts!I468</f>
        <v/>
      </c>
      <c r="I468" s="94">
        <f>Accounts!J468</f>
        <v/>
      </c>
      <c r="J468" s="93">
        <f>Accounts!S468</f>
        <v/>
      </c>
      <c r="K468" s="88" t="n"/>
      <c r="L468" s="95" t="n"/>
      <c r="M468" s="55" t="b">
        <v>0</v>
      </c>
      <c r="N468" s="96" t="b">
        <v>0</v>
      </c>
      <c r="O468" s="55" t="b">
        <v>0</v>
      </c>
      <c r="P468" s="55" t="b">
        <v>0</v>
      </c>
      <c r="Q468" s="55" t="b">
        <v>0</v>
      </c>
      <c r="R468" s="55" t="b">
        <v>0</v>
      </c>
      <c r="S468" s="55" t="b">
        <v>0</v>
      </c>
      <c r="T468" s="55" t="b">
        <v>0</v>
      </c>
      <c r="U468" s="55" t="b">
        <v>0</v>
      </c>
      <c r="V468" s="55" t="b">
        <v>0</v>
      </c>
    </row>
    <row r="469" ht="69" customHeight="1" s="211">
      <c r="A469" s="92">
        <f>Accounts!A469</f>
        <v/>
      </c>
      <c r="B469" s="12" t="b">
        <v>0</v>
      </c>
      <c r="C469" s="93">
        <f>Accounts!N469</f>
        <v/>
      </c>
      <c r="D469" s="94" t="n"/>
      <c r="E469" s="93">
        <f>Accounts!F469</f>
        <v/>
      </c>
      <c r="F469" s="94">
        <f>Accounts!Q469</f>
        <v/>
      </c>
      <c r="G469" s="94">
        <f>Accounts!R469</f>
        <v/>
      </c>
      <c r="H469" s="94">
        <f>Accounts!I469</f>
        <v/>
      </c>
      <c r="I469" s="94">
        <f>Accounts!J469</f>
        <v/>
      </c>
      <c r="J469" s="93">
        <f>Accounts!S469</f>
        <v/>
      </c>
      <c r="K469" s="88" t="n"/>
      <c r="L469" s="95" t="n"/>
      <c r="M469" s="55" t="b">
        <v>0</v>
      </c>
      <c r="N469" s="96" t="b">
        <v>0</v>
      </c>
      <c r="O469" s="55" t="b">
        <v>0</v>
      </c>
      <c r="P469" s="55" t="b">
        <v>0</v>
      </c>
      <c r="Q469" s="55" t="b">
        <v>0</v>
      </c>
      <c r="R469" s="55" t="b">
        <v>0</v>
      </c>
      <c r="S469" s="55" t="b">
        <v>0</v>
      </c>
      <c r="T469" s="55" t="b">
        <v>0</v>
      </c>
      <c r="U469" s="55" t="b">
        <v>0</v>
      </c>
      <c r="V469" s="55" t="b">
        <v>0</v>
      </c>
    </row>
    <row r="470" ht="69" customHeight="1" s="211">
      <c r="A470" s="92">
        <f>Accounts!A470</f>
        <v/>
      </c>
      <c r="B470" s="12" t="b">
        <v>0</v>
      </c>
      <c r="C470" s="93">
        <f>Accounts!N470</f>
        <v/>
      </c>
      <c r="D470" s="94" t="n"/>
      <c r="E470" s="93">
        <f>Accounts!F470</f>
        <v/>
      </c>
      <c r="F470" s="94">
        <f>Accounts!Q470</f>
        <v/>
      </c>
      <c r="G470" s="94">
        <f>Accounts!R470</f>
        <v/>
      </c>
      <c r="H470" s="94">
        <f>Accounts!I470</f>
        <v/>
      </c>
      <c r="I470" s="94">
        <f>Accounts!J470</f>
        <v/>
      </c>
      <c r="J470" s="93">
        <f>Accounts!S470</f>
        <v/>
      </c>
      <c r="K470" s="88" t="n"/>
      <c r="L470" s="95" t="n"/>
      <c r="M470" s="55" t="b">
        <v>0</v>
      </c>
      <c r="N470" s="96" t="b">
        <v>0</v>
      </c>
      <c r="O470" s="55" t="b">
        <v>0</v>
      </c>
      <c r="P470" s="55" t="b">
        <v>0</v>
      </c>
      <c r="Q470" s="55" t="b">
        <v>0</v>
      </c>
      <c r="R470" s="55" t="b">
        <v>0</v>
      </c>
      <c r="S470" s="55" t="b">
        <v>0</v>
      </c>
      <c r="T470" s="55" t="b">
        <v>0</v>
      </c>
      <c r="U470" s="55" t="b">
        <v>0</v>
      </c>
      <c r="V470" s="55" t="b">
        <v>0</v>
      </c>
    </row>
    <row r="471" ht="69" customHeight="1" s="211">
      <c r="A471" s="92">
        <f>Accounts!A471</f>
        <v/>
      </c>
      <c r="B471" s="12" t="b">
        <v>0</v>
      </c>
      <c r="C471" s="93">
        <f>Accounts!N471</f>
        <v/>
      </c>
      <c r="D471" s="94" t="n"/>
      <c r="E471" s="93">
        <f>Accounts!F471</f>
        <v/>
      </c>
      <c r="F471" s="94">
        <f>Accounts!Q471</f>
        <v/>
      </c>
      <c r="G471" s="94">
        <f>Accounts!R471</f>
        <v/>
      </c>
      <c r="H471" s="94">
        <f>Accounts!I471</f>
        <v/>
      </c>
      <c r="I471" s="94">
        <f>Accounts!J471</f>
        <v/>
      </c>
      <c r="J471" s="93">
        <f>Accounts!S471</f>
        <v/>
      </c>
      <c r="K471" s="88" t="n"/>
      <c r="L471" s="95" t="n"/>
      <c r="M471" s="55" t="b">
        <v>0</v>
      </c>
      <c r="N471" s="96" t="b">
        <v>0</v>
      </c>
      <c r="O471" s="55" t="b">
        <v>0</v>
      </c>
      <c r="P471" s="55" t="b">
        <v>0</v>
      </c>
      <c r="Q471" s="55" t="b">
        <v>0</v>
      </c>
      <c r="R471" s="55" t="b">
        <v>0</v>
      </c>
      <c r="S471" s="55" t="b">
        <v>0</v>
      </c>
      <c r="T471" s="55" t="b">
        <v>0</v>
      </c>
      <c r="U471" s="55" t="b">
        <v>0</v>
      </c>
      <c r="V471" s="55" t="b">
        <v>0</v>
      </c>
    </row>
    <row r="472" ht="69" customHeight="1" s="211">
      <c r="A472" s="92">
        <f>Accounts!A472</f>
        <v/>
      </c>
      <c r="B472" s="12" t="b">
        <v>0</v>
      </c>
      <c r="C472" s="93">
        <f>Accounts!N472</f>
        <v/>
      </c>
      <c r="D472" s="94" t="n"/>
      <c r="E472" s="93">
        <f>Accounts!F472</f>
        <v/>
      </c>
      <c r="F472" s="94">
        <f>Accounts!Q472</f>
        <v/>
      </c>
      <c r="G472" s="94">
        <f>Accounts!R472</f>
        <v/>
      </c>
      <c r="H472" s="94">
        <f>Accounts!I472</f>
        <v/>
      </c>
      <c r="I472" s="94">
        <f>Accounts!J472</f>
        <v/>
      </c>
      <c r="J472" s="93">
        <f>Accounts!S472</f>
        <v/>
      </c>
      <c r="K472" s="88" t="n"/>
      <c r="L472" s="95" t="n"/>
      <c r="M472" s="55" t="b">
        <v>0</v>
      </c>
      <c r="N472" s="96" t="b">
        <v>0</v>
      </c>
      <c r="O472" s="55" t="b">
        <v>0</v>
      </c>
      <c r="P472" s="55" t="b">
        <v>0</v>
      </c>
      <c r="Q472" s="55" t="b">
        <v>0</v>
      </c>
      <c r="R472" s="55" t="b">
        <v>0</v>
      </c>
      <c r="S472" s="55" t="b">
        <v>0</v>
      </c>
      <c r="T472" s="55" t="b">
        <v>0</v>
      </c>
      <c r="U472" s="55" t="b">
        <v>0</v>
      </c>
      <c r="V472" s="55" t="b">
        <v>0</v>
      </c>
    </row>
    <row r="473" ht="69" customHeight="1" s="211">
      <c r="A473" s="92">
        <f>Accounts!A473</f>
        <v/>
      </c>
      <c r="B473" s="12" t="b">
        <v>0</v>
      </c>
      <c r="C473" s="93">
        <f>Accounts!N473</f>
        <v/>
      </c>
      <c r="D473" s="94" t="n"/>
      <c r="E473" s="93">
        <f>Accounts!F473</f>
        <v/>
      </c>
      <c r="F473" s="94">
        <f>Accounts!Q473</f>
        <v/>
      </c>
      <c r="G473" s="94">
        <f>Accounts!R473</f>
        <v/>
      </c>
      <c r="H473" s="94">
        <f>Accounts!I473</f>
        <v/>
      </c>
      <c r="I473" s="94">
        <f>Accounts!J473</f>
        <v/>
      </c>
      <c r="J473" s="93">
        <f>Accounts!S473</f>
        <v/>
      </c>
      <c r="K473" s="88" t="n"/>
      <c r="L473" s="95" t="n"/>
      <c r="M473" s="55" t="b">
        <v>0</v>
      </c>
      <c r="N473" s="96" t="b">
        <v>0</v>
      </c>
      <c r="O473" s="55" t="b">
        <v>0</v>
      </c>
      <c r="P473" s="55" t="b">
        <v>0</v>
      </c>
      <c r="Q473" s="55" t="b">
        <v>0</v>
      </c>
      <c r="R473" s="55" t="b">
        <v>0</v>
      </c>
      <c r="S473" s="55" t="b">
        <v>0</v>
      </c>
      <c r="T473" s="55" t="b">
        <v>0</v>
      </c>
      <c r="U473" s="55" t="b">
        <v>0</v>
      </c>
      <c r="V473" s="55" t="b">
        <v>0</v>
      </c>
    </row>
    <row r="474" ht="69" customHeight="1" s="211">
      <c r="A474" s="92">
        <f>Accounts!A474</f>
        <v/>
      </c>
      <c r="B474" s="12" t="b">
        <v>0</v>
      </c>
      <c r="C474" s="93">
        <f>Accounts!N474</f>
        <v/>
      </c>
      <c r="D474" s="94" t="n"/>
      <c r="E474" s="93">
        <f>Accounts!F474</f>
        <v/>
      </c>
      <c r="F474" s="94">
        <f>Accounts!Q474</f>
        <v/>
      </c>
      <c r="G474" s="94">
        <f>Accounts!R474</f>
        <v/>
      </c>
      <c r="H474" s="94">
        <f>Accounts!I474</f>
        <v/>
      </c>
      <c r="I474" s="94">
        <f>Accounts!J474</f>
        <v/>
      </c>
      <c r="J474" s="93">
        <f>Accounts!S474</f>
        <v/>
      </c>
      <c r="K474" s="88" t="n"/>
      <c r="L474" s="95" t="n"/>
      <c r="M474" s="55" t="b">
        <v>0</v>
      </c>
      <c r="N474" s="96" t="b">
        <v>0</v>
      </c>
      <c r="O474" s="55" t="b">
        <v>0</v>
      </c>
      <c r="P474" s="55" t="b">
        <v>0</v>
      </c>
      <c r="Q474" s="55" t="b">
        <v>0</v>
      </c>
      <c r="R474" s="55" t="b">
        <v>0</v>
      </c>
      <c r="S474" s="55" t="b">
        <v>0</v>
      </c>
      <c r="T474" s="55" t="b">
        <v>0</v>
      </c>
      <c r="U474" s="55" t="b">
        <v>0</v>
      </c>
      <c r="V474" s="55" t="b">
        <v>0</v>
      </c>
    </row>
    <row r="475" ht="69" customHeight="1" s="211">
      <c r="A475" s="92">
        <f>Accounts!A475</f>
        <v/>
      </c>
      <c r="B475" s="12" t="b">
        <v>0</v>
      </c>
      <c r="C475" s="93">
        <f>Accounts!N475</f>
        <v/>
      </c>
      <c r="D475" s="94" t="n"/>
      <c r="E475" s="93">
        <f>Accounts!F475</f>
        <v/>
      </c>
      <c r="F475" s="94">
        <f>Accounts!Q475</f>
        <v/>
      </c>
      <c r="G475" s="94">
        <f>Accounts!R475</f>
        <v/>
      </c>
      <c r="H475" s="94">
        <f>Accounts!I475</f>
        <v/>
      </c>
      <c r="I475" s="94">
        <f>Accounts!J475</f>
        <v/>
      </c>
      <c r="J475" s="93">
        <f>Accounts!S475</f>
        <v/>
      </c>
      <c r="K475" s="88" t="n"/>
      <c r="L475" s="95" t="n"/>
      <c r="M475" s="55" t="b">
        <v>0</v>
      </c>
      <c r="N475" s="96" t="b">
        <v>0</v>
      </c>
      <c r="O475" s="55" t="b">
        <v>0</v>
      </c>
      <c r="P475" s="55" t="b">
        <v>0</v>
      </c>
      <c r="Q475" s="55" t="b">
        <v>0</v>
      </c>
      <c r="R475" s="55" t="b">
        <v>0</v>
      </c>
      <c r="S475" s="55" t="b">
        <v>0</v>
      </c>
      <c r="T475" s="55" t="b">
        <v>0</v>
      </c>
      <c r="U475" s="55" t="b">
        <v>0</v>
      </c>
      <c r="V475" s="55" t="b">
        <v>0</v>
      </c>
    </row>
    <row r="476" ht="69" customHeight="1" s="211">
      <c r="A476" s="92">
        <f>Accounts!A476</f>
        <v/>
      </c>
      <c r="B476" s="12" t="b">
        <v>0</v>
      </c>
      <c r="C476" s="93">
        <f>Accounts!N476</f>
        <v/>
      </c>
      <c r="D476" s="94" t="n"/>
      <c r="E476" s="93">
        <f>Accounts!F476</f>
        <v/>
      </c>
      <c r="F476" s="94">
        <f>Accounts!Q476</f>
        <v/>
      </c>
      <c r="G476" s="94">
        <f>Accounts!R476</f>
        <v/>
      </c>
      <c r="H476" s="94">
        <f>Accounts!I476</f>
        <v/>
      </c>
      <c r="I476" s="94">
        <f>Accounts!J476</f>
        <v/>
      </c>
      <c r="J476" s="93">
        <f>Accounts!S476</f>
        <v/>
      </c>
      <c r="K476" s="88" t="n"/>
      <c r="L476" s="95" t="n"/>
      <c r="M476" s="55" t="b">
        <v>0</v>
      </c>
      <c r="N476" s="96" t="b">
        <v>0</v>
      </c>
      <c r="O476" s="55" t="b">
        <v>0</v>
      </c>
      <c r="P476" s="55" t="b">
        <v>0</v>
      </c>
      <c r="Q476" s="55" t="b">
        <v>0</v>
      </c>
      <c r="R476" s="55" t="b">
        <v>0</v>
      </c>
      <c r="S476" s="55" t="b">
        <v>0</v>
      </c>
      <c r="T476" s="55" t="b">
        <v>0</v>
      </c>
      <c r="U476" s="55" t="b">
        <v>0</v>
      </c>
      <c r="V476" s="55" t="b">
        <v>0</v>
      </c>
    </row>
    <row r="477" ht="69" customHeight="1" s="211">
      <c r="A477" s="92">
        <f>Accounts!A477</f>
        <v/>
      </c>
      <c r="B477" s="12" t="b">
        <v>0</v>
      </c>
      <c r="C477" s="93">
        <f>Accounts!N477</f>
        <v/>
      </c>
      <c r="D477" s="94" t="n"/>
      <c r="E477" s="93">
        <f>Accounts!F477</f>
        <v/>
      </c>
      <c r="F477" s="94">
        <f>Accounts!Q477</f>
        <v/>
      </c>
      <c r="G477" s="94">
        <f>Accounts!R477</f>
        <v/>
      </c>
      <c r="H477" s="94">
        <f>Accounts!I477</f>
        <v/>
      </c>
      <c r="I477" s="94">
        <f>Accounts!J477</f>
        <v/>
      </c>
      <c r="J477" s="93">
        <f>Accounts!S477</f>
        <v/>
      </c>
      <c r="K477" s="88" t="n"/>
      <c r="L477" s="95" t="n"/>
      <c r="M477" s="55" t="b">
        <v>0</v>
      </c>
      <c r="N477" s="96" t="b">
        <v>0</v>
      </c>
      <c r="O477" s="55" t="b">
        <v>0</v>
      </c>
      <c r="P477" s="55" t="b">
        <v>0</v>
      </c>
      <c r="Q477" s="55" t="b">
        <v>0</v>
      </c>
      <c r="R477" s="55" t="b">
        <v>0</v>
      </c>
      <c r="S477" s="55" t="b">
        <v>0</v>
      </c>
      <c r="T477" s="55" t="b">
        <v>0</v>
      </c>
      <c r="U477" s="55" t="b">
        <v>0</v>
      </c>
      <c r="V477" s="55" t="b">
        <v>0</v>
      </c>
    </row>
    <row r="478" ht="69" customHeight="1" s="211">
      <c r="A478" s="92">
        <f>Accounts!A478</f>
        <v/>
      </c>
      <c r="B478" s="12" t="b">
        <v>0</v>
      </c>
      <c r="C478" s="93">
        <f>Accounts!N478</f>
        <v/>
      </c>
      <c r="D478" s="94" t="n"/>
      <c r="E478" s="93">
        <f>Accounts!F478</f>
        <v/>
      </c>
      <c r="F478" s="94">
        <f>Accounts!Q478</f>
        <v/>
      </c>
      <c r="G478" s="94">
        <f>Accounts!R478</f>
        <v/>
      </c>
      <c r="H478" s="94">
        <f>Accounts!I478</f>
        <v/>
      </c>
      <c r="I478" s="94">
        <f>Accounts!J478</f>
        <v/>
      </c>
      <c r="J478" s="93">
        <f>Accounts!S478</f>
        <v/>
      </c>
      <c r="K478" s="88" t="n"/>
      <c r="L478" s="95" t="n"/>
      <c r="M478" s="55" t="b">
        <v>0</v>
      </c>
      <c r="N478" s="96" t="b">
        <v>0</v>
      </c>
      <c r="O478" s="55" t="b">
        <v>0</v>
      </c>
      <c r="P478" s="55" t="b">
        <v>0</v>
      </c>
      <c r="Q478" s="55" t="b">
        <v>0</v>
      </c>
      <c r="R478" s="55" t="b">
        <v>0</v>
      </c>
      <c r="S478" s="55" t="b">
        <v>0</v>
      </c>
      <c r="T478" s="55" t="b">
        <v>0</v>
      </c>
      <c r="U478" s="55" t="b">
        <v>0</v>
      </c>
      <c r="V478" s="55" t="b">
        <v>0</v>
      </c>
    </row>
    <row r="479" ht="69" customHeight="1" s="211">
      <c r="A479" s="92">
        <f>Accounts!A479</f>
        <v/>
      </c>
      <c r="B479" s="12" t="b">
        <v>0</v>
      </c>
      <c r="C479" s="93">
        <f>Accounts!N479</f>
        <v/>
      </c>
      <c r="D479" s="94" t="n"/>
      <c r="E479" s="93">
        <f>Accounts!F479</f>
        <v/>
      </c>
      <c r="F479" s="94">
        <f>Accounts!Q479</f>
        <v/>
      </c>
      <c r="G479" s="94">
        <f>Accounts!R479</f>
        <v/>
      </c>
      <c r="H479" s="94">
        <f>Accounts!I479</f>
        <v/>
      </c>
      <c r="I479" s="94">
        <f>Accounts!J479</f>
        <v/>
      </c>
      <c r="J479" s="93">
        <f>Accounts!S479</f>
        <v/>
      </c>
      <c r="K479" s="88" t="n"/>
      <c r="L479" s="95" t="n"/>
      <c r="M479" s="55" t="b">
        <v>0</v>
      </c>
      <c r="N479" s="96" t="b">
        <v>0</v>
      </c>
      <c r="O479" s="55" t="b">
        <v>0</v>
      </c>
      <c r="P479" s="55" t="b">
        <v>0</v>
      </c>
      <c r="Q479" s="55" t="b">
        <v>0</v>
      </c>
      <c r="R479" s="55" t="b">
        <v>0</v>
      </c>
      <c r="S479" s="55" t="b">
        <v>0</v>
      </c>
      <c r="T479" s="55" t="b">
        <v>0</v>
      </c>
      <c r="U479" s="55" t="b">
        <v>0</v>
      </c>
      <c r="V479" s="55" t="b">
        <v>0</v>
      </c>
    </row>
    <row r="480" ht="69" customHeight="1" s="211">
      <c r="A480" s="92">
        <f>Accounts!A480</f>
        <v/>
      </c>
      <c r="B480" s="12" t="b">
        <v>0</v>
      </c>
      <c r="C480" s="93">
        <f>Accounts!N480</f>
        <v/>
      </c>
      <c r="D480" s="94" t="n"/>
      <c r="E480" s="93">
        <f>Accounts!F480</f>
        <v/>
      </c>
      <c r="F480" s="94">
        <f>Accounts!Q480</f>
        <v/>
      </c>
      <c r="G480" s="94">
        <f>Accounts!R480</f>
        <v/>
      </c>
      <c r="H480" s="94">
        <f>Accounts!I480</f>
        <v/>
      </c>
      <c r="I480" s="94">
        <f>Accounts!J480</f>
        <v/>
      </c>
      <c r="J480" s="93">
        <f>Accounts!S480</f>
        <v/>
      </c>
      <c r="K480" s="88" t="n"/>
      <c r="L480" s="95" t="n"/>
      <c r="M480" s="55" t="b">
        <v>0</v>
      </c>
      <c r="N480" s="96" t="b">
        <v>0</v>
      </c>
      <c r="O480" s="55" t="b">
        <v>0</v>
      </c>
      <c r="P480" s="55" t="b">
        <v>0</v>
      </c>
      <c r="Q480" s="55" t="b">
        <v>0</v>
      </c>
      <c r="R480" s="55" t="b">
        <v>0</v>
      </c>
      <c r="S480" s="55" t="b">
        <v>0</v>
      </c>
      <c r="T480" s="55" t="b">
        <v>0</v>
      </c>
      <c r="U480" s="55" t="b">
        <v>0</v>
      </c>
      <c r="V480" s="55" t="b">
        <v>0</v>
      </c>
    </row>
    <row r="481" ht="69" customHeight="1" s="211">
      <c r="A481" s="92">
        <f>Accounts!A481</f>
        <v/>
      </c>
      <c r="B481" s="12" t="b">
        <v>0</v>
      </c>
      <c r="C481" s="93">
        <f>Accounts!N481</f>
        <v/>
      </c>
      <c r="D481" s="94" t="n"/>
      <c r="E481" s="93">
        <f>Accounts!F481</f>
        <v/>
      </c>
      <c r="F481" s="94">
        <f>Accounts!Q481</f>
        <v/>
      </c>
      <c r="G481" s="94">
        <f>Accounts!R481</f>
        <v/>
      </c>
      <c r="H481" s="94">
        <f>Accounts!I481</f>
        <v/>
      </c>
      <c r="I481" s="94">
        <f>Accounts!J481</f>
        <v/>
      </c>
      <c r="J481" s="93">
        <f>Accounts!S481</f>
        <v/>
      </c>
      <c r="K481" s="88" t="n"/>
      <c r="L481" s="95" t="n"/>
      <c r="M481" s="55" t="b">
        <v>0</v>
      </c>
      <c r="N481" s="96" t="b">
        <v>0</v>
      </c>
      <c r="O481" s="55" t="b">
        <v>0</v>
      </c>
      <c r="P481" s="55" t="b">
        <v>0</v>
      </c>
      <c r="Q481" s="55" t="b">
        <v>0</v>
      </c>
      <c r="R481" s="55" t="b">
        <v>0</v>
      </c>
      <c r="S481" s="55" t="b">
        <v>0</v>
      </c>
      <c r="T481" s="55" t="b">
        <v>0</v>
      </c>
      <c r="U481" s="55" t="b">
        <v>0</v>
      </c>
      <c r="V481" s="55" t="b">
        <v>0</v>
      </c>
    </row>
    <row r="482" ht="69" customHeight="1" s="211">
      <c r="A482" s="92">
        <f>Accounts!A482</f>
        <v/>
      </c>
      <c r="B482" s="12" t="b">
        <v>0</v>
      </c>
      <c r="C482" s="93">
        <f>Accounts!N482</f>
        <v/>
      </c>
      <c r="D482" s="94" t="n"/>
      <c r="E482" s="93">
        <f>Accounts!F482</f>
        <v/>
      </c>
      <c r="F482" s="94">
        <f>Accounts!Q482</f>
        <v/>
      </c>
      <c r="G482" s="94">
        <f>Accounts!R482</f>
        <v/>
      </c>
      <c r="H482" s="94">
        <f>Accounts!I482</f>
        <v/>
      </c>
      <c r="I482" s="94">
        <f>Accounts!J482</f>
        <v/>
      </c>
      <c r="J482" s="93">
        <f>Accounts!S482</f>
        <v/>
      </c>
      <c r="K482" s="88" t="n"/>
      <c r="L482" s="95" t="n"/>
      <c r="M482" s="55" t="b">
        <v>0</v>
      </c>
      <c r="N482" s="96" t="b">
        <v>0</v>
      </c>
      <c r="O482" s="55" t="b">
        <v>0</v>
      </c>
      <c r="P482" s="55" t="b">
        <v>0</v>
      </c>
      <c r="Q482" s="55" t="b">
        <v>0</v>
      </c>
      <c r="R482" s="55" t="b">
        <v>0</v>
      </c>
      <c r="S482" s="55" t="b">
        <v>0</v>
      </c>
      <c r="T482" s="55" t="b">
        <v>0</v>
      </c>
      <c r="U482" s="55" t="b">
        <v>0</v>
      </c>
      <c r="V482" s="55" t="b">
        <v>0</v>
      </c>
    </row>
    <row r="483" ht="69" customHeight="1" s="211">
      <c r="A483" s="92">
        <f>Accounts!A483</f>
        <v/>
      </c>
      <c r="B483" s="12" t="b">
        <v>0</v>
      </c>
      <c r="C483" s="93">
        <f>Accounts!N483</f>
        <v/>
      </c>
      <c r="D483" s="94" t="n"/>
      <c r="E483" s="93">
        <f>Accounts!F483</f>
        <v/>
      </c>
      <c r="F483" s="94">
        <f>Accounts!Q483</f>
        <v/>
      </c>
      <c r="G483" s="94">
        <f>Accounts!R483</f>
        <v/>
      </c>
      <c r="H483" s="94">
        <f>Accounts!I483</f>
        <v/>
      </c>
      <c r="I483" s="94">
        <f>Accounts!J483</f>
        <v/>
      </c>
      <c r="J483" s="93">
        <f>Accounts!S483</f>
        <v/>
      </c>
      <c r="K483" s="88" t="n"/>
      <c r="L483" s="95" t="n"/>
      <c r="M483" s="55" t="b">
        <v>0</v>
      </c>
      <c r="N483" s="96" t="b">
        <v>0</v>
      </c>
      <c r="O483" s="55" t="b">
        <v>0</v>
      </c>
      <c r="P483" s="55" t="b">
        <v>0</v>
      </c>
      <c r="Q483" s="55" t="b">
        <v>0</v>
      </c>
      <c r="R483" s="55" t="b">
        <v>0</v>
      </c>
      <c r="S483" s="55" t="b">
        <v>0</v>
      </c>
      <c r="T483" s="55" t="b">
        <v>0</v>
      </c>
      <c r="U483" s="55" t="b">
        <v>0</v>
      </c>
      <c r="V483" s="55" t="b">
        <v>0</v>
      </c>
    </row>
    <row r="484" ht="69" customHeight="1" s="211">
      <c r="A484" s="92">
        <f>Accounts!A484</f>
        <v/>
      </c>
      <c r="B484" s="12" t="b">
        <v>0</v>
      </c>
      <c r="C484" s="93">
        <f>Accounts!N484</f>
        <v/>
      </c>
      <c r="D484" s="94" t="n"/>
      <c r="E484" s="93">
        <f>Accounts!F484</f>
        <v/>
      </c>
      <c r="F484" s="94">
        <f>Accounts!Q484</f>
        <v/>
      </c>
      <c r="G484" s="94">
        <f>Accounts!R484</f>
        <v/>
      </c>
      <c r="H484" s="94">
        <f>Accounts!I484</f>
        <v/>
      </c>
      <c r="I484" s="94">
        <f>Accounts!J484</f>
        <v/>
      </c>
      <c r="J484" s="93">
        <f>Accounts!S484</f>
        <v/>
      </c>
      <c r="K484" s="88" t="n"/>
      <c r="L484" s="95" t="n"/>
      <c r="M484" s="55" t="b">
        <v>0</v>
      </c>
      <c r="N484" s="96" t="b">
        <v>0</v>
      </c>
      <c r="O484" s="55" t="b">
        <v>0</v>
      </c>
      <c r="P484" s="55" t="b">
        <v>0</v>
      </c>
      <c r="Q484" s="55" t="b">
        <v>0</v>
      </c>
      <c r="R484" s="55" t="b">
        <v>0</v>
      </c>
      <c r="S484" s="55" t="b">
        <v>0</v>
      </c>
      <c r="T484" s="55" t="b">
        <v>0</v>
      </c>
      <c r="U484" s="55" t="b">
        <v>0</v>
      </c>
      <c r="V484" s="55" t="b">
        <v>0</v>
      </c>
    </row>
    <row r="485" ht="69" customHeight="1" s="211">
      <c r="A485" s="92">
        <f>Accounts!A485</f>
        <v/>
      </c>
      <c r="B485" s="12" t="b">
        <v>0</v>
      </c>
      <c r="C485" s="93">
        <f>Accounts!N485</f>
        <v/>
      </c>
      <c r="D485" s="94" t="n"/>
      <c r="E485" s="93">
        <f>Accounts!F485</f>
        <v/>
      </c>
      <c r="F485" s="94">
        <f>Accounts!Q485</f>
        <v/>
      </c>
      <c r="G485" s="94">
        <f>Accounts!R485</f>
        <v/>
      </c>
      <c r="H485" s="94">
        <f>Accounts!I485</f>
        <v/>
      </c>
      <c r="I485" s="94">
        <f>Accounts!J485</f>
        <v/>
      </c>
      <c r="J485" s="93">
        <f>Accounts!S485</f>
        <v/>
      </c>
      <c r="K485" s="88" t="n"/>
      <c r="L485" s="95" t="n"/>
      <c r="M485" s="55" t="b">
        <v>0</v>
      </c>
      <c r="N485" s="96" t="b">
        <v>0</v>
      </c>
      <c r="O485" s="55" t="b">
        <v>0</v>
      </c>
      <c r="P485" s="55" t="b">
        <v>0</v>
      </c>
      <c r="Q485" s="55" t="b">
        <v>0</v>
      </c>
      <c r="R485" s="55" t="b">
        <v>0</v>
      </c>
      <c r="S485" s="55" t="b">
        <v>0</v>
      </c>
      <c r="T485" s="55" t="b">
        <v>0</v>
      </c>
      <c r="U485" s="55" t="b">
        <v>0</v>
      </c>
      <c r="V485" s="55" t="b">
        <v>0</v>
      </c>
    </row>
    <row r="486" ht="69" customHeight="1" s="211">
      <c r="A486" s="92">
        <f>Accounts!A486</f>
        <v/>
      </c>
      <c r="B486" s="12" t="b">
        <v>0</v>
      </c>
      <c r="C486" s="93">
        <f>Accounts!N486</f>
        <v/>
      </c>
      <c r="D486" s="94" t="n"/>
      <c r="E486" s="93">
        <f>Accounts!F486</f>
        <v/>
      </c>
      <c r="F486" s="94">
        <f>Accounts!Q486</f>
        <v/>
      </c>
      <c r="G486" s="94">
        <f>Accounts!R486</f>
        <v/>
      </c>
      <c r="H486" s="94">
        <f>Accounts!I486</f>
        <v/>
      </c>
      <c r="I486" s="94">
        <f>Accounts!J486</f>
        <v/>
      </c>
      <c r="J486" s="93">
        <f>Accounts!S486</f>
        <v/>
      </c>
      <c r="K486" s="88" t="n"/>
      <c r="L486" s="95" t="n"/>
      <c r="M486" s="55" t="b">
        <v>0</v>
      </c>
      <c r="N486" s="96" t="b">
        <v>0</v>
      </c>
      <c r="O486" s="55" t="b">
        <v>0</v>
      </c>
      <c r="P486" s="55" t="b">
        <v>0</v>
      </c>
      <c r="Q486" s="55" t="b">
        <v>0</v>
      </c>
      <c r="R486" s="55" t="b">
        <v>0</v>
      </c>
      <c r="S486" s="55" t="b">
        <v>0</v>
      </c>
      <c r="T486" s="55" t="b">
        <v>0</v>
      </c>
      <c r="U486" s="55" t="b">
        <v>0</v>
      </c>
      <c r="V486" s="55" t="b">
        <v>0</v>
      </c>
    </row>
    <row r="487" ht="69" customHeight="1" s="211">
      <c r="A487" s="92">
        <f>Accounts!A487</f>
        <v/>
      </c>
      <c r="B487" s="12" t="b">
        <v>0</v>
      </c>
      <c r="C487" s="93">
        <f>Accounts!N487</f>
        <v/>
      </c>
      <c r="D487" s="94" t="n"/>
      <c r="E487" s="93">
        <f>Accounts!F487</f>
        <v/>
      </c>
      <c r="F487" s="94">
        <f>Accounts!Q487</f>
        <v/>
      </c>
      <c r="G487" s="94">
        <f>Accounts!R487</f>
        <v/>
      </c>
      <c r="H487" s="94">
        <f>Accounts!I487</f>
        <v/>
      </c>
      <c r="I487" s="94">
        <f>Accounts!J487</f>
        <v/>
      </c>
      <c r="J487" s="93">
        <f>Accounts!S487</f>
        <v/>
      </c>
      <c r="K487" s="88" t="n"/>
      <c r="L487" s="95" t="n"/>
      <c r="M487" s="55" t="b">
        <v>0</v>
      </c>
      <c r="N487" s="96" t="b">
        <v>0</v>
      </c>
      <c r="O487" s="55" t="b">
        <v>0</v>
      </c>
      <c r="P487" s="55" t="b">
        <v>0</v>
      </c>
      <c r="Q487" s="55" t="b">
        <v>0</v>
      </c>
      <c r="R487" s="55" t="b">
        <v>0</v>
      </c>
      <c r="S487" s="55" t="b">
        <v>0</v>
      </c>
      <c r="T487" s="55" t="b">
        <v>0</v>
      </c>
      <c r="U487" s="55" t="b">
        <v>0</v>
      </c>
      <c r="V487" s="55" t="b">
        <v>0</v>
      </c>
    </row>
    <row r="488" ht="69" customHeight="1" s="211">
      <c r="A488" s="92">
        <f>Accounts!A488</f>
        <v/>
      </c>
      <c r="B488" s="12" t="b">
        <v>0</v>
      </c>
      <c r="C488" s="93">
        <f>Accounts!N488</f>
        <v/>
      </c>
      <c r="D488" s="94" t="n"/>
      <c r="E488" s="93">
        <f>Accounts!F488</f>
        <v/>
      </c>
      <c r="F488" s="94">
        <f>Accounts!Q488</f>
        <v/>
      </c>
      <c r="G488" s="94">
        <f>Accounts!R488</f>
        <v/>
      </c>
      <c r="H488" s="94">
        <f>Accounts!I488</f>
        <v/>
      </c>
      <c r="I488" s="94">
        <f>Accounts!J488</f>
        <v/>
      </c>
      <c r="J488" s="93">
        <f>Accounts!S488</f>
        <v/>
      </c>
      <c r="K488" s="88" t="n"/>
      <c r="L488" s="95" t="n"/>
      <c r="M488" s="55" t="b">
        <v>0</v>
      </c>
      <c r="N488" s="96" t="b">
        <v>0</v>
      </c>
      <c r="O488" s="55" t="b">
        <v>0</v>
      </c>
      <c r="P488" s="55" t="b">
        <v>0</v>
      </c>
      <c r="Q488" s="55" t="b">
        <v>0</v>
      </c>
      <c r="R488" s="55" t="b">
        <v>0</v>
      </c>
      <c r="S488" s="55" t="b">
        <v>0</v>
      </c>
      <c r="T488" s="55" t="b">
        <v>0</v>
      </c>
      <c r="U488" s="55" t="b">
        <v>0</v>
      </c>
      <c r="V488" s="55" t="b">
        <v>0</v>
      </c>
    </row>
    <row r="489" ht="69" customHeight="1" s="211">
      <c r="A489" s="92">
        <f>Accounts!A489</f>
        <v/>
      </c>
      <c r="B489" s="12" t="b">
        <v>0</v>
      </c>
      <c r="C489" s="93">
        <f>Accounts!N489</f>
        <v/>
      </c>
      <c r="D489" s="94" t="n"/>
      <c r="E489" s="93">
        <f>Accounts!F489</f>
        <v/>
      </c>
      <c r="F489" s="94">
        <f>Accounts!Q489</f>
        <v/>
      </c>
      <c r="G489" s="94">
        <f>Accounts!R489</f>
        <v/>
      </c>
      <c r="H489" s="94">
        <f>Accounts!I489</f>
        <v/>
      </c>
      <c r="I489" s="94">
        <f>Accounts!J489</f>
        <v/>
      </c>
      <c r="J489" s="93">
        <f>Accounts!S489</f>
        <v/>
      </c>
      <c r="K489" s="88" t="n"/>
      <c r="L489" s="95" t="n"/>
      <c r="M489" s="55" t="b">
        <v>0</v>
      </c>
      <c r="N489" s="96" t="b">
        <v>0</v>
      </c>
      <c r="O489" s="55" t="b">
        <v>0</v>
      </c>
      <c r="P489" s="55" t="b">
        <v>0</v>
      </c>
      <c r="Q489" s="55" t="b">
        <v>0</v>
      </c>
      <c r="R489" s="55" t="b">
        <v>0</v>
      </c>
      <c r="S489" s="55" t="b">
        <v>0</v>
      </c>
      <c r="T489" s="55" t="b">
        <v>0</v>
      </c>
      <c r="U489" s="55" t="b">
        <v>0</v>
      </c>
      <c r="V489" s="55" t="b">
        <v>0</v>
      </c>
    </row>
    <row r="490" ht="69" customHeight="1" s="211">
      <c r="A490" s="92">
        <f>Accounts!A490</f>
        <v/>
      </c>
      <c r="B490" s="12" t="b">
        <v>0</v>
      </c>
      <c r="C490" s="93">
        <f>Accounts!N490</f>
        <v/>
      </c>
      <c r="D490" s="94" t="n"/>
      <c r="E490" s="93">
        <f>Accounts!F490</f>
        <v/>
      </c>
      <c r="F490" s="94">
        <f>Accounts!Q490</f>
        <v/>
      </c>
      <c r="G490" s="94">
        <f>Accounts!R490</f>
        <v/>
      </c>
      <c r="H490" s="94">
        <f>Accounts!I490</f>
        <v/>
      </c>
      <c r="I490" s="94">
        <f>Accounts!J490</f>
        <v/>
      </c>
      <c r="J490" s="93">
        <f>Accounts!S490</f>
        <v/>
      </c>
      <c r="K490" s="88" t="n"/>
      <c r="L490" s="95" t="n"/>
      <c r="M490" s="55" t="b">
        <v>0</v>
      </c>
      <c r="N490" s="96" t="b">
        <v>0</v>
      </c>
      <c r="O490" s="55" t="b">
        <v>0</v>
      </c>
      <c r="P490" s="55" t="b">
        <v>0</v>
      </c>
      <c r="Q490" s="55" t="b">
        <v>0</v>
      </c>
      <c r="R490" s="55" t="b">
        <v>0</v>
      </c>
      <c r="S490" s="55" t="b">
        <v>0</v>
      </c>
      <c r="T490" s="55" t="b">
        <v>0</v>
      </c>
      <c r="U490" s="55" t="b">
        <v>0</v>
      </c>
      <c r="V490" s="55" t="b">
        <v>0</v>
      </c>
    </row>
    <row r="491" ht="69" customHeight="1" s="211">
      <c r="A491" s="92">
        <f>Accounts!A491</f>
        <v/>
      </c>
      <c r="B491" s="12" t="b">
        <v>0</v>
      </c>
      <c r="C491" s="93">
        <f>Accounts!N491</f>
        <v/>
      </c>
      <c r="D491" s="94" t="n"/>
      <c r="E491" s="93">
        <f>Accounts!F491</f>
        <v/>
      </c>
      <c r="F491" s="94">
        <f>Accounts!Q491</f>
        <v/>
      </c>
      <c r="G491" s="94">
        <f>Accounts!R491</f>
        <v/>
      </c>
      <c r="H491" s="94">
        <f>Accounts!I491</f>
        <v/>
      </c>
      <c r="I491" s="94">
        <f>Accounts!J491</f>
        <v/>
      </c>
      <c r="J491" s="93">
        <f>Accounts!S491</f>
        <v/>
      </c>
      <c r="K491" s="88" t="n"/>
      <c r="L491" s="95" t="n"/>
      <c r="M491" s="55" t="b">
        <v>0</v>
      </c>
      <c r="N491" s="96" t="b">
        <v>0</v>
      </c>
      <c r="O491" s="55" t="b">
        <v>0</v>
      </c>
      <c r="P491" s="55" t="b">
        <v>0</v>
      </c>
      <c r="Q491" s="55" t="b">
        <v>0</v>
      </c>
      <c r="R491" s="55" t="b">
        <v>0</v>
      </c>
      <c r="S491" s="55" t="b">
        <v>0</v>
      </c>
      <c r="T491" s="55" t="b">
        <v>0</v>
      </c>
      <c r="U491" s="55" t="b">
        <v>0</v>
      </c>
      <c r="V491" s="55" t="b">
        <v>0</v>
      </c>
    </row>
    <row r="492" ht="69" customHeight="1" s="211">
      <c r="A492" s="92">
        <f>Accounts!A492</f>
        <v/>
      </c>
      <c r="B492" s="12" t="b">
        <v>0</v>
      </c>
      <c r="C492" s="93">
        <f>Accounts!N492</f>
        <v/>
      </c>
      <c r="D492" s="94" t="n"/>
      <c r="E492" s="93">
        <f>Accounts!F492</f>
        <v/>
      </c>
      <c r="F492" s="94">
        <f>Accounts!Q492</f>
        <v/>
      </c>
      <c r="G492" s="94">
        <f>Accounts!R492</f>
        <v/>
      </c>
      <c r="H492" s="94">
        <f>Accounts!I492</f>
        <v/>
      </c>
      <c r="I492" s="94">
        <f>Accounts!J492</f>
        <v/>
      </c>
      <c r="J492" s="93">
        <f>Accounts!S492</f>
        <v/>
      </c>
      <c r="K492" s="88" t="n"/>
      <c r="L492" s="95" t="n"/>
      <c r="M492" s="55" t="b">
        <v>0</v>
      </c>
      <c r="N492" s="96" t="b">
        <v>0</v>
      </c>
      <c r="O492" s="55" t="b">
        <v>0</v>
      </c>
      <c r="P492" s="55" t="b">
        <v>0</v>
      </c>
      <c r="Q492" s="55" t="b">
        <v>0</v>
      </c>
      <c r="R492" s="55" t="b">
        <v>0</v>
      </c>
      <c r="S492" s="55" t="b">
        <v>0</v>
      </c>
      <c r="T492" s="55" t="b">
        <v>0</v>
      </c>
      <c r="U492" s="55" t="b">
        <v>0</v>
      </c>
      <c r="V492" s="55" t="b">
        <v>0</v>
      </c>
    </row>
    <row r="493" ht="69" customHeight="1" s="211">
      <c r="A493" s="92">
        <f>Accounts!A493</f>
        <v/>
      </c>
      <c r="B493" s="12" t="b">
        <v>0</v>
      </c>
      <c r="C493" s="93">
        <f>Accounts!N493</f>
        <v/>
      </c>
      <c r="D493" s="94" t="n"/>
      <c r="E493" s="93">
        <f>Accounts!F493</f>
        <v/>
      </c>
      <c r="F493" s="94">
        <f>Accounts!Q493</f>
        <v/>
      </c>
      <c r="G493" s="94">
        <f>Accounts!R493</f>
        <v/>
      </c>
      <c r="H493" s="94">
        <f>Accounts!I493</f>
        <v/>
      </c>
      <c r="I493" s="94">
        <f>Accounts!J493</f>
        <v/>
      </c>
      <c r="J493" s="93">
        <f>Accounts!S493</f>
        <v/>
      </c>
      <c r="K493" s="88" t="n"/>
      <c r="L493" s="95" t="n"/>
      <c r="M493" s="55" t="b">
        <v>0</v>
      </c>
      <c r="N493" s="96" t="b">
        <v>0</v>
      </c>
      <c r="O493" s="55" t="b">
        <v>0</v>
      </c>
      <c r="P493" s="55" t="b">
        <v>0</v>
      </c>
      <c r="Q493" s="55" t="b">
        <v>0</v>
      </c>
      <c r="R493" s="55" t="b">
        <v>0</v>
      </c>
      <c r="S493" s="55" t="b">
        <v>0</v>
      </c>
      <c r="T493" s="55" t="b">
        <v>0</v>
      </c>
      <c r="U493" s="55" t="b">
        <v>0</v>
      </c>
      <c r="V493" s="55" t="b">
        <v>0</v>
      </c>
    </row>
    <row r="494" ht="69" customHeight="1" s="211">
      <c r="A494" s="92">
        <f>Accounts!A494</f>
        <v/>
      </c>
      <c r="B494" s="12" t="b">
        <v>0</v>
      </c>
      <c r="C494" s="93">
        <f>Accounts!N494</f>
        <v/>
      </c>
      <c r="D494" s="94" t="n"/>
      <c r="E494" s="93">
        <f>Accounts!F494</f>
        <v/>
      </c>
      <c r="F494" s="94">
        <f>Accounts!Q494</f>
        <v/>
      </c>
      <c r="G494" s="94">
        <f>Accounts!R494</f>
        <v/>
      </c>
      <c r="H494" s="94">
        <f>Accounts!I494</f>
        <v/>
      </c>
      <c r="I494" s="94">
        <f>Accounts!J494</f>
        <v/>
      </c>
      <c r="J494" s="93">
        <f>Accounts!S494</f>
        <v/>
      </c>
      <c r="K494" s="88" t="n"/>
      <c r="L494" s="95" t="n"/>
      <c r="M494" s="55" t="b">
        <v>0</v>
      </c>
      <c r="N494" s="96" t="b">
        <v>0</v>
      </c>
      <c r="O494" s="55" t="b">
        <v>0</v>
      </c>
      <c r="P494" s="55" t="b">
        <v>0</v>
      </c>
      <c r="Q494" s="55" t="b">
        <v>0</v>
      </c>
      <c r="R494" s="55" t="b">
        <v>0</v>
      </c>
      <c r="S494" s="55" t="b">
        <v>0</v>
      </c>
      <c r="T494" s="55" t="b">
        <v>0</v>
      </c>
      <c r="U494" s="55" t="b">
        <v>0</v>
      </c>
      <c r="V494" s="55" t="b">
        <v>0</v>
      </c>
    </row>
    <row r="495" ht="69" customHeight="1" s="211">
      <c r="A495" s="92">
        <f>Accounts!A495</f>
        <v/>
      </c>
      <c r="B495" s="12" t="b">
        <v>0</v>
      </c>
      <c r="C495" s="93">
        <f>Accounts!N495</f>
        <v/>
      </c>
      <c r="D495" s="94" t="n"/>
      <c r="E495" s="93">
        <f>Accounts!F495</f>
        <v/>
      </c>
      <c r="F495" s="94">
        <f>Accounts!Q495</f>
        <v/>
      </c>
      <c r="G495" s="94">
        <f>Accounts!R495</f>
        <v/>
      </c>
      <c r="H495" s="94">
        <f>Accounts!I495</f>
        <v/>
      </c>
      <c r="I495" s="94">
        <f>Accounts!J495</f>
        <v/>
      </c>
      <c r="J495" s="93">
        <f>Accounts!S495</f>
        <v/>
      </c>
      <c r="K495" s="88" t="n"/>
      <c r="L495" s="95" t="n"/>
      <c r="M495" s="55" t="b">
        <v>0</v>
      </c>
      <c r="N495" s="96" t="b">
        <v>0</v>
      </c>
      <c r="O495" s="55" t="b">
        <v>0</v>
      </c>
      <c r="P495" s="55" t="b">
        <v>0</v>
      </c>
      <c r="Q495" s="55" t="b">
        <v>0</v>
      </c>
      <c r="R495" s="55" t="b">
        <v>0</v>
      </c>
      <c r="S495" s="55" t="b">
        <v>0</v>
      </c>
      <c r="T495" s="55" t="b">
        <v>0</v>
      </c>
      <c r="U495" s="55" t="b">
        <v>0</v>
      </c>
      <c r="V495" s="55" t="b">
        <v>0</v>
      </c>
    </row>
    <row r="496" ht="69" customHeight="1" s="211">
      <c r="A496" s="92">
        <f>Accounts!A496</f>
        <v/>
      </c>
      <c r="B496" s="12" t="b">
        <v>0</v>
      </c>
      <c r="C496" s="93">
        <f>Accounts!N496</f>
        <v/>
      </c>
      <c r="D496" s="94" t="n"/>
      <c r="E496" s="93">
        <f>Accounts!F496</f>
        <v/>
      </c>
      <c r="F496" s="94">
        <f>Accounts!Q496</f>
        <v/>
      </c>
      <c r="G496" s="94">
        <f>Accounts!R496</f>
        <v/>
      </c>
      <c r="H496" s="94">
        <f>Accounts!I496</f>
        <v/>
      </c>
      <c r="I496" s="94">
        <f>Accounts!J496</f>
        <v/>
      </c>
      <c r="J496" s="93">
        <f>Accounts!S496</f>
        <v/>
      </c>
      <c r="K496" s="88" t="n"/>
      <c r="L496" s="95" t="n"/>
      <c r="M496" s="55" t="b">
        <v>0</v>
      </c>
      <c r="N496" s="96" t="b">
        <v>0</v>
      </c>
      <c r="O496" s="55" t="b">
        <v>0</v>
      </c>
      <c r="P496" s="55" t="b">
        <v>0</v>
      </c>
      <c r="Q496" s="55" t="b">
        <v>0</v>
      </c>
      <c r="R496" s="55" t="b">
        <v>0</v>
      </c>
      <c r="S496" s="55" t="b">
        <v>0</v>
      </c>
      <c r="T496" s="55" t="b">
        <v>0</v>
      </c>
      <c r="U496" s="55" t="b">
        <v>0</v>
      </c>
      <c r="V496" s="55" t="b">
        <v>0</v>
      </c>
    </row>
    <row r="497" ht="69" customHeight="1" s="211">
      <c r="A497" s="92">
        <f>Accounts!A497</f>
        <v/>
      </c>
      <c r="B497" s="12" t="b">
        <v>0</v>
      </c>
      <c r="C497" s="93">
        <f>Accounts!N497</f>
        <v/>
      </c>
      <c r="D497" s="94" t="n"/>
      <c r="E497" s="93">
        <f>Accounts!F497</f>
        <v/>
      </c>
      <c r="F497" s="94">
        <f>Accounts!Q497</f>
        <v/>
      </c>
      <c r="G497" s="94">
        <f>Accounts!R497</f>
        <v/>
      </c>
      <c r="H497" s="94">
        <f>Accounts!I497</f>
        <v/>
      </c>
      <c r="I497" s="94">
        <f>Accounts!J497</f>
        <v/>
      </c>
      <c r="J497" s="93">
        <f>Accounts!S497</f>
        <v/>
      </c>
      <c r="K497" s="88" t="n"/>
      <c r="L497" s="95" t="n"/>
      <c r="M497" s="55" t="b">
        <v>0</v>
      </c>
      <c r="N497" s="96" t="b">
        <v>0</v>
      </c>
      <c r="O497" s="55" t="b">
        <v>0</v>
      </c>
      <c r="P497" s="55" t="b">
        <v>0</v>
      </c>
      <c r="Q497" s="55" t="b">
        <v>0</v>
      </c>
      <c r="R497" s="55" t="b">
        <v>0</v>
      </c>
      <c r="S497" s="55" t="b">
        <v>0</v>
      </c>
      <c r="T497" s="55" t="b">
        <v>0</v>
      </c>
      <c r="U497" s="55" t="b">
        <v>0</v>
      </c>
      <c r="V497" s="55" t="b">
        <v>0</v>
      </c>
    </row>
    <row r="498" ht="69" customHeight="1" s="211">
      <c r="A498" s="92">
        <f>Accounts!A498</f>
        <v/>
      </c>
      <c r="B498" s="12" t="b">
        <v>0</v>
      </c>
      <c r="C498" s="93">
        <f>Accounts!N498</f>
        <v/>
      </c>
      <c r="D498" s="94" t="n"/>
      <c r="E498" s="93">
        <f>Accounts!F498</f>
        <v/>
      </c>
      <c r="F498" s="94">
        <f>Accounts!Q498</f>
        <v/>
      </c>
      <c r="G498" s="94">
        <f>Accounts!R498</f>
        <v/>
      </c>
      <c r="H498" s="94">
        <f>Accounts!I498</f>
        <v/>
      </c>
      <c r="I498" s="94">
        <f>Accounts!J498</f>
        <v/>
      </c>
      <c r="J498" s="93">
        <f>Accounts!S498</f>
        <v/>
      </c>
      <c r="K498" s="88" t="n"/>
      <c r="L498" s="95" t="n"/>
      <c r="M498" s="55" t="b">
        <v>0</v>
      </c>
      <c r="N498" s="96" t="b">
        <v>0</v>
      </c>
      <c r="O498" s="55" t="b">
        <v>0</v>
      </c>
      <c r="P498" s="55" t="b">
        <v>0</v>
      </c>
      <c r="Q498" s="55" t="b">
        <v>0</v>
      </c>
      <c r="R498" s="55" t="b">
        <v>0</v>
      </c>
      <c r="S498" s="55" t="b">
        <v>0</v>
      </c>
      <c r="T498" s="55" t="b">
        <v>0</v>
      </c>
      <c r="U498" s="55" t="b">
        <v>0</v>
      </c>
      <c r="V498" s="55" t="b">
        <v>0</v>
      </c>
    </row>
    <row r="499" ht="69" customHeight="1" s="211">
      <c r="A499" s="92">
        <f>Accounts!A499</f>
        <v/>
      </c>
      <c r="B499" s="12" t="b">
        <v>0</v>
      </c>
      <c r="C499" s="93">
        <f>Accounts!N499</f>
        <v/>
      </c>
      <c r="D499" s="94" t="n"/>
      <c r="E499" s="93">
        <f>Accounts!F499</f>
        <v/>
      </c>
      <c r="F499" s="94">
        <f>Accounts!Q499</f>
        <v/>
      </c>
      <c r="G499" s="94">
        <f>Accounts!R499</f>
        <v/>
      </c>
      <c r="H499" s="94">
        <f>Accounts!I499</f>
        <v/>
      </c>
      <c r="I499" s="94">
        <f>Accounts!J499</f>
        <v/>
      </c>
      <c r="J499" s="93">
        <f>Accounts!S499</f>
        <v/>
      </c>
      <c r="K499" s="88" t="n"/>
      <c r="L499" s="95" t="n"/>
      <c r="M499" s="55" t="b">
        <v>0</v>
      </c>
      <c r="N499" s="96" t="b">
        <v>0</v>
      </c>
      <c r="O499" s="55" t="b">
        <v>0</v>
      </c>
      <c r="P499" s="55" t="b">
        <v>0</v>
      </c>
      <c r="Q499" s="55" t="b">
        <v>0</v>
      </c>
      <c r="R499" s="55" t="b">
        <v>0</v>
      </c>
      <c r="S499" s="55" t="b">
        <v>0</v>
      </c>
      <c r="T499" s="55" t="b">
        <v>0</v>
      </c>
      <c r="U499" s="55" t="b">
        <v>0</v>
      </c>
      <c r="V499" s="55" t="b">
        <v>0</v>
      </c>
    </row>
    <row r="500" ht="69" customHeight="1" s="211">
      <c r="A500" s="92">
        <f>Accounts!A500</f>
        <v/>
      </c>
      <c r="B500" s="12" t="b">
        <v>0</v>
      </c>
      <c r="C500" s="93">
        <f>Accounts!N500</f>
        <v/>
      </c>
      <c r="D500" s="94" t="n"/>
      <c r="E500" s="93">
        <f>Accounts!F500</f>
        <v/>
      </c>
      <c r="F500" s="94">
        <f>Accounts!Q500</f>
        <v/>
      </c>
      <c r="G500" s="94">
        <f>Accounts!R500</f>
        <v/>
      </c>
      <c r="H500" s="94">
        <f>Accounts!I500</f>
        <v/>
      </c>
      <c r="I500" s="94">
        <f>Accounts!J500</f>
        <v/>
      </c>
      <c r="J500" s="93">
        <f>Accounts!S500</f>
        <v/>
      </c>
      <c r="K500" s="88" t="n"/>
      <c r="L500" s="95" t="n"/>
      <c r="M500" s="55" t="b">
        <v>0</v>
      </c>
      <c r="N500" s="96" t="b">
        <v>0</v>
      </c>
      <c r="O500" s="55" t="b">
        <v>0</v>
      </c>
      <c r="P500" s="55" t="b">
        <v>0</v>
      </c>
      <c r="Q500" s="55" t="b">
        <v>0</v>
      </c>
      <c r="R500" s="55" t="b">
        <v>0</v>
      </c>
      <c r="S500" s="55" t="b">
        <v>0</v>
      </c>
      <c r="T500" s="55" t="b">
        <v>0</v>
      </c>
      <c r="U500" s="55" t="b">
        <v>0</v>
      </c>
      <c r="V500" s="55" t="b">
        <v>0</v>
      </c>
    </row>
    <row r="501" ht="69" customHeight="1" s="211">
      <c r="A501" s="92">
        <f>Accounts!A501</f>
        <v/>
      </c>
      <c r="B501" s="12" t="b">
        <v>0</v>
      </c>
      <c r="C501" s="93">
        <f>Accounts!N501</f>
        <v/>
      </c>
      <c r="D501" s="94" t="n"/>
      <c r="E501" s="93">
        <f>Accounts!F501</f>
        <v/>
      </c>
      <c r="F501" s="94">
        <f>Accounts!Q501</f>
        <v/>
      </c>
      <c r="G501" s="94">
        <f>Accounts!R501</f>
        <v/>
      </c>
      <c r="H501" s="94">
        <f>Accounts!I501</f>
        <v/>
      </c>
      <c r="I501" s="94">
        <f>Accounts!J501</f>
        <v/>
      </c>
      <c r="J501" s="93">
        <f>Accounts!S501</f>
        <v/>
      </c>
      <c r="K501" s="88" t="n"/>
      <c r="L501" s="95" t="n"/>
      <c r="M501" s="55" t="b">
        <v>0</v>
      </c>
      <c r="N501" s="96" t="b">
        <v>0</v>
      </c>
      <c r="O501" s="55" t="b">
        <v>0</v>
      </c>
      <c r="P501" s="55" t="b">
        <v>0</v>
      </c>
      <c r="Q501" s="55" t="b">
        <v>0</v>
      </c>
      <c r="R501" s="55" t="b">
        <v>0</v>
      </c>
      <c r="S501" s="55" t="b">
        <v>0</v>
      </c>
      <c r="T501" s="55" t="b">
        <v>0</v>
      </c>
      <c r="U501" s="55" t="b">
        <v>0</v>
      </c>
      <c r="V501" s="55" t="b">
        <v>0</v>
      </c>
    </row>
    <row r="502" ht="69" customHeight="1" s="211">
      <c r="A502" s="92">
        <f>Accounts!A502</f>
        <v/>
      </c>
      <c r="B502" s="12" t="b">
        <v>0</v>
      </c>
      <c r="C502" s="93">
        <f>Accounts!N502</f>
        <v/>
      </c>
      <c r="D502" s="94" t="n"/>
      <c r="E502" s="93">
        <f>Accounts!F502</f>
        <v/>
      </c>
      <c r="F502" s="94">
        <f>Accounts!Q502</f>
        <v/>
      </c>
      <c r="G502" s="94">
        <f>Accounts!R502</f>
        <v/>
      </c>
      <c r="H502" s="94">
        <f>Accounts!I502</f>
        <v/>
      </c>
      <c r="I502" s="94">
        <f>Accounts!J502</f>
        <v/>
      </c>
      <c r="J502" s="93">
        <f>Accounts!S502</f>
        <v/>
      </c>
      <c r="K502" s="88" t="n"/>
      <c r="L502" s="95" t="n"/>
      <c r="M502" s="55" t="b">
        <v>0</v>
      </c>
      <c r="N502" s="96" t="b">
        <v>0</v>
      </c>
      <c r="O502" s="55" t="b">
        <v>0</v>
      </c>
      <c r="P502" s="55" t="b">
        <v>0</v>
      </c>
      <c r="Q502" s="55" t="b">
        <v>0</v>
      </c>
      <c r="R502" s="55" t="b">
        <v>0</v>
      </c>
      <c r="S502" s="55" t="b">
        <v>0</v>
      </c>
      <c r="T502" s="55" t="b">
        <v>0</v>
      </c>
      <c r="U502" s="55" t="b">
        <v>0</v>
      </c>
      <c r="V502" s="55" t="b">
        <v>0</v>
      </c>
    </row>
    <row r="503" ht="69" customHeight="1" s="211">
      <c r="A503" s="92">
        <f>Accounts!A503</f>
        <v/>
      </c>
      <c r="B503" s="12" t="b">
        <v>0</v>
      </c>
      <c r="C503" s="93">
        <f>Accounts!N503</f>
        <v/>
      </c>
      <c r="D503" s="94" t="n"/>
      <c r="E503" s="93">
        <f>Accounts!F503</f>
        <v/>
      </c>
      <c r="F503" s="94">
        <f>Accounts!Q503</f>
        <v/>
      </c>
      <c r="G503" s="94">
        <f>Accounts!R503</f>
        <v/>
      </c>
      <c r="H503" s="94">
        <f>Accounts!I503</f>
        <v/>
      </c>
      <c r="I503" s="94">
        <f>Accounts!J503</f>
        <v/>
      </c>
      <c r="J503" s="93">
        <f>Accounts!S503</f>
        <v/>
      </c>
      <c r="K503" s="88" t="n"/>
      <c r="L503" s="95" t="n"/>
      <c r="M503" s="55" t="b">
        <v>0</v>
      </c>
      <c r="N503" s="96" t="b">
        <v>0</v>
      </c>
      <c r="O503" s="55" t="b">
        <v>0</v>
      </c>
      <c r="P503" s="55" t="b">
        <v>0</v>
      </c>
      <c r="Q503" s="55" t="b">
        <v>0</v>
      </c>
      <c r="R503" s="55" t="b">
        <v>0</v>
      </c>
      <c r="S503" s="55" t="b">
        <v>0</v>
      </c>
      <c r="T503" s="55" t="b">
        <v>0</v>
      </c>
      <c r="U503" s="55" t="b">
        <v>0</v>
      </c>
      <c r="V503" s="55" t="b">
        <v>0</v>
      </c>
    </row>
    <row r="504" ht="69" customHeight="1" s="211">
      <c r="A504" s="92">
        <f>Accounts!A504</f>
        <v/>
      </c>
      <c r="B504" s="12" t="b">
        <v>0</v>
      </c>
      <c r="C504" s="93">
        <f>Accounts!N504</f>
        <v/>
      </c>
      <c r="D504" s="94" t="n"/>
      <c r="E504" s="93">
        <f>Accounts!F504</f>
        <v/>
      </c>
      <c r="F504" s="94">
        <f>Accounts!Q504</f>
        <v/>
      </c>
      <c r="G504" s="94">
        <f>Accounts!R504</f>
        <v/>
      </c>
      <c r="H504" s="94">
        <f>Accounts!I504</f>
        <v/>
      </c>
      <c r="I504" s="94">
        <f>Accounts!J504</f>
        <v/>
      </c>
      <c r="J504" s="93">
        <f>Accounts!S504</f>
        <v/>
      </c>
      <c r="K504" s="88" t="n"/>
      <c r="L504" s="95" t="n"/>
      <c r="M504" s="55" t="b">
        <v>0</v>
      </c>
      <c r="N504" s="96" t="b">
        <v>0</v>
      </c>
      <c r="O504" s="55" t="b">
        <v>0</v>
      </c>
      <c r="P504" s="55" t="b">
        <v>0</v>
      </c>
      <c r="Q504" s="55" t="b">
        <v>0</v>
      </c>
      <c r="R504" s="55" t="b">
        <v>0</v>
      </c>
      <c r="S504" s="55" t="b">
        <v>0</v>
      </c>
      <c r="T504" s="55" t="b">
        <v>0</v>
      </c>
      <c r="U504" s="55" t="b">
        <v>0</v>
      </c>
      <c r="V504" s="55" t="b">
        <v>0</v>
      </c>
    </row>
    <row r="505" ht="69" customHeight="1" s="211">
      <c r="A505" s="92">
        <f>Accounts!A505</f>
        <v/>
      </c>
      <c r="B505" s="12" t="b">
        <v>0</v>
      </c>
      <c r="C505" s="93">
        <f>Accounts!N505</f>
        <v/>
      </c>
      <c r="D505" s="94" t="n"/>
      <c r="E505" s="93">
        <f>Accounts!F505</f>
        <v/>
      </c>
      <c r="F505" s="94">
        <f>Accounts!Q505</f>
        <v/>
      </c>
      <c r="G505" s="94">
        <f>Accounts!R505</f>
        <v/>
      </c>
      <c r="H505" s="94">
        <f>Accounts!I505</f>
        <v/>
      </c>
      <c r="I505" s="94">
        <f>Accounts!J505</f>
        <v/>
      </c>
      <c r="J505" s="93">
        <f>Accounts!S505</f>
        <v/>
      </c>
      <c r="K505" s="88" t="n"/>
      <c r="L505" s="95" t="n"/>
      <c r="M505" s="55" t="b">
        <v>0</v>
      </c>
      <c r="N505" s="96" t="b">
        <v>0</v>
      </c>
      <c r="O505" s="55" t="b">
        <v>0</v>
      </c>
      <c r="P505" s="55" t="b">
        <v>0</v>
      </c>
      <c r="Q505" s="55" t="b">
        <v>0</v>
      </c>
      <c r="R505" s="55" t="b">
        <v>0</v>
      </c>
      <c r="S505" s="55" t="b">
        <v>0</v>
      </c>
      <c r="T505" s="55" t="b">
        <v>0</v>
      </c>
      <c r="U505" s="55" t="b">
        <v>0</v>
      </c>
      <c r="V505" s="55" t="b">
        <v>0</v>
      </c>
    </row>
    <row r="506" ht="69" customHeight="1" s="211">
      <c r="A506" s="92">
        <f>Accounts!A506</f>
        <v/>
      </c>
      <c r="B506" s="12" t="b">
        <v>0</v>
      </c>
      <c r="C506" s="93">
        <f>Accounts!N506</f>
        <v/>
      </c>
      <c r="D506" s="94" t="n"/>
      <c r="E506" s="93">
        <f>Accounts!F506</f>
        <v/>
      </c>
      <c r="F506" s="94">
        <f>Accounts!Q506</f>
        <v/>
      </c>
      <c r="G506" s="94">
        <f>Accounts!R506</f>
        <v/>
      </c>
      <c r="H506" s="94">
        <f>Accounts!I506</f>
        <v/>
      </c>
      <c r="I506" s="94">
        <f>Accounts!J506</f>
        <v/>
      </c>
      <c r="J506" s="93">
        <f>Accounts!S506</f>
        <v/>
      </c>
      <c r="K506" s="88" t="n"/>
      <c r="L506" s="95" t="n"/>
      <c r="M506" s="55" t="b">
        <v>0</v>
      </c>
      <c r="N506" s="96" t="b">
        <v>0</v>
      </c>
      <c r="O506" s="55" t="b">
        <v>0</v>
      </c>
      <c r="P506" s="55" t="b">
        <v>0</v>
      </c>
      <c r="Q506" s="55" t="b">
        <v>0</v>
      </c>
      <c r="R506" s="55" t="b">
        <v>0</v>
      </c>
      <c r="S506" s="55" t="b">
        <v>0</v>
      </c>
      <c r="T506" s="55" t="b">
        <v>0</v>
      </c>
      <c r="U506" s="55" t="b">
        <v>0</v>
      </c>
      <c r="V506" s="55" t="b">
        <v>0</v>
      </c>
    </row>
    <row r="507" ht="69" customHeight="1" s="211">
      <c r="A507" s="92">
        <f>Accounts!A507</f>
        <v/>
      </c>
      <c r="B507" s="12" t="b">
        <v>0</v>
      </c>
      <c r="C507" s="93">
        <f>Accounts!N507</f>
        <v/>
      </c>
      <c r="D507" s="94" t="n"/>
      <c r="E507" s="93">
        <f>Accounts!F507</f>
        <v/>
      </c>
      <c r="F507" s="94">
        <f>Accounts!Q507</f>
        <v/>
      </c>
      <c r="G507" s="94">
        <f>Accounts!R507</f>
        <v/>
      </c>
      <c r="H507" s="94">
        <f>Accounts!I507</f>
        <v/>
      </c>
      <c r="I507" s="94">
        <f>Accounts!J507</f>
        <v/>
      </c>
      <c r="J507" s="93">
        <f>Accounts!S507</f>
        <v/>
      </c>
      <c r="K507" s="88" t="n"/>
      <c r="L507" s="95" t="n"/>
      <c r="M507" s="55" t="b">
        <v>0</v>
      </c>
      <c r="N507" s="96" t="b">
        <v>0</v>
      </c>
      <c r="O507" s="55" t="b">
        <v>0</v>
      </c>
      <c r="P507" s="55" t="b">
        <v>0</v>
      </c>
      <c r="Q507" s="55" t="b">
        <v>0</v>
      </c>
      <c r="R507" s="55" t="b">
        <v>0</v>
      </c>
      <c r="S507" s="55" t="b">
        <v>0</v>
      </c>
      <c r="T507" s="55" t="b">
        <v>0</v>
      </c>
      <c r="U507" s="55" t="b">
        <v>0</v>
      </c>
      <c r="V507" s="55" t="b">
        <v>0</v>
      </c>
    </row>
    <row r="508" ht="69" customHeight="1" s="211">
      <c r="A508" s="92">
        <f>Accounts!A508</f>
        <v/>
      </c>
      <c r="B508" s="12" t="b">
        <v>0</v>
      </c>
      <c r="C508" s="93">
        <f>Accounts!N508</f>
        <v/>
      </c>
      <c r="D508" s="94" t="n"/>
      <c r="E508" s="93">
        <f>Accounts!F508</f>
        <v/>
      </c>
      <c r="F508" s="94">
        <f>Accounts!Q508</f>
        <v/>
      </c>
      <c r="G508" s="94">
        <f>Accounts!R508</f>
        <v/>
      </c>
      <c r="H508" s="94">
        <f>Accounts!I508</f>
        <v/>
      </c>
      <c r="I508" s="94">
        <f>Accounts!J508</f>
        <v/>
      </c>
      <c r="J508" s="93">
        <f>Accounts!S508</f>
        <v/>
      </c>
      <c r="K508" s="88" t="n"/>
      <c r="L508" s="95" t="n"/>
      <c r="M508" s="55" t="b">
        <v>0</v>
      </c>
      <c r="N508" s="96" t="b">
        <v>0</v>
      </c>
      <c r="O508" s="55" t="b">
        <v>0</v>
      </c>
      <c r="P508" s="55" t="b">
        <v>0</v>
      </c>
      <c r="Q508" s="55" t="b">
        <v>0</v>
      </c>
      <c r="R508" s="55" t="b">
        <v>0</v>
      </c>
      <c r="S508" s="55" t="b">
        <v>0</v>
      </c>
      <c r="T508" s="55" t="b">
        <v>0</v>
      </c>
      <c r="U508" s="55" t="b">
        <v>0</v>
      </c>
      <c r="V508" s="55" t="b">
        <v>0</v>
      </c>
    </row>
    <row r="509" ht="69" customHeight="1" s="211">
      <c r="A509" s="92">
        <f>Accounts!A509</f>
        <v/>
      </c>
      <c r="B509" s="12" t="b">
        <v>0</v>
      </c>
      <c r="C509" s="93">
        <f>Accounts!N509</f>
        <v/>
      </c>
      <c r="D509" s="94" t="n"/>
      <c r="E509" s="93">
        <f>Accounts!F509</f>
        <v/>
      </c>
      <c r="F509" s="94">
        <f>Accounts!Q509</f>
        <v/>
      </c>
      <c r="G509" s="94">
        <f>Accounts!R509</f>
        <v/>
      </c>
      <c r="H509" s="94">
        <f>Accounts!I509</f>
        <v/>
      </c>
      <c r="I509" s="94">
        <f>Accounts!J509</f>
        <v/>
      </c>
      <c r="J509" s="93">
        <f>Accounts!S509</f>
        <v/>
      </c>
      <c r="K509" s="88" t="n"/>
      <c r="L509" s="95" t="n"/>
      <c r="M509" s="55" t="b">
        <v>0</v>
      </c>
      <c r="N509" s="96" t="b">
        <v>0</v>
      </c>
      <c r="O509" s="55" t="b">
        <v>0</v>
      </c>
      <c r="P509" s="55" t="b">
        <v>0</v>
      </c>
      <c r="Q509" s="55" t="b">
        <v>0</v>
      </c>
      <c r="R509" s="55" t="b">
        <v>0</v>
      </c>
      <c r="S509" s="55" t="b">
        <v>0</v>
      </c>
      <c r="T509" s="55" t="b">
        <v>0</v>
      </c>
      <c r="U509" s="55" t="b">
        <v>0</v>
      </c>
      <c r="V509" s="55" t="b">
        <v>0</v>
      </c>
    </row>
    <row r="510" ht="69" customHeight="1" s="211">
      <c r="A510" s="92">
        <f>Accounts!A510</f>
        <v/>
      </c>
      <c r="B510" s="12" t="b">
        <v>0</v>
      </c>
      <c r="C510" s="93">
        <f>Accounts!N510</f>
        <v/>
      </c>
      <c r="D510" s="94" t="n"/>
      <c r="E510" s="93">
        <f>Accounts!F510</f>
        <v/>
      </c>
      <c r="F510" s="94">
        <f>Accounts!Q510</f>
        <v/>
      </c>
      <c r="G510" s="94">
        <f>Accounts!R510</f>
        <v/>
      </c>
      <c r="H510" s="94">
        <f>Accounts!I510</f>
        <v/>
      </c>
      <c r="I510" s="94">
        <f>Accounts!J510</f>
        <v/>
      </c>
      <c r="J510" s="93">
        <f>Accounts!S510</f>
        <v/>
      </c>
      <c r="K510" s="88" t="n"/>
      <c r="L510" s="95" t="n"/>
      <c r="M510" s="55" t="b">
        <v>0</v>
      </c>
      <c r="N510" s="96" t="b">
        <v>0</v>
      </c>
      <c r="O510" s="55" t="b">
        <v>0</v>
      </c>
      <c r="P510" s="55" t="b">
        <v>0</v>
      </c>
      <c r="Q510" s="55" t="b">
        <v>0</v>
      </c>
      <c r="R510" s="55" t="b">
        <v>0</v>
      </c>
      <c r="S510" s="55" t="b">
        <v>0</v>
      </c>
      <c r="T510" s="55" t="b">
        <v>0</v>
      </c>
      <c r="U510" s="55" t="b">
        <v>0</v>
      </c>
      <c r="V510" s="55" t="b">
        <v>0</v>
      </c>
    </row>
    <row r="511" ht="69" customHeight="1" s="211">
      <c r="A511" s="92">
        <f>Accounts!A511</f>
        <v/>
      </c>
      <c r="B511" s="12" t="b">
        <v>0</v>
      </c>
      <c r="C511" s="93">
        <f>Accounts!N511</f>
        <v/>
      </c>
      <c r="D511" s="94" t="n"/>
      <c r="E511" s="93">
        <f>Accounts!F511</f>
        <v/>
      </c>
      <c r="F511" s="94">
        <f>Accounts!Q511</f>
        <v/>
      </c>
      <c r="G511" s="94">
        <f>Accounts!R511</f>
        <v/>
      </c>
      <c r="H511" s="94">
        <f>Accounts!I511</f>
        <v/>
      </c>
      <c r="I511" s="94">
        <f>Accounts!J511</f>
        <v/>
      </c>
      <c r="J511" s="93">
        <f>Accounts!S511</f>
        <v/>
      </c>
      <c r="K511" s="88" t="n"/>
      <c r="L511" s="95" t="n"/>
      <c r="M511" s="55" t="b">
        <v>0</v>
      </c>
      <c r="N511" s="96" t="b">
        <v>0</v>
      </c>
      <c r="O511" s="55" t="b">
        <v>0</v>
      </c>
      <c r="P511" s="55" t="b">
        <v>0</v>
      </c>
      <c r="Q511" s="55" t="b">
        <v>0</v>
      </c>
      <c r="R511" s="55" t="b">
        <v>0</v>
      </c>
      <c r="S511" s="55" t="b">
        <v>0</v>
      </c>
      <c r="T511" s="55" t="b">
        <v>0</v>
      </c>
      <c r="U511" s="55" t="b">
        <v>0</v>
      </c>
      <c r="V511" s="55" t="b">
        <v>0</v>
      </c>
    </row>
    <row r="512" ht="69" customHeight="1" s="211">
      <c r="A512" s="92">
        <f>Accounts!A512</f>
        <v/>
      </c>
      <c r="B512" s="12" t="b">
        <v>0</v>
      </c>
      <c r="C512" s="93">
        <f>Accounts!N512</f>
        <v/>
      </c>
      <c r="D512" s="94" t="n"/>
      <c r="E512" s="93">
        <f>Accounts!F512</f>
        <v/>
      </c>
      <c r="F512" s="94">
        <f>Accounts!Q512</f>
        <v/>
      </c>
      <c r="G512" s="94">
        <f>Accounts!R512</f>
        <v/>
      </c>
      <c r="H512" s="94">
        <f>Accounts!I512</f>
        <v/>
      </c>
      <c r="I512" s="94">
        <f>Accounts!J512</f>
        <v/>
      </c>
      <c r="J512" s="93">
        <f>Accounts!S512</f>
        <v/>
      </c>
      <c r="K512" s="88" t="n"/>
      <c r="L512" s="95" t="n"/>
      <c r="M512" s="55" t="b">
        <v>0</v>
      </c>
      <c r="N512" s="96" t="b">
        <v>0</v>
      </c>
      <c r="O512" s="55" t="b">
        <v>0</v>
      </c>
      <c r="P512" s="55" t="b">
        <v>0</v>
      </c>
      <c r="Q512" s="55" t="b">
        <v>0</v>
      </c>
      <c r="R512" s="55" t="b">
        <v>0</v>
      </c>
      <c r="S512" s="55" t="b">
        <v>0</v>
      </c>
      <c r="T512" s="55" t="b">
        <v>0</v>
      </c>
      <c r="U512" s="55" t="b">
        <v>0</v>
      </c>
      <c r="V512" s="55" t="b">
        <v>0</v>
      </c>
    </row>
    <row r="513" ht="69" customHeight="1" s="211">
      <c r="A513" s="92">
        <f>Accounts!A513</f>
        <v/>
      </c>
      <c r="B513" s="12" t="b">
        <v>0</v>
      </c>
      <c r="C513" s="93">
        <f>Accounts!N513</f>
        <v/>
      </c>
      <c r="D513" s="94" t="n"/>
      <c r="E513" s="93">
        <f>Accounts!F513</f>
        <v/>
      </c>
      <c r="F513" s="94">
        <f>Accounts!Q513</f>
        <v/>
      </c>
      <c r="G513" s="94">
        <f>Accounts!R513</f>
        <v/>
      </c>
      <c r="H513" s="94">
        <f>Accounts!I513</f>
        <v/>
      </c>
      <c r="I513" s="94">
        <f>Accounts!J513</f>
        <v/>
      </c>
      <c r="J513" s="93">
        <f>Accounts!S513</f>
        <v/>
      </c>
      <c r="K513" s="88" t="n"/>
      <c r="L513" s="95" t="n"/>
      <c r="M513" s="55" t="b">
        <v>0</v>
      </c>
      <c r="N513" s="96" t="b">
        <v>0</v>
      </c>
      <c r="O513" s="55" t="b">
        <v>0</v>
      </c>
      <c r="P513" s="55" t="b">
        <v>0</v>
      </c>
      <c r="Q513" s="55" t="b">
        <v>0</v>
      </c>
      <c r="R513" s="55" t="b">
        <v>0</v>
      </c>
      <c r="S513" s="55" t="b">
        <v>0</v>
      </c>
      <c r="T513" s="55" t="b">
        <v>0</v>
      </c>
      <c r="U513" s="55" t="b">
        <v>0</v>
      </c>
      <c r="V513" s="55" t="b">
        <v>0</v>
      </c>
    </row>
    <row r="514" ht="69" customHeight="1" s="211">
      <c r="A514" s="92">
        <f>Accounts!A514</f>
        <v/>
      </c>
      <c r="B514" s="12" t="b">
        <v>0</v>
      </c>
      <c r="C514" s="93">
        <f>Accounts!N514</f>
        <v/>
      </c>
      <c r="D514" s="94" t="n"/>
      <c r="E514" s="93">
        <f>Accounts!F514</f>
        <v/>
      </c>
      <c r="F514" s="94">
        <f>Accounts!Q514</f>
        <v/>
      </c>
      <c r="G514" s="94">
        <f>Accounts!R514</f>
        <v/>
      </c>
      <c r="H514" s="94">
        <f>Accounts!I514</f>
        <v/>
      </c>
      <c r="I514" s="94">
        <f>Accounts!J514</f>
        <v/>
      </c>
      <c r="J514" s="93">
        <f>Accounts!S514</f>
        <v/>
      </c>
      <c r="K514" s="88" t="n"/>
      <c r="L514" s="95" t="n"/>
      <c r="M514" s="55" t="b">
        <v>0</v>
      </c>
      <c r="N514" s="96" t="b">
        <v>0</v>
      </c>
      <c r="O514" s="55" t="b">
        <v>0</v>
      </c>
      <c r="P514" s="55" t="b">
        <v>0</v>
      </c>
      <c r="Q514" s="55" t="b">
        <v>0</v>
      </c>
      <c r="R514" s="55" t="b">
        <v>0</v>
      </c>
      <c r="S514" s="55" t="b">
        <v>0</v>
      </c>
      <c r="T514" s="55" t="b">
        <v>0</v>
      </c>
      <c r="U514" s="55" t="b">
        <v>0</v>
      </c>
      <c r="V514" s="55" t="b">
        <v>0</v>
      </c>
    </row>
    <row r="515" ht="69" customHeight="1" s="211">
      <c r="A515" s="92">
        <f>Accounts!A515</f>
        <v/>
      </c>
      <c r="B515" s="12" t="b">
        <v>0</v>
      </c>
      <c r="C515" s="93">
        <f>Accounts!N515</f>
        <v/>
      </c>
      <c r="D515" s="94" t="n"/>
      <c r="E515" s="93">
        <f>Accounts!F515</f>
        <v/>
      </c>
      <c r="F515" s="94">
        <f>Accounts!Q515</f>
        <v/>
      </c>
      <c r="G515" s="94">
        <f>Accounts!R515</f>
        <v/>
      </c>
      <c r="H515" s="94">
        <f>Accounts!I515</f>
        <v/>
      </c>
      <c r="I515" s="94">
        <f>Accounts!J515</f>
        <v/>
      </c>
      <c r="J515" s="93">
        <f>Accounts!S515</f>
        <v/>
      </c>
      <c r="K515" s="88" t="n"/>
      <c r="L515" s="95" t="n"/>
      <c r="M515" s="55" t="b">
        <v>0</v>
      </c>
      <c r="N515" s="96" t="b">
        <v>0</v>
      </c>
      <c r="O515" s="55" t="b">
        <v>0</v>
      </c>
      <c r="P515" s="55" t="b">
        <v>0</v>
      </c>
      <c r="Q515" s="55" t="b">
        <v>0</v>
      </c>
      <c r="R515" s="55" t="b">
        <v>0</v>
      </c>
      <c r="S515" s="55" t="b">
        <v>0</v>
      </c>
      <c r="T515" s="55" t="b">
        <v>0</v>
      </c>
      <c r="U515" s="55" t="b">
        <v>0</v>
      </c>
      <c r="V515" s="55" t="b">
        <v>0</v>
      </c>
    </row>
    <row r="516" ht="69" customHeight="1" s="211">
      <c r="A516" s="92">
        <f>Accounts!A516</f>
        <v/>
      </c>
      <c r="B516" s="12" t="b">
        <v>0</v>
      </c>
      <c r="C516" s="93">
        <f>Accounts!N516</f>
        <v/>
      </c>
      <c r="D516" s="94" t="n"/>
      <c r="E516" s="93">
        <f>Accounts!F516</f>
        <v/>
      </c>
      <c r="F516" s="94">
        <f>Accounts!Q516</f>
        <v/>
      </c>
      <c r="G516" s="94">
        <f>Accounts!R516</f>
        <v/>
      </c>
      <c r="H516" s="94">
        <f>Accounts!I516</f>
        <v/>
      </c>
      <c r="I516" s="94">
        <f>Accounts!J516</f>
        <v/>
      </c>
      <c r="J516" s="93">
        <f>Accounts!S516</f>
        <v/>
      </c>
      <c r="K516" s="88" t="n"/>
      <c r="L516" s="95" t="n"/>
      <c r="M516" s="55" t="b">
        <v>0</v>
      </c>
      <c r="N516" s="96" t="b">
        <v>0</v>
      </c>
      <c r="O516" s="55" t="b">
        <v>0</v>
      </c>
      <c r="P516" s="55" t="b">
        <v>0</v>
      </c>
      <c r="Q516" s="55" t="b">
        <v>0</v>
      </c>
      <c r="R516" s="55" t="b">
        <v>0</v>
      </c>
      <c r="S516" s="55" t="b">
        <v>0</v>
      </c>
      <c r="T516" s="55" t="b">
        <v>0</v>
      </c>
      <c r="U516" s="55" t="b">
        <v>0</v>
      </c>
      <c r="V516" s="55" t="b">
        <v>0</v>
      </c>
    </row>
    <row r="517" ht="69" customHeight="1" s="211">
      <c r="A517" s="92">
        <f>Accounts!A517</f>
        <v/>
      </c>
      <c r="B517" s="12" t="b">
        <v>0</v>
      </c>
      <c r="C517" s="93">
        <f>Accounts!N517</f>
        <v/>
      </c>
      <c r="D517" s="94" t="n"/>
      <c r="E517" s="93">
        <f>Accounts!F517</f>
        <v/>
      </c>
      <c r="F517" s="94">
        <f>Accounts!Q517</f>
        <v/>
      </c>
      <c r="G517" s="94">
        <f>Accounts!R517</f>
        <v/>
      </c>
      <c r="H517" s="94">
        <f>Accounts!I517</f>
        <v/>
      </c>
      <c r="I517" s="94">
        <f>Accounts!J517</f>
        <v/>
      </c>
      <c r="J517" s="93">
        <f>Accounts!S517</f>
        <v/>
      </c>
      <c r="K517" s="88" t="n"/>
      <c r="L517" s="95" t="n"/>
      <c r="M517" s="55" t="b">
        <v>0</v>
      </c>
      <c r="N517" s="96" t="b">
        <v>0</v>
      </c>
      <c r="O517" s="55" t="b">
        <v>0</v>
      </c>
      <c r="P517" s="55" t="b">
        <v>0</v>
      </c>
      <c r="Q517" s="55" t="b">
        <v>0</v>
      </c>
      <c r="R517" s="55" t="b">
        <v>0</v>
      </c>
      <c r="S517" s="55" t="b">
        <v>0</v>
      </c>
      <c r="T517" s="55" t="b">
        <v>0</v>
      </c>
      <c r="U517" s="55" t="b">
        <v>0</v>
      </c>
      <c r="V517" s="55" t="b">
        <v>0</v>
      </c>
    </row>
    <row r="518" ht="69" customHeight="1" s="211">
      <c r="A518" s="92">
        <f>Accounts!A518</f>
        <v/>
      </c>
      <c r="B518" s="12" t="b">
        <v>0</v>
      </c>
      <c r="C518" s="93">
        <f>Accounts!N518</f>
        <v/>
      </c>
      <c r="D518" s="94" t="n"/>
      <c r="E518" s="93">
        <f>Accounts!F518</f>
        <v/>
      </c>
      <c r="F518" s="94">
        <f>Accounts!Q518</f>
        <v/>
      </c>
      <c r="G518" s="94">
        <f>Accounts!R518</f>
        <v/>
      </c>
      <c r="H518" s="94">
        <f>Accounts!I518</f>
        <v/>
      </c>
      <c r="I518" s="94">
        <f>Accounts!J518</f>
        <v/>
      </c>
      <c r="J518" s="93">
        <f>Accounts!S518</f>
        <v/>
      </c>
      <c r="K518" s="88" t="n"/>
      <c r="L518" s="95" t="n"/>
      <c r="M518" s="55" t="b">
        <v>0</v>
      </c>
      <c r="N518" s="96" t="b">
        <v>0</v>
      </c>
      <c r="O518" s="55" t="b">
        <v>0</v>
      </c>
      <c r="P518" s="55" t="b">
        <v>0</v>
      </c>
      <c r="Q518" s="55" t="b">
        <v>0</v>
      </c>
      <c r="R518" s="55" t="b">
        <v>0</v>
      </c>
      <c r="S518" s="55" t="b">
        <v>0</v>
      </c>
      <c r="T518" s="55" t="b">
        <v>0</v>
      </c>
      <c r="U518" s="55" t="b">
        <v>0</v>
      </c>
      <c r="V518" s="55" t="b">
        <v>0</v>
      </c>
    </row>
    <row r="519" ht="69" customHeight="1" s="211">
      <c r="A519" s="92">
        <f>Accounts!A519</f>
        <v/>
      </c>
      <c r="B519" s="12" t="b">
        <v>0</v>
      </c>
      <c r="C519" s="93">
        <f>Accounts!N519</f>
        <v/>
      </c>
      <c r="D519" s="94" t="n"/>
      <c r="E519" s="93">
        <f>Accounts!F519</f>
        <v/>
      </c>
      <c r="F519" s="94">
        <f>Accounts!Q519</f>
        <v/>
      </c>
      <c r="G519" s="94">
        <f>Accounts!R519</f>
        <v/>
      </c>
      <c r="H519" s="94">
        <f>Accounts!I519</f>
        <v/>
      </c>
      <c r="I519" s="94">
        <f>Accounts!J519</f>
        <v/>
      </c>
      <c r="J519" s="93">
        <f>Accounts!S519</f>
        <v/>
      </c>
      <c r="K519" s="88" t="n"/>
      <c r="L519" s="95" t="n"/>
      <c r="M519" s="55" t="b">
        <v>0</v>
      </c>
      <c r="N519" s="96" t="b">
        <v>0</v>
      </c>
      <c r="O519" s="55" t="b">
        <v>0</v>
      </c>
      <c r="P519" s="55" t="b">
        <v>0</v>
      </c>
      <c r="Q519" s="55" t="b">
        <v>0</v>
      </c>
      <c r="R519" s="55" t="b">
        <v>0</v>
      </c>
      <c r="S519" s="55" t="b">
        <v>0</v>
      </c>
      <c r="T519" s="55" t="b">
        <v>0</v>
      </c>
      <c r="U519" s="55" t="b">
        <v>0</v>
      </c>
      <c r="V519" s="55" t="b">
        <v>0</v>
      </c>
    </row>
    <row r="520" ht="69" customHeight="1" s="211">
      <c r="A520" s="92">
        <f>Accounts!A520</f>
        <v/>
      </c>
      <c r="B520" s="12" t="b">
        <v>0</v>
      </c>
      <c r="C520" s="93">
        <f>Accounts!N520</f>
        <v/>
      </c>
      <c r="D520" s="94" t="n"/>
      <c r="E520" s="93">
        <f>Accounts!F520</f>
        <v/>
      </c>
      <c r="F520" s="94">
        <f>Accounts!Q520</f>
        <v/>
      </c>
      <c r="G520" s="94">
        <f>Accounts!R520</f>
        <v/>
      </c>
      <c r="H520" s="94">
        <f>Accounts!I520</f>
        <v/>
      </c>
      <c r="I520" s="94">
        <f>Accounts!J520</f>
        <v/>
      </c>
      <c r="J520" s="93">
        <f>Accounts!S520</f>
        <v/>
      </c>
      <c r="K520" s="88" t="n"/>
      <c r="L520" s="95" t="n"/>
      <c r="M520" s="55" t="b">
        <v>0</v>
      </c>
      <c r="N520" s="96" t="b">
        <v>0</v>
      </c>
      <c r="O520" s="55" t="b">
        <v>0</v>
      </c>
      <c r="P520" s="55" t="b">
        <v>0</v>
      </c>
      <c r="Q520" s="55" t="b">
        <v>0</v>
      </c>
      <c r="R520" s="55" t="b">
        <v>0</v>
      </c>
      <c r="S520" s="55" t="b">
        <v>0</v>
      </c>
      <c r="T520" s="55" t="b">
        <v>0</v>
      </c>
      <c r="U520" s="55" t="b">
        <v>0</v>
      </c>
      <c r="V520" s="55" t="b">
        <v>0</v>
      </c>
    </row>
    <row r="521" ht="69" customHeight="1" s="211">
      <c r="A521" s="92">
        <f>Accounts!A521</f>
        <v/>
      </c>
      <c r="B521" s="12" t="b">
        <v>0</v>
      </c>
      <c r="C521" s="93">
        <f>Accounts!N521</f>
        <v/>
      </c>
      <c r="D521" s="94" t="n"/>
      <c r="E521" s="93">
        <f>Accounts!F521</f>
        <v/>
      </c>
      <c r="F521" s="94">
        <f>Accounts!Q521</f>
        <v/>
      </c>
      <c r="G521" s="94">
        <f>Accounts!R521</f>
        <v/>
      </c>
      <c r="H521" s="94">
        <f>Accounts!I521</f>
        <v/>
      </c>
      <c r="I521" s="94">
        <f>Accounts!J521</f>
        <v/>
      </c>
      <c r="J521" s="93">
        <f>Accounts!S521</f>
        <v/>
      </c>
      <c r="K521" s="88" t="n"/>
      <c r="L521" s="95" t="n"/>
      <c r="M521" s="55" t="b">
        <v>0</v>
      </c>
      <c r="N521" s="96" t="b">
        <v>0</v>
      </c>
      <c r="O521" s="55" t="b">
        <v>0</v>
      </c>
      <c r="P521" s="55" t="b">
        <v>0</v>
      </c>
      <c r="Q521" s="55" t="b">
        <v>0</v>
      </c>
      <c r="R521" s="55" t="b">
        <v>0</v>
      </c>
      <c r="S521" s="55" t="b">
        <v>0</v>
      </c>
      <c r="T521" s="55" t="b">
        <v>0</v>
      </c>
      <c r="U521" s="55" t="b">
        <v>0</v>
      </c>
      <c r="V521" s="55" t="b">
        <v>0</v>
      </c>
    </row>
    <row r="522" ht="69" customHeight="1" s="211">
      <c r="A522" s="92">
        <f>Accounts!A522</f>
        <v/>
      </c>
      <c r="B522" s="12" t="b">
        <v>0</v>
      </c>
      <c r="C522" s="93">
        <f>Accounts!N522</f>
        <v/>
      </c>
      <c r="D522" s="94" t="n"/>
      <c r="E522" s="93">
        <f>Accounts!F522</f>
        <v/>
      </c>
      <c r="F522" s="94">
        <f>Accounts!Q522</f>
        <v/>
      </c>
      <c r="G522" s="94">
        <f>Accounts!R522</f>
        <v/>
      </c>
      <c r="H522" s="94">
        <f>Accounts!I522</f>
        <v/>
      </c>
      <c r="I522" s="94">
        <f>Accounts!J522</f>
        <v/>
      </c>
      <c r="J522" s="93">
        <f>Accounts!S522</f>
        <v/>
      </c>
      <c r="K522" s="88" t="n"/>
      <c r="L522" s="95" t="n"/>
      <c r="M522" s="55" t="b">
        <v>0</v>
      </c>
      <c r="N522" s="96" t="b">
        <v>0</v>
      </c>
      <c r="O522" s="55" t="b">
        <v>0</v>
      </c>
      <c r="P522" s="55" t="b">
        <v>0</v>
      </c>
      <c r="Q522" s="55" t="b">
        <v>0</v>
      </c>
      <c r="R522" s="55" t="b">
        <v>0</v>
      </c>
      <c r="S522" s="55" t="b">
        <v>0</v>
      </c>
      <c r="T522" s="55" t="b">
        <v>0</v>
      </c>
      <c r="U522" s="55" t="b">
        <v>0</v>
      </c>
      <c r="V522" s="55" t="b">
        <v>0</v>
      </c>
    </row>
    <row r="523" ht="69" customHeight="1" s="211">
      <c r="A523" s="92">
        <f>Accounts!A523</f>
        <v/>
      </c>
      <c r="B523" s="12" t="b">
        <v>0</v>
      </c>
      <c r="C523" s="93">
        <f>Accounts!N523</f>
        <v/>
      </c>
      <c r="D523" s="94" t="n"/>
      <c r="E523" s="93">
        <f>Accounts!F523</f>
        <v/>
      </c>
      <c r="F523" s="94">
        <f>Accounts!Q523</f>
        <v/>
      </c>
      <c r="G523" s="94">
        <f>Accounts!R523</f>
        <v/>
      </c>
      <c r="H523" s="94">
        <f>Accounts!I523</f>
        <v/>
      </c>
      <c r="I523" s="94">
        <f>Accounts!J523</f>
        <v/>
      </c>
      <c r="J523" s="93">
        <f>Accounts!S523</f>
        <v/>
      </c>
      <c r="K523" s="88" t="n"/>
      <c r="L523" s="95" t="n"/>
      <c r="M523" s="55" t="b">
        <v>0</v>
      </c>
      <c r="N523" s="96" t="b">
        <v>0</v>
      </c>
      <c r="O523" s="55" t="b">
        <v>0</v>
      </c>
      <c r="P523" s="55" t="b">
        <v>0</v>
      </c>
      <c r="Q523" s="55" t="b">
        <v>0</v>
      </c>
      <c r="R523" s="55" t="b">
        <v>0</v>
      </c>
      <c r="S523" s="55" t="b">
        <v>0</v>
      </c>
      <c r="T523" s="55" t="b">
        <v>0</v>
      </c>
      <c r="U523" s="55" t="b">
        <v>0</v>
      </c>
      <c r="V523" s="55" t="b">
        <v>0</v>
      </c>
    </row>
    <row r="524" ht="69" customHeight="1" s="211">
      <c r="A524" s="92">
        <f>Accounts!A524</f>
        <v/>
      </c>
      <c r="B524" s="12" t="b">
        <v>0</v>
      </c>
      <c r="C524" s="93">
        <f>Accounts!N524</f>
        <v/>
      </c>
      <c r="D524" s="94" t="n"/>
      <c r="E524" s="93">
        <f>Accounts!F524</f>
        <v/>
      </c>
      <c r="F524" s="94">
        <f>Accounts!Q524</f>
        <v/>
      </c>
      <c r="G524" s="94">
        <f>Accounts!R524</f>
        <v/>
      </c>
      <c r="H524" s="94">
        <f>Accounts!I524</f>
        <v/>
      </c>
      <c r="I524" s="94">
        <f>Accounts!J524</f>
        <v/>
      </c>
      <c r="J524" s="93">
        <f>Accounts!S524</f>
        <v/>
      </c>
      <c r="K524" s="88" t="n"/>
      <c r="L524" s="95" t="n"/>
      <c r="M524" s="55" t="b">
        <v>0</v>
      </c>
      <c r="N524" s="96" t="b">
        <v>0</v>
      </c>
      <c r="O524" s="55" t="b">
        <v>0</v>
      </c>
      <c r="P524" s="55" t="b">
        <v>0</v>
      </c>
      <c r="Q524" s="55" t="b">
        <v>0</v>
      </c>
      <c r="R524" s="55" t="b">
        <v>0</v>
      </c>
      <c r="S524" s="55" t="b">
        <v>0</v>
      </c>
      <c r="T524" s="55" t="b">
        <v>0</v>
      </c>
      <c r="U524" s="55" t="b">
        <v>0</v>
      </c>
      <c r="V524" s="55" t="b">
        <v>0</v>
      </c>
    </row>
    <row r="525" ht="69" customHeight="1" s="211">
      <c r="A525" s="92">
        <f>Accounts!A525</f>
        <v/>
      </c>
      <c r="B525" s="12" t="b">
        <v>0</v>
      </c>
      <c r="C525" s="93">
        <f>Accounts!N525</f>
        <v/>
      </c>
      <c r="D525" s="94" t="n"/>
      <c r="E525" s="93">
        <f>Accounts!F525</f>
        <v/>
      </c>
      <c r="F525" s="94">
        <f>Accounts!Q525</f>
        <v/>
      </c>
      <c r="G525" s="94">
        <f>Accounts!R525</f>
        <v/>
      </c>
      <c r="H525" s="94">
        <f>Accounts!I525</f>
        <v/>
      </c>
      <c r="I525" s="94">
        <f>Accounts!J525</f>
        <v/>
      </c>
      <c r="J525" s="93">
        <f>Accounts!S525</f>
        <v/>
      </c>
      <c r="K525" s="88" t="n"/>
      <c r="L525" s="95" t="n"/>
      <c r="M525" s="55" t="b">
        <v>0</v>
      </c>
      <c r="N525" s="96" t="b">
        <v>0</v>
      </c>
      <c r="O525" s="55" t="b">
        <v>0</v>
      </c>
      <c r="P525" s="55" t="b">
        <v>0</v>
      </c>
      <c r="Q525" s="55" t="b">
        <v>0</v>
      </c>
      <c r="R525" s="55" t="b">
        <v>0</v>
      </c>
      <c r="S525" s="55" t="b">
        <v>0</v>
      </c>
      <c r="T525" s="55" t="b">
        <v>0</v>
      </c>
      <c r="U525" s="55" t="b">
        <v>0</v>
      </c>
      <c r="V525" s="55" t="b">
        <v>0</v>
      </c>
    </row>
    <row r="526" ht="69" customHeight="1" s="211">
      <c r="A526" s="92">
        <f>Accounts!A526</f>
        <v/>
      </c>
      <c r="B526" s="12" t="b">
        <v>0</v>
      </c>
      <c r="C526" s="93">
        <f>Accounts!N526</f>
        <v/>
      </c>
      <c r="D526" s="94" t="n"/>
      <c r="E526" s="93">
        <f>Accounts!F526</f>
        <v/>
      </c>
      <c r="F526" s="94">
        <f>Accounts!Q526</f>
        <v/>
      </c>
      <c r="G526" s="94">
        <f>Accounts!R526</f>
        <v/>
      </c>
      <c r="H526" s="94">
        <f>Accounts!I526</f>
        <v/>
      </c>
      <c r="I526" s="94">
        <f>Accounts!J526</f>
        <v/>
      </c>
      <c r="J526" s="93">
        <f>Accounts!S526</f>
        <v/>
      </c>
      <c r="K526" s="88" t="n"/>
      <c r="L526" s="95" t="n"/>
      <c r="M526" s="55" t="b">
        <v>0</v>
      </c>
      <c r="N526" s="96" t="b">
        <v>0</v>
      </c>
      <c r="O526" s="55" t="b">
        <v>0</v>
      </c>
      <c r="P526" s="55" t="b">
        <v>0</v>
      </c>
      <c r="Q526" s="55" t="b">
        <v>0</v>
      </c>
      <c r="R526" s="55" t="b">
        <v>0</v>
      </c>
      <c r="S526" s="55" t="b">
        <v>0</v>
      </c>
      <c r="T526" s="55" t="b">
        <v>0</v>
      </c>
      <c r="U526" s="55" t="b">
        <v>0</v>
      </c>
      <c r="V526" s="55" t="b">
        <v>0</v>
      </c>
    </row>
    <row r="527" ht="69" customHeight="1" s="211">
      <c r="A527" s="92">
        <f>Accounts!A527</f>
        <v/>
      </c>
      <c r="B527" s="12" t="b">
        <v>0</v>
      </c>
      <c r="C527" s="93">
        <f>Accounts!N527</f>
        <v/>
      </c>
      <c r="D527" s="94" t="n"/>
      <c r="E527" s="93">
        <f>Accounts!F527</f>
        <v/>
      </c>
      <c r="F527" s="94">
        <f>Accounts!Q527</f>
        <v/>
      </c>
      <c r="G527" s="94">
        <f>Accounts!R527</f>
        <v/>
      </c>
      <c r="H527" s="94">
        <f>Accounts!I527</f>
        <v/>
      </c>
      <c r="I527" s="94">
        <f>Accounts!J527</f>
        <v/>
      </c>
      <c r="J527" s="93">
        <f>Accounts!S527</f>
        <v/>
      </c>
      <c r="K527" s="88" t="n"/>
      <c r="L527" s="95" t="n"/>
      <c r="M527" s="55" t="b">
        <v>0</v>
      </c>
      <c r="N527" s="96" t="b">
        <v>0</v>
      </c>
      <c r="O527" s="55" t="b">
        <v>0</v>
      </c>
      <c r="P527" s="55" t="b">
        <v>0</v>
      </c>
      <c r="Q527" s="55" t="b">
        <v>0</v>
      </c>
      <c r="R527" s="55" t="b">
        <v>0</v>
      </c>
      <c r="S527" s="55" t="b">
        <v>0</v>
      </c>
      <c r="T527" s="55" t="b">
        <v>0</v>
      </c>
      <c r="U527" s="55" t="b">
        <v>0</v>
      </c>
      <c r="V527" s="55" t="b">
        <v>0</v>
      </c>
    </row>
    <row r="528" ht="69" customHeight="1" s="211">
      <c r="A528" s="92">
        <f>Accounts!A528</f>
        <v/>
      </c>
      <c r="B528" s="12" t="b">
        <v>0</v>
      </c>
      <c r="C528" s="93">
        <f>Accounts!N528</f>
        <v/>
      </c>
      <c r="D528" s="94" t="n"/>
      <c r="E528" s="93">
        <f>Accounts!F528</f>
        <v/>
      </c>
      <c r="F528" s="94">
        <f>Accounts!Q528</f>
        <v/>
      </c>
      <c r="G528" s="94">
        <f>Accounts!R528</f>
        <v/>
      </c>
      <c r="H528" s="94">
        <f>Accounts!I528</f>
        <v/>
      </c>
      <c r="I528" s="94">
        <f>Accounts!J528</f>
        <v/>
      </c>
      <c r="J528" s="93">
        <f>Accounts!S528</f>
        <v/>
      </c>
      <c r="K528" s="88" t="n"/>
      <c r="L528" s="95" t="n"/>
      <c r="M528" s="55" t="b">
        <v>0</v>
      </c>
      <c r="N528" s="96" t="b">
        <v>0</v>
      </c>
      <c r="O528" s="55" t="b">
        <v>0</v>
      </c>
      <c r="P528" s="55" t="b">
        <v>0</v>
      </c>
      <c r="Q528" s="55" t="b">
        <v>0</v>
      </c>
      <c r="R528" s="55" t="b">
        <v>0</v>
      </c>
      <c r="S528" s="55" t="b">
        <v>0</v>
      </c>
      <c r="T528" s="55" t="b">
        <v>0</v>
      </c>
      <c r="U528" s="55" t="b">
        <v>0</v>
      </c>
      <c r="V528" s="55" t="b">
        <v>0</v>
      </c>
    </row>
    <row r="529" ht="69" customHeight="1" s="211">
      <c r="A529" s="92">
        <f>Accounts!A529</f>
        <v/>
      </c>
      <c r="B529" s="12" t="b">
        <v>0</v>
      </c>
      <c r="C529" s="93">
        <f>Accounts!N529</f>
        <v/>
      </c>
      <c r="D529" s="94" t="n"/>
      <c r="E529" s="93">
        <f>Accounts!F529</f>
        <v/>
      </c>
      <c r="F529" s="94">
        <f>Accounts!Q529</f>
        <v/>
      </c>
      <c r="G529" s="94">
        <f>Accounts!R529</f>
        <v/>
      </c>
      <c r="H529" s="94">
        <f>Accounts!I529</f>
        <v/>
      </c>
      <c r="I529" s="94">
        <f>Accounts!J529</f>
        <v/>
      </c>
      <c r="J529" s="93">
        <f>Accounts!S529</f>
        <v/>
      </c>
      <c r="K529" s="88" t="n"/>
      <c r="L529" s="95" t="n"/>
      <c r="M529" s="55" t="b">
        <v>0</v>
      </c>
      <c r="N529" s="96" t="b">
        <v>0</v>
      </c>
      <c r="O529" s="55" t="b">
        <v>0</v>
      </c>
      <c r="P529" s="55" t="b">
        <v>0</v>
      </c>
      <c r="Q529" s="55" t="b">
        <v>0</v>
      </c>
      <c r="R529" s="55" t="b">
        <v>0</v>
      </c>
      <c r="S529" s="55" t="b">
        <v>0</v>
      </c>
      <c r="T529" s="55" t="b">
        <v>0</v>
      </c>
      <c r="U529" s="55" t="b">
        <v>0</v>
      </c>
      <c r="V529" s="55" t="b">
        <v>0</v>
      </c>
    </row>
    <row r="530" ht="69" customHeight="1" s="211">
      <c r="A530" s="92">
        <f>Accounts!A530</f>
        <v/>
      </c>
      <c r="B530" s="12" t="b">
        <v>0</v>
      </c>
      <c r="C530" s="93">
        <f>Accounts!N530</f>
        <v/>
      </c>
      <c r="D530" s="94" t="n"/>
      <c r="E530" s="93">
        <f>Accounts!F530</f>
        <v/>
      </c>
      <c r="F530" s="94">
        <f>Accounts!Q530</f>
        <v/>
      </c>
      <c r="G530" s="94">
        <f>Accounts!R530</f>
        <v/>
      </c>
      <c r="H530" s="94">
        <f>Accounts!I530</f>
        <v/>
      </c>
      <c r="I530" s="94">
        <f>Accounts!J530</f>
        <v/>
      </c>
      <c r="J530" s="93">
        <f>Accounts!S530</f>
        <v/>
      </c>
      <c r="K530" s="88" t="n"/>
      <c r="L530" s="95" t="n"/>
      <c r="M530" s="55" t="b">
        <v>0</v>
      </c>
      <c r="N530" s="96" t="b">
        <v>0</v>
      </c>
      <c r="O530" s="55" t="b">
        <v>0</v>
      </c>
      <c r="P530" s="55" t="b">
        <v>0</v>
      </c>
      <c r="Q530" s="55" t="b">
        <v>0</v>
      </c>
      <c r="R530" s="55" t="b">
        <v>0</v>
      </c>
      <c r="S530" s="55" t="b">
        <v>0</v>
      </c>
      <c r="T530" s="55" t="b">
        <v>0</v>
      </c>
      <c r="U530" s="55" t="b">
        <v>0</v>
      </c>
      <c r="V530" s="55" t="b">
        <v>0</v>
      </c>
    </row>
    <row r="531" ht="69" customHeight="1" s="211">
      <c r="A531" s="92">
        <f>Accounts!A531</f>
        <v/>
      </c>
      <c r="B531" s="12" t="b">
        <v>0</v>
      </c>
      <c r="C531" s="93">
        <f>Accounts!N531</f>
        <v/>
      </c>
      <c r="D531" s="94" t="n"/>
      <c r="E531" s="93">
        <f>Accounts!F531</f>
        <v/>
      </c>
      <c r="F531" s="94">
        <f>Accounts!Q531</f>
        <v/>
      </c>
      <c r="G531" s="94">
        <f>Accounts!R531</f>
        <v/>
      </c>
      <c r="H531" s="94">
        <f>Accounts!I531</f>
        <v/>
      </c>
      <c r="I531" s="94">
        <f>Accounts!J531</f>
        <v/>
      </c>
      <c r="J531" s="93">
        <f>Accounts!S531</f>
        <v/>
      </c>
      <c r="K531" s="88" t="n"/>
      <c r="L531" s="95" t="n"/>
      <c r="M531" s="55" t="b">
        <v>0</v>
      </c>
      <c r="N531" s="96" t="b">
        <v>0</v>
      </c>
      <c r="O531" s="55" t="b">
        <v>0</v>
      </c>
      <c r="P531" s="55" t="b">
        <v>0</v>
      </c>
      <c r="Q531" s="55" t="b">
        <v>0</v>
      </c>
      <c r="R531" s="55" t="b">
        <v>0</v>
      </c>
      <c r="S531" s="55" t="b">
        <v>0</v>
      </c>
      <c r="T531" s="55" t="b">
        <v>0</v>
      </c>
      <c r="U531" s="55" t="b">
        <v>0</v>
      </c>
      <c r="V531" s="55" t="b">
        <v>0</v>
      </c>
    </row>
    <row r="532" ht="69" customHeight="1" s="211">
      <c r="A532" s="92">
        <f>Accounts!A532</f>
        <v/>
      </c>
      <c r="B532" s="12" t="b">
        <v>0</v>
      </c>
      <c r="C532" s="93">
        <f>Accounts!N532</f>
        <v/>
      </c>
      <c r="D532" s="94" t="n"/>
      <c r="E532" s="93">
        <f>Accounts!F532</f>
        <v/>
      </c>
      <c r="F532" s="94">
        <f>Accounts!Q532</f>
        <v/>
      </c>
      <c r="G532" s="94">
        <f>Accounts!R532</f>
        <v/>
      </c>
      <c r="H532" s="94">
        <f>Accounts!I532</f>
        <v/>
      </c>
      <c r="I532" s="94">
        <f>Accounts!J532</f>
        <v/>
      </c>
      <c r="J532" s="93">
        <f>Accounts!S532</f>
        <v/>
      </c>
      <c r="K532" s="88" t="n"/>
      <c r="L532" s="95" t="n"/>
      <c r="M532" s="55" t="b">
        <v>0</v>
      </c>
      <c r="N532" s="96" t="b">
        <v>0</v>
      </c>
      <c r="O532" s="55" t="b">
        <v>0</v>
      </c>
      <c r="P532" s="55" t="b">
        <v>0</v>
      </c>
      <c r="Q532" s="55" t="b">
        <v>0</v>
      </c>
      <c r="R532" s="55" t="b">
        <v>0</v>
      </c>
      <c r="S532" s="55" t="b">
        <v>0</v>
      </c>
      <c r="T532" s="55" t="b">
        <v>0</v>
      </c>
      <c r="U532" s="55" t="b">
        <v>0</v>
      </c>
      <c r="V532" s="55" t="b">
        <v>0</v>
      </c>
    </row>
    <row r="533" ht="69" customHeight="1" s="211">
      <c r="A533" s="92">
        <f>Accounts!A533</f>
        <v/>
      </c>
      <c r="B533" s="12" t="b">
        <v>0</v>
      </c>
      <c r="C533" s="93">
        <f>Accounts!N533</f>
        <v/>
      </c>
      <c r="D533" s="94" t="n"/>
      <c r="E533" s="93">
        <f>Accounts!F533</f>
        <v/>
      </c>
      <c r="F533" s="94">
        <f>Accounts!Q533</f>
        <v/>
      </c>
      <c r="G533" s="94">
        <f>Accounts!R533</f>
        <v/>
      </c>
      <c r="H533" s="94">
        <f>Accounts!I533</f>
        <v/>
      </c>
      <c r="I533" s="94">
        <f>Accounts!J533</f>
        <v/>
      </c>
      <c r="J533" s="93">
        <f>Accounts!S533</f>
        <v/>
      </c>
      <c r="K533" s="88" t="n"/>
      <c r="L533" s="95" t="n"/>
      <c r="M533" s="55" t="b">
        <v>0</v>
      </c>
      <c r="N533" s="96" t="b">
        <v>0</v>
      </c>
      <c r="O533" s="55" t="b">
        <v>0</v>
      </c>
      <c r="P533" s="55" t="b">
        <v>0</v>
      </c>
      <c r="Q533" s="55" t="b">
        <v>0</v>
      </c>
      <c r="R533" s="55" t="b">
        <v>0</v>
      </c>
      <c r="S533" s="55" t="b">
        <v>0</v>
      </c>
      <c r="T533" s="55" t="b">
        <v>0</v>
      </c>
      <c r="U533" s="55" t="b">
        <v>0</v>
      </c>
      <c r="V533" s="55" t="b">
        <v>0</v>
      </c>
    </row>
    <row r="534" ht="69" customHeight="1" s="211">
      <c r="A534" s="92">
        <f>Accounts!A534</f>
        <v/>
      </c>
      <c r="B534" s="12" t="b">
        <v>0</v>
      </c>
      <c r="C534" s="93">
        <f>Accounts!N534</f>
        <v/>
      </c>
      <c r="D534" s="94" t="n"/>
      <c r="E534" s="93">
        <f>Accounts!F534</f>
        <v/>
      </c>
      <c r="F534" s="94">
        <f>Accounts!Q534</f>
        <v/>
      </c>
      <c r="G534" s="94">
        <f>Accounts!R534</f>
        <v/>
      </c>
      <c r="H534" s="94">
        <f>Accounts!I534</f>
        <v/>
      </c>
      <c r="I534" s="94">
        <f>Accounts!J534</f>
        <v/>
      </c>
      <c r="J534" s="93">
        <f>Accounts!S534</f>
        <v/>
      </c>
      <c r="K534" s="88" t="n"/>
      <c r="L534" s="95" t="n"/>
      <c r="M534" s="55" t="b">
        <v>0</v>
      </c>
      <c r="N534" s="96" t="b">
        <v>0</v>
      </c>
      <c r="O534" s="55" t="b">
        <v>0</v>
      </c>
      <c r="P534" s="55" t="b">
        <v>0</v>
      </c>
      <c r="Q534" s="55" t="b">
        <v>0</v>
      </c>
      <c r="R534" s="55" t="b">
        <v>0</v>
      </c>
      <c r="S534" s="55" t="b">
        <v>0</v>
      </c>
      <c r="T534" s="55" t="b">
        <v>0</v>
      </c>
      <c r="U534" s="55" t="b">
        <v>0</v>
      </c>
      <c r="V534" s="55" t="b">
        <v>0</v>
      </c>
    </row>
    <row r="535" ht="69" customHeight="1" s="211">
      <c r="A535" s="92">
        <f>Accounts!A535</f>
        <v/>
      </c>
      <c r="B535" s="12" t="b">
        <v>0</v>
      </c>
      <c r="C535" s="93">
        <f>Accounts!N535</f>
        <v/>
      </c>
      <c r="D535" s="94" t="n"/>
      <c r="E535" s="93">
        <f>Accounts!F535</f>
        <v/>
      </c>
      <c r="F535" s="94">
        <f>Accounts!Q535</f>
        <v/>
      </c>
      <c r="G535" s="94">
        <f>Accounts!R535</f>
        <v/>
      </c>
      <c r="H535" s="94">
        <f>Accounts!I535</f>
        <v/>
      </c>
      <c r="I535" s="94">
        <f>Accounts!J535</f>
        <v/>
      </c>
      <c r="J535" s="93">
        <f>Accounts!S535</f>
        <v/>
      </c>
      <c r="K535" s="88" t="n"/>
      <c r="L535" s="95" t="n"/>
      <c r="M535" s="55" t="b">
        <v>0</v>
      </c>
      <c r="N535" s="96" t="b">
        <v>0</v>
      </c>
      <c r="O535" s="55" t="b">
        <v>0</v>
      </c>
      <c r="P535" s="55" t="b">
        <v>0</v>
      </c>
      <c r="Q535" s="55" t="b">
        <v>0</v>
      </c>
      <c r="R535" s="55" t="b">
        <v>0</v>
      </c>
      <c r="S535" s="55" t="b">
        <v>0</v>
      </c>
      <c r="T535" s="55" t="b">
        <v>0</v>
      </c>
      <c r="U535" s="55" t="b">
        <v>0</v>
      </c>
      <c r="V535" s="55" t="b">
        <v>0</v>
      </c>
    </row>
    <row r="536" ht="69" customHeight="1" s="211">
      <c r="A536" s="92">
        <f>Accounts!A536</f>
        <v/>
      </c>
      <c r="B536" s="12" t="b">
        <v>0</v>
      </c>
      <c r="C536" s="93">
        <f>Accounts!N536</f>
        <v/>
      </c>
      <c r="D536" s="94" t="n"/>
      <c r="E536" s="93">
        <f>Accounts!F536</f>
        <v/>
      </c>
      <c r="F536" s="94">
        <f>Accounts!Q536</f>
        <v/>
      </c>
      <c r="G536" s="94">
        <f>Accounts!R536</f>
        <v/>
      </c>
      <c r="H536" s="94">
        <f>Accounts!I536</f>
        <v/>
      </c>
      <c r="I536" s="94">
        <f>Accounts!J536</f>
        <v/>
      </c>
      <c r="J536" s="93">
        <f>Accounts!S536</f>
        <v/>
      </c>
      <c r="K536" s="88" t="n"/>
      <c r="L536" s="95" t="n"/>
      <c r="M536" s="55" t="b">
        <v>0</v>
      </c>
      <c r="N536" s="96" t="b">
        <v>0</v>
      </c>
      <c r="O536" s="55" t="b">
        <v>0</v>
      </c>
      <c r="P536" s="55" t="b">
        <v>0</v>
      </c>
      <c r="Q536" s="55" t="b">
        <v>0</v>
      </c>
      <c r="R536" s="55" t="b">
        <v>0</v>
      </c>
      <c r="S536" s="55" t="b">
        <v>0</v>
      </c>
      <c r="T536" s="55" t="b">
        <v>0</v>
      </c>
      <c r="U536" s="55" t="b">
        <v>0</v>
      </c>
      <c r="V536" s="55" t="b">
        <v>0</v>
      </c>
    </row>
    <row r="537" ht="69" customHeight="1" s="211">
      <c r="A537" s="92">
        <f>Accounts!A537</f>
        <v/>
      </c>
      <c r="B537" s="12" t="b">
        <v>0</v>
      </c>
      <c r="C537" s="93">
        <f>Accounts!N537</f>
        <v/>
      </c>
      <c r="D537" s="94" t="n"/>
      <c r="E537" s="93">
        <f>Accounts!F537</f>
        <v/>
      </c>
      <c r="F537" s="94">
        <f>Accounts!Q537</f>
        <v/>
      </c>
      <c r="G537" s="94">
        <f>Accounts!R537</f>
        <v/>
      </c>
      <c r="H537" s="94">
        <f>Accounts!I537</f>
        <v/>
      </c>
      <c r="I537" s="94">
        <f>Accounts!J537</f>
        <v/>
      </c>
      <c r="J537" s="93">
        <f>Accounts!S537</f>
        <v/>
      </c>
      <c r="K537" s="88" t="n"/>
      <c r="L537" s="95" t="n"/>
      <c r="M537" s="55" t="b">
        <v>0</v>
      </c>
      <c r="N537" s="96" t="b">
        <v>0</v>
      </c>
      <c r="O537" s="55" t="b">
        <v>0</v>
      </c>
      <c r="P537" s="55" t="b">
        <v>0</v>
      </c>
      <c r="Q537" s="55" t="b">
        <v>0</v>
      </c>
      <c r="R537" s="55" t="b">
        <v>0</v>
      </c>
      <c r="S537" s="55" t="b">
        <v>0</v>
      </c>
      <c r="T537" s="55" t="b">
        <v>0</v>
      </c>
      <c r="U537" s="55" t="b">
        <v>0</v>
      </c>
      <c r="V537" s="55" t="b">
        <v>0</v>
      </c>
    </row>
    <row r="538" ht="69" customHeight="1" s="211">
      <c r="A538" s="92">
        <f>Accounts!A538</f>
        <v/>
      </c>
      <c r="B538" s="12" t="b">
        <v>0</v>
      </c>
      <c r="C538" s="93">
        <f>Accounts!N538</f>
        <v/>
      </c>
      <c r="D538" s="94" t="n"/>
      <c r="E538" s="93">
        <f>Accounts!F538</f>
        <v/>
      </c>
      <c r="F538" s="94">
        <f>Accounts!Q538</f>
        <v/>
      </c>
      <c r="G538" s="94">
        <f>Accounts!R538</f>
        <v/>
      </c>
      <c r="H538" s="94">
        <f>Accounts!I538</f>
        <v/>
      </c>
      <c r="I538" s="94">
        <f>Accounts!J538</f>
        <v/>
      </c>
      <c r="J538" s="93">
        <f>Accounts!S538</f>
        <v/>
      </c>
      <c r="K538" s="88" t="n"/>
      <c r="L538" s="95" t="n"/>
      <c r="M538" s="55" t="b">
        <v>0</v>
      </c>
      <c r="N538" s="96" t="b">
        <v>0</v>
      </c>
      <c r="O538" s="55" t="b">
        <v>0</v>
      </c>
      <c r="P538" s="55" t="b">
        <v>0</v>
      </c>
      <c r="Q538" s="55" t="b">
        <v>0</v>
      </c>
      <c r="R538" s="55" t="b">
        <v>0</v>
      </c>
      <c r="S538" s="55" t="b">
        <v>0</v>
      </c>
      <c r="T538" s="55" t="b">
        <v>0</v>
      </c>
      <c r="U538" s="55" t="b">
        <v>0</v>
      </c>
      <c r="V538" s="55" t="b">
        <v>0</v>
      </c>
    </row>
    <row r="539" ht="69" customHeight="1" s="211">
      <c r="A539" s="92">
        <f>Accounts!A539</f>
        <v/>
      </c>
      <c r="B539" s="12" t="b">
        <v>0</v>
      </c>
      <c r="C539" s="93">
        <f>Accounts!N539</f>
        <v/>
      </c>
      <c r="D539" s="94" t="n"/>
      <c r="E539" s="93">
        <f>Accounts!F539</f>
        <v/>
      </c>
      <c r="F539" s="94">
        <f>Accounts!Q539</f>
        <v/>
      </c>
      <c r="G539" s="94">
        <f>Accounts!R539</f>
        <v/>
      </c>
      <c r="H539" s="94">
        <f>Accounts!I539</f>
        <v/>
      </c>
      <c r="I539" s="94">
        <f>Accounts!J539</f>
        <v/>
      </c>
      <c r="J539" s="93">
        <f>Accounts!S539</f>
        <v/>
      </c>
      <c r="K539" s="88" t="n"/>
      <c r="L539" s="95" t="n"/>
      <c r="M539" s="55" t="b">
        <v>0</v>
      </c>
      <c r="N539" s="96" t="b">
        <v>0</v>
      </c>
      <c r="O539" s="55" t="b">
        <v>0</v>
      </c>
      <c r="P539" s="55" t="b">
        <v>0</v>
      </c>
      <c r="Q539" s="55" t="b">
        <v>0</v>
      </c>
      <c r="R539" s="55" t="b">
        <v>0</v>
      </c>
      <c r="S539" s="55" t="b">
        <v>0</v>
      </c>
      <c r="T539" s="55" t="b">
        <v>0</v>
      </c>
      <c r="U539" s="55" t="b">
        <v>0</v>
      </c>
      <c r="V539" s="55" t="b">
        <v>0</v>
      </c>
    </row>
    <row r="540" ht="69" customHeight="1" s="211">
      <c r="A540" s="92">
        <f>Accounts!A540</f>
        <v/>
      </c>
      <c r="B540" s="12" t="b">
        <v>0</v>
      </c>
      <c r="C540" s="93">
        <f>Accounts!N540</f>
        <v/>
      </c>
      <c r="D540" s="94" t="n"/>
      <c r="E540" s="93">
        <f>Accounts!F540</f>
        <v/>
      </c>
      <c r="F540" s="94">
        <f>Accounts!Q540</f>
        <v/>
      </c>
      <c r="G540" s="94">
        <f>Accounts!R540</f>
        <v/>
      </c>
      <c r="H540" s="94">
        <f>Accounts!I540</f>
        <v/>
      </c>
      <c r="I540" s="94">
        <f>Accounts!J540</f>
        <v/>
      </c>
      <c r="J540" s="93">
        <f>Accounts!S540</f>
        <v/>
      </c>
      <c r="K540" s="88" t="n"/>
      <c r="L540" s="95" t="n"/>
      <c r="M540" s="55" t="b">
        <v>0</v>
      </c>
      <c r="N540" s="96" t="b">
        <v>0</v>
      </c>
      <c r="O540" s="55" t="b">
        <v>0</v>
      </c>
      <c r="P540" s="55" t="b">
        <v>0</v>
      </c>
      <c r="Q540" s="55" t="b">
        <v>0</v>
      </c>
      <c r="R540" s="55" t="b">
        <v>0</v>
      </c>
      <c r="S540" s="55" t="b">
        <v>0</v>
      </c>
      <c r="T540" s="55" t="b">
        <v>0</v>
      </c>
      <c r="U540" s="55" t="b">
        <v>0</v>
      </c>
      <c r="V540" s="55" t="b">
        <v>0</v>
      </c>
    </row>
    <row r="541" ht="69" customHeight="1" s="211">
      <c r="A541" s="92">
        <f>Accounts!A541</f>
        <v/>
      </c>
      <c r="B541" s="12" t="b">
        <v>0</v>
      </c>
      <c r="C541" s="93">
        <f>Accounts!N541</f>
        <v/>
      </c>
      <c r="D541" s="94" t="n"/>
      <c r="E541" s="93">
        <f>Accounts!F541</f>
        <v/>
      </c>
      <c r="F541" s="94">
        <f>Accounts!Q541</f>
        <v/>
      </c>
      <c r="G541" s="94">
        <f>Accounts!R541</f>
        <v/>
      </c>
      <c r="H541" s="94">
        <f>Accounts!I541</f>
        <v/>
      </c>
      <c r="I541" s="94">
        <f>Accounts!J541</f>
        <v/>
      </c>
      <c r="J541" s="93">
        <f>Accounts!S541</f>
        <v/>
      </c>
      <c r="K541" s="88" t="n"/>
      <c r="L541" s="95" t="n"/>
      <c r="M541" s="55" t="b">
        <v>0</v>
      </c>
      <c r="N541" s="96" t="b">
        <v>0</v>
      </c>
      <c r="O541" s="55" t="b">
        <v>0</v>
      </c>
      <c r="P541" s="55" t="b">
        <v>0</v>
      </c>
      <c r="Q541" s="55" t="b">
        <v>0</v>
      </c>
      <c r="R541" s="55" t="b">
        <v>0</v>
      </c>
      <c r="S541" s="55" t="b">
        <v>0</v>
      </c>
      <c r="T541" s="55" t="b">
        <v>0</v>
      </c>
      <c r="U541" s="55" t="b">
        <v>0</v>
      </c>
      <c r="V541" s="55" t="b">
        <v>0</v>
      </c>
    </row>
    <row r="542" ht="69" customHeight="1" s="211">
      <c r="A542" s="92">
        <f>Accounts!A542</f>
        <v/>
      </c>
      <c r="B542" s="12" t="b">
        <v>0</v>
      </c>
      <c r="C542" s="93">
        <f>Accounts!N542</f>
        <v/>
      </c>
      <c r="D542" s="94" t="n"/>
      <c r="E542" s="93">
        <f>Accounts!F542</f>
        <v/>
      </c>
      <c r="F542" s="94">
        <f>Accounts!Q542</f>
        <v/>
      </c>
      <c r="G542" s="94">
        <f>Accounts!R542</f>
        <v/>
      </c>
      <c r="H542" s="94">
        <f>Accounts!I542</f>
        <v/>
      </c>
      <c r="I542" s="94">
        <f>Accounts!J542</f>
        <v/>
      </c>
      <c r="J542" s="93">
        <f>Accounts!S542</f>
        <v/>
      </c>
      <c r="K542" s="88" t="n"/>
      <c r="L542" s="95" t="n"/>
      <c r="M542" s="55" t="b">
        <v>0</v>
      </c>
      <c r="N542" s="96" t="b">
        <v>0</v>
      </c>
      <c r="O542" s="55" t="b">
        <v>0</v>
      </c>
      <c r="P542" s="55" t="b">
        <v>0</v>
      </c>
      <c r="Q542" s="55" t="b">
        <v>0</v>
      </c>
      <c r="R542" s="55" t="b">
        <v>0</v>
      </c>
      <c r="S542" s="55" t="b">
        <v>0</v>
      </c>
      <c r="T542" s="55" t="b">
        <v>0</v>
      </c>
      <c r="U542" s="55" t="b">
        <v>0</v>
      </c>
      <c r="V542" s="55" t="b">
        <v>0</v>
      </c>
    </row>
    <row r="543" ht="69" customHeight="1" s="211">
      <c r="A543" s="92">
        <f>Accounts!A543</f>
        <v/>
      </c>
      <c r="B543" s="12" t="b">
        <v>0</v>
      </c>
      <c r="C543" s="93">
        <f>Accounts!N543</f>
        <v/>
      </c>
      <c r="D543" s="94" t="n"/>
      <c r="E543" s="93">
        <f>Accounts!F543</f>
        <v/>
      </c>
      <c r="F543" s="94">
        <f>Accounts!Q543</f>
        <v/>
      </c>
      <c r="G543" s="94">
        <f>Accounts!R543</f>
        <v/>
      </c>
      <c r="H543" s="94">
        <f>Accounts!I543</f>
        <v/>
      </c>
      <c r="I543" s="94">
        <f>Accounts!J543</f>
        <v/>
      </c>
      <c r="J543" s="93">
        <f>Accounts!S543</f>
        <v/>
      </c>
      <c r="K543" s="88" t="n"/>
      <c r="L543" s="95" t="n"/>
      <c r="M543" s="55" t="b">
        <v>0</v>
      </c>
      <c r="N543" s="96" t="b">
        <v>0</v>
      </c>
      <c r="O543" s="55" t="b">
        <v>0</v>
      </c>
      <c r="P543" s="55" t="b">
        <v>0</v>
      </c>
      <c r="Q543" s="55" t="b">
        <v>0</v>
      </c>
      <c r="R543" s="55" t="b">
        <v>0</v>
      </c>
      <c r="S543" s="55" t="b">
        <v>0</v>
      </c>
      <c r="T543" s="55" t="b">
        <v>0</v>
      </c>
      <c r="U543" s="55" t="b">
        <v>0</v>
      </c>
      <c r="V543" s="55" t="b">
        <v>0</v>
      </c>
    </row>
    <row r="544" ht="69" customHeight="1" s="211">
      <c r="A544" s="92">
        <f>Accounts!A544</f>
        <v/>
      </c>
      <c r="B544" s="12" t="b">
        <v>0</v>
      </c>
      <c r="C544" s="93">
        <f>Accounts!N544</f>
        <v/>
      </c>
      <c r="D544" s="94" t="n"/>
      <c r="E544" s="93">
        <f>Accounts!F544</f>
        <v/>
      </c>
      <c r="F544" s="94">
        <f>Accounts!Q544</f>
        <v/>
      </c>
      <c r="G544" s="94">
        <f>Accounts!R544</f>
        <v/>
      </c>
      <c r="H544" s="94">
        <f>Accounts!I544</f>
        <v/>
      </c>
      <c r="I544" s="94">
        <f>Accounts!J544</f>
        <v/>
      </c>
      <c r="J544" s="93">
        <f>Accounts!S544</f>
        <v/>
      </c>
      <c r="K544" s="88" t="n"/>
      <c r="L544" s="95" t="n"/>
      <c r="M544" s="55" t="b">
        <v>0</v>
      </c>
      <c r="N544" s="96" t="b">
        <v>0</v>
      </c>
      <c r="O544" s="55" t="b">
        <v>0</v>
      </c>
      <c r="P544" s="55" t="b">
        <v>0</v>
      </c>
      <c r="Q544" s="55" t="b">
        <v>0</v>
      </c>
      <c r="R544" s="55" t="b">
        <v>0</v>
      </c>
      <c r="S544" s="55" t="b">
        <v>0</v>
      </c>
      <c r="T544" s="55" t="b">
        <v>0</v>
      </c>
      <c r="U544" s="55" t="b">
        <v>0</v>
      </c>
      <c r="V544" s="55" t="b">
        <v>0</v>
      </c>
    </row>
    <row r="545" ht="69" customHeight="1" s="211">
      <c r="A545" s="92">
        <f>Accounts!A545</f>
        <v/>
      </c>
      <c r="B545" s="12" t="b">
        <v>0</v>
      </c>
      <c r="C545" s="93">
        <f>Accounts!N545</f>
        <v/>
      </c>
      <c r="D545" s="94" t="n"/>
      <c r="E545" s="93">
        <f>Accounts!F545</f>
        <v/>
      </c>
      <c r="F545" s="94">
        <f>Accounts!Q545</f>
        <v/>
      </c>
      <c r="G545" s="94">
        <f>Accounts!R545</f>
        <v/>
      </c>
      <c r="H545" s="94">
        <f>Accounts!I545</f>
        <v/>
      </c>
      <c r="I545" s="94">
        <f>Accounts!J545</f>
        <v/>
      </c>
      <c r="J545" s="93">
        <f>Accounts!S545</f>
        <v/>
      </c>
      <c r="K545" s="88" t="n"/>
      <c r="L545" s="95" t="n"/>
      <c r="M545" s="55" t="b">
        <v>0</v>
      </c>
      <c r="N545" s="96" t="b">
        <v>0</v>
      </c>
      <c r="O545" s="55" t="b">
        <v>0</v>
      </c>
      <c r="P545" s="55" t="b">
        <v>0</v>
      </c>
      <c r="Q545" s="55" t="b">
        <v>0</v>
      </c>
      <c r="R545" s="55" t="b">
        <v>0</v>
      </c>
      <c r="S545" s="55" t="b">
        <v>0</v>
      </c>
      <c r="T545" s="55" t="b">
        <v>0</v>
      </c>
      <c r="U545" s="55" t="b">
        <v>0</v>
      </c>
      <c r="V545" s="55" t="b">
        <v>0</v>
      </c>
    </row>
    <row r="546" ht="69" customHeight="1" s="211">
      <c r="A546" s="92">
        <f>Accounts!A546</f>
        <v/>
      </c>
      <c r="B546" s="12" t="b">
        <v>0</v>
      </c>
      <c r="C546" s="93">
        <f>Accounts!N546</f>
        <v/>
      </c>
      <c r="D546" s="94" t="n"/>
      <c r="E546" s="93">
        <f>Accounts!F546</f>
        <v/>
      </c>
      <c r="F546" s="94">
        <f>Accounts!Q546</f>
        <v/>
      </c>
      <c r="G546" s="94">
        <f>Accounts!R546</f>
        <v/>
      </c>
      <c r="H546" s="94">
        <f>Accounts!I546</f>
        <v/>
      </c>
      <c r="I546" s="94">
        <f>Accounts!J546</f>
        <v/>
      </c>
      <c r="J546" s="93">
        <f>Accounts!S546</f>
        <v/>
      </c>
      <c r="K546" s="88" t="n"/>
      <c r="L546" s="95" t="n"/>
      <c r="M546" s="55" t="b">
        <v>0</v>
      </c>
      <c r="N546" s="96" t="b">
        <v>0</v>
      </c>
      <c r="O546" s="55" t="b">
        <v>0</v>
      </c>
      <c r="P546" s="55" t="b">
        <v>0</v>
      </c>
      <c r="Q546" s="55" t="b">
        <v>0</v>
      </c>
      <c r="R546" s="55" t="b">
        <v>0</v>
      </c>
      <c r="S546" s="55" t="b">
        <v>0</v>
      </c>
      <c r="T546" s="55" t="b">
        <v>0</v>
      </c>
      <c r="U546" s="55" t="b">
        <v>0</v>
      </c>
      <c r="V546" s="55" t="b">
        <v>0</v>
      </c>
    </row>
    <row r="547" ht="69" customHeight="1" s="211">
      <c r="A547" s="92">
        <f>Accounts!A547</f>
        <v/>
      </c>
      <c r="B547" s="12" t="b">
        <v>0</v>
      </c>
      <c r="C547" s="93">
        <f>Accounts!N547</f>
        <v/>
      </c>
      <c r="D547" s="94" t="n"/>
      <c r="E547" s="93">
        <f>Accounts!F547</f>
        <v/>
      </c>
      <c r="F547" s="94">
        <f>Accounts!Q547</f>
        <v/>
      </c>
      <c r="G547" s="94">
        <f>Accounts!R547</f>
        <v/>
      </c>
      <c r="H547" s="94">
        <f>Accounts!I547</f>
        <v/>
      </c>
      <c r="I547" s="94">
        <f>Accounts!J547</f>
        <v/>
      </c>
      <c r="J547" s="93">
        <f>Accounts!S547</f>
        <v/>
      </c>
      <c r="K547" s="88" t="n"/>
      <c r="L547" s="95" t="n"/>
      <c r="M547" s="55" t="b">
        <v>0</v>
      </c>
      <c r="N547" s="96" t="b">
        <v>0</v>
      </c>
      <c r="O547" s="55" t="b">
        <v>0</v>
      </c>
      <c r="P547" s="55" t="b">
        <v>0</v>
      </c>
      <c r="Q547" s="55" t="b">
        <v>0</v>
      </c>
      <c r="R547" s="55" t="b">
        <v>0</v>
      </c>
      <c r="S547" s="55" t="b">
        <v>0</v>
      </c>
      <c r="T547" s="55" t="b">
        <v>0</v>
      </c>
      <c r="U547" s="55" t="b">
        <v>0</v>
      </c>
      <c r="V547" s="55" t="b">
        <v>0</v>
      </c>
    </row>
    <row r="548" ht="69" customHeight="1" s="211">
      <c r="A548" s="92">
        <f>Accounts!A548</f>
        <v/>
      </c>
      <c r="B548" s="12" t="b">
        <v>0</v>
      </c>
      <c r="C548" s="93">
        <f>Accounts!N548</f>
        <v/>
      </c>
      <c r="D548" s="94" t="n"/>
      <c r="E548" s="93">
        <f>Accounts!F548</f>
        <v/>
      </c>
      <c r="F548" s="94">
        <f>Accounts!Q548</f>
        <v/>
      </c>
      <c r="G548" s="94">
        <f>Accounts!R548</f>
        <v/>
      </c>
      <c r="H548" s="94">
        <f>Accounts!I548</f>
        <v/>
      </c>
      <c r="I548" s="94">
        <f>Accounts!J548</f>
        <v/>
      </c>
      <c r="J548" s="93">
        <f>Accounts!S548</f>
        <v/>
      </c>
      <c r="K548" s="88" t="n"/>
      <c r="L548" s="95" t="n"/>
      <c r="M548" s="55" t="b">
        <v>0</v>
      </c>
      <c r="N548" s="96" t="b">
        <v>0</v>
      </c>
      <c r="O548" s="55" t="b">
        <v>0</v>
      </c>
      <c r="P548" s="55" t="b">
        <v>0</v>
      </c>
      <c r="Q548" s="55" t="b">
        <v>0</v>
      </c>
      <c r="R548" s="55" t="b">
        <v>0</v>
      </c>
      <c r="S548" s="55" t="b">
        <v>0</v>
      </c>
      <c r="T548" s="55" t="b">
        <v>0</v>
      </c>
      <c r="U548" s="55" t="b">
        <v>0</v>
      </c>
      <c r="V548" s="55" t="b">
        <v>0</v>
      </c>
    </row>
    <row r="549" ht="69" customHeight="1" s="211">
      <c r="A549" s="92">
        <f>Accounts!A549</f>
        <v/>
      </c>
      <c r="B549" s="12" t="b">
        <v>0</v>
      </c>
      <c r="C549" s="93">
        <f>Accounts!N549</f>
        <v/>
      </c>
      <c r="D549" s="94" t="n"/>
      <c r="E549" s="93">
        <f>Accounts!F549</f>
        <v/>
      </c>
      <c r="F549" s="94">
        <f>Accounts!Q549</f>
        <v/>
      </c>
      <c r="G549" s="94">
        <f>Accounts!R549</f>
        <v/>
      </c>
      <c r="H549" s="94">
        <f>Accounts!I549</f>
        <v/>
      </c>
      <c r="I549" s="94">
        <f>Accounts!J549</f>
        <v/>
      </c>
      <c r="J549" s="93">
        <f>Accounts!S549</f>
        <v/>
      </c>
      <c r="K549" s="88" t="n"/>
      <c r="L549" s="95" t="n"/>
      <c r="M549" s="55" t="b">
        <v>0</v>
      </c>
      <c r="N549" s="96" t="b">
        <v>0</v>
      </c>
      <c r="O549" s="55" t="b">
        <v>0</v>
      </c>
      <c r="P549" s="55" t="b">
        <v>0</v>
      </c>
      <c r="Q549" s="55" t="b">
        <v>0</v>
      </c>
      <c r="R549" s="55" t="b">
        <v>0</v>
      </c>
      <c r="S549" s="55" t="b">
        <v>0</v>
      </c>
      <c r="T549" s="55" t="b">
        <v>0</v>
      </c>
      <c r="U549" s="55" t="b">
        <v>0</v>
      </c>
      <c r="V549" s="55" t="b">
        <v>0</v>
      </c>
    </row>
    <row r="550" ht="69" customHeight="1" s="211">
      <c r="A550" s="92">
        <f>Accounts!A550</f>
        <v/>
      </c>
      <c r="B550" s="12" t="b">
        <v>0</v>
      </c>
      <c r="C550" s="93">
        <f>Accounts!N550</f>
        <v/>
      </c>
      <c r="D550" s="94" t="n"/>
      <c r="E550" s="93">
        <f>Accounts!F550</f>
        <v/>
      </c>
      <c r="F550" s="94">
        <f>Accounts!Q550</f>
        <v/>
      </c>
      <c r="G550" s="94">
        <f>Accounts!R550</f>
        <v/>
      </c>
      <c r="H550" s="94">
        <f>Accounts!I550</f>
        <v/>
      </c>
      <c r="I550" s="94">
        <f>Accounts!J550</f>
        <v/>
      </c>
      <c r="J550" s="93">
        <f>Accounts!S550</f>
        <v/>
      </c>
      <c r="K550" s="88" t="n"/>
      <c r="L550" s="95" t="n"/>
      <c r="M550" s="55" t="b">
        <v>0</v>
      </c>
      <c r="N550" s="96" t="b">
        <v>0</v>
      </c>
      <c r="O550" s="55" t="b">
        <v>0</v>
      </c>
      <c r="P550" s="55" t="b">
        <v>0</v>
      </c>
      <c r="Q550" s="55" t="b">
        <v>0</v>
      </c>
      <c r="R550" s="55" t="b">
        <v>0</v>
      </c>
      <c r="S550" s="55" t="b">
        <v>0</v>
      </c>
      <c r="T550" s="55" t="b">
        <v>0</v>
      </c>
      <c r="U550" s="55" t="b">
        <v>0</v>
      </c>
      <c r="V550" s="55" t="b">
        <v>0</v>
      </c>
    </row>
    <row r="551" ht="69" customHeight="1" s="211">
      <c r="A551" s="92">
        <f>Accounts!A551</f>
        <v/>
      </c>
      <c r="B551" s="12" t="b">
        <v>0</v>
      </c>
      <c r="C551" s="93">
        <f>Accounts!N551</f>
        <v/>
      </c>
      <c r="D551" s="94" t="n"/>
      <c r="E551" s="93">
        <f>Accounts!F551</f>
        <v/>
      </c>
      <c r="F551" s="94">
        <f>Accounts!Q551</f>
        <v/>
      </c>
      <c r="G551" s="94">
        <f>Accounts!R551</f>
        <v/>
      </c>
      <c r="H551" s="94">
        <f>Accounts!I551</f>
        <v/>
      </c>
      <c r="I551" s="94">
        <f>Accounts!J551</f>
        <v/>
      </c>
      <c r="J551" s="93">
        <f>Accounts!S551</f>
        <v/>
      </c>
      <c r="K551" s="88" t="n"/>
      <c r="L551" s="95" t="n"/>
      <c r="M551" s="55" t="b">
        <v>0</v>
      </c>
      <c r="N551" s="96" t="b">
        <v>0</v>
      </c>
      <c r="O551" s="55" t="b">
        <v>0</v>
      </c>
      <c r="P551" s="55" t="b">
        <v>0</v>
      </c>
      <c r="Q551" s="55" t="b">
        <v>0</v>
      </c>
      <c r="R551" s="55" t="b">
        <v>0</v>
      </c>
      <c r="S551" s="55" t="b">
        <v>0</v>
      </c>
      <c r="T551" s="55" t="b">
        <v>0</v>
      </c>
      <c r="U551" s="55" t="b">
        <v>0</v>
      </c>
      <c r="V551" s="55" t="b">
        <v>0</v>
      </c>
    </row>
    <row r="552" ht="69" customHeight="1" s="211">
      <c r="A552" s="92">
        <f>Accounts!A552</f>
        <v/>
      </c>
      <c r="B552" s="12" t="b">
        <v>0</v>
      </c>
      <c r="C552" s="93">
        <f>Accounts!N552</f>
        <v/>
      </c>
      <c r="D552" s="94" t="n"/>
      <c r="E552" s="93">
        <f>Accounts!F552</f>
        <v/>
      </c>
      <c r="F552" s="94">
        <f>Accounts!Q552</f>
        <v/>
      </c>
      <c r="G552" s="94">
        <f>Accounts!R552</f>
        <v/>
      </c>
      <c r="H552" s="94">
        <f>Accounts!I552</f>
        <v/>
      </c>
      <c r="I552" s="94">
        <f>Accounts!J552</f>
        <v/>
      </c>
      <c r="J552" s="93">
        <f>Accounts!S552</f>
        <v/>
      </c>
      <c r="K552" s="88" t="n"/>
      <c r="L552" s="95" t="n"/>
      <c r="M552" s="55" t="b">
        <v>0</v>
      </c>
      <c r="N552" s="96" t="b">
        <v>0</v>
      </c>
      <c r="O552" s="55" t="b">
        <v>0</v>
      </c>
      <c r="P552" s="55" t="b">
        <v>0</v>
      </c>
      <c r="Q552" s="55" t="b">
        <v>0</v>
      </c>
      <c r="R552" s="55" t="b">
        <v>0</v>
      </c>
      <c r="S552" s="55" t="b">
        <v>0</v>
      </c>
      <c r="T552" s="55" t="b">
        <v>0</v>
      </c>
      <c r="U552" s="55" t="b">
        <v>0</v>
      </c>
      <c r="V552" s="55" t="b">
        <v>0</v>
      </c>
    </row>
    <row r="553" ht="69" customHeight="1" s="211">
      <c r="A553" s="92">
        <f>Accounts!A553</f>
        <v/>
      </c>
      <c r="B553" s="12" t="b">
        <v>0</v>
      </c>
      <c r="C553" s="93">
        <f>Accounts!N553</f>
        <v/>
      </c>
      <c r="D553" s="94" t="n"/>
      <c r="E553" s="93">
        <f>Accounts!F553</f>
        <v/>
      </c>
      <c r="F553" s="94">
        <f>Accounts!Q553</f>
        <v/>
      </c>
      <c r="G553" s="94">
        <f>Accounts!R553</f>
        <v/>
      </c>
      <c r="H553" s="94">
        <f>Accounts!I553</f>
        <v/>
      </c>
      <c r="I553" s="94">
        <f>Accounts!J553</f>
        <v/>
      </c>
      <c r="J553" s="93">
        <f>Accounts!S553</f>
        <v/>
      </c>
      <c r="K553" s="88" t="n"/>
      <c r="L553" s="95" t="n"/>
      <c r="M553" s="55" t="b">
        <v>0</v>
      </c>
      <c r="N553" s="96" t="b">
        <v>0</v>
      </c>
      <c r="O553" s="55" t="b">
        <v>0</v>
      </c>
      <c r="P553" s="55" t="b">
        <v>0</v>
      </c>
      <c r="Q553" s="55" t="b">
        <v>0</v>
      </c>
      <c r="R553" s="55" t="b">
        <v>0</v>
      </c>
      <c r="S553" s="55" t="b">
        <v>0</v>
      </c>
      <c r="T553" s="55" t="b">
        <v>0</v>
      </c>
      <c r="U553" s="55" t="b">
        <v>0</v>
      </c>
      <c r="V553" s="55" t="b">
        <v>0</v>
      </c>
    </row>
    <row r="554" ht="69" customHeight="1" s="211">
      <c r="A554" s="92">
        <f>Accounts!A554</f>
        <v/>
      </c>
      <c r="B554" s="12" t="b">
        <v>0</v>
      </c>
      <c r="C554" s="93">
        <f>Accounts!N554</f>
        <v/>
      </c>
      <c r="D554" s="94" t="n"/>
      <c r="E554" s="93">
        <f>Accounts!F554</f>
        <v/>
      </c>
      <c r="F554" s="94">
        <f>Accounts!Q554</f>
        <v/>
      </c>
      <c r="G554" s="94">
        <f>Accounts!R554</f>
        <v/>
      </c>
      <c r="H554" s="94">
        <f>Accounts!I554</f>
        <v/>
      </c>
      <c r="I554" s="94">
        <f>Accounts!J554</f>
        <v/>
      </c>
      <c r="J554" s="93">
        <f>Accounts!S554</f>
        <v/>
      </c>
      <c r="K554" s="88" t="n"/>
      <c r="L554" s="95" t="n"/>
      <c r="M554" s="55" t="b">
        <v>0</v>
      </c>
      <c r="N554" s="96" t="b">
        <v>0</v>
      </c>
      <c r="O554" s="55" t="b">
        <v>0</v>
      </c>
      <c r="P554" s="55" t="b">
        <v>0</v>
      </c>
      <c r="Q554" s="55" t="b">
        <v>0</v>
      </c>
      <c r="R554" s="55" t="b">
        <v>0</v>
      </c>
      <c r="S554" s="55" t="b">
        <v>0</v>
      </c>
      <c r="T554" s="55" t="b">
        <v>0</v>
      </c>
      <c r="U554" s="55" t="b">
        <v>0</v>
      </c>
      <c r="V554" s="55" t="b">
        <v>0</v>
      </c>
    </row>
    <row r="555" ht="69" customHeight="1" s="211">
      <c r="A555" s="92">
        <f>Accounts!A555</f>
        <v/>
      </c>
      <c r="B555" s="12" t="b">
        <v>0</v>
      </c>
      <c r="C555" s="93">
        <f>Accounts!N555</f>
        <v/>
      </c>
      <c r="D555" s="94" t="n"/>
      <c r="E555" s="93">
        <f>Accounts!F555</f>
        <v/>
      </c>
      <c r="F555" s="94">
        <f>Accounts!Q555</f>
        <v/>
      </c>
      <c r="G555" s="94">
        <f>Accounts!R555</f>
        <v/>
      </c>
      <c r="H555" s="94">
        <f>Accounts!I555</f>
        <v/>
      </c>
      <c r="I555" s="94">
        <f>Accounts!J555</f>
        <v/>
      </c>
      <c r="J555" s="93">
        <f>Accounts!S555</f>
        <v/>
      </c>
      <c r="K555" s="88" t="n"/>
      <c r="L555" s="95" t="n"/>
      <c r="M555" s="55" t="b">
        <v>0</v>
      </c>
      <c r="N555" s="96" t="b">
        <v>0</v>
      </c>
      <c r="O555" s="55" t="b">
        <v>0</v>
      </c>
      <c r="P555" s="55" t="b">
        <v>0</v>
      </c>
      <c r="Q555" s="55" t="b">
        <v>0</v>
      </c>
      <c r="R555" s="55" t="b">
        <v>0</v>
      </c>
      <c r="S555" s="55" t="b">
        <v>0</v>
      </c>
      <c r="T555" s="55" t="b">
        <v>0</v>
      </c>
      <c r="U555" s="55" t="b">
        <v>0</v>
      </c>
      <c r="V555" s="55" t="b">
        <v>0</v>
      </c>
    </row>
    <row r="556" ht="69" customHeight="1" s="211">
      <c r="A556" s="92">
        <f>Accounts!A556</f>
        <v/>
      </c>
      <c r="B556" s="12" t="b">
        <v>0</v>
      </c>
      <c r="C556" s="93">
        <f>Accounts!N556</f>
        <v/>
      </c>
      <c r="D556" s="94" t="n"/>
      <c r="E556" s="93">
        <f>Accounts!F556</f>
        <v/>
      </c>
      <c r="F556" s="94">
        <f>Accounts!Q556</f>
        <v/>
      </c>
      <c r="G556" s="94">
        <f>Accounts!R556</f>
        <v/>
      </c>
      <c r="H556" s="94">
        <f>Accounts!I556</f>
        <v/>
      </c>
      <c r="I556" s="94">
        <f>Accounts!J556</f>
        <v/>
      </c>
      <c r="J556" s="93">
        <f>Accounts!S556</f>
        <v/>
      </c>
      <c r="K556" s="88" t="n"/>
      <c r="L556" s="95" t="n"/>
      <c r="M556" s="55" t="b">
        <v>0</v>
      </c>
      <c r="N556" s="96" t="b">
        <v>0</v>
      </c>
      <c r="O556" s="55" t="b">
        <v>0</v>
      </c>
      <c r="P556" s="55" t="b">
        <v>0</v>
      </c>
      <c r="Q556" s="55" t="b">
        <v>0</v>
      </c>
      <c r="R556" s="55" t="b">
        <v>0</v>
      </c>
      <c r="S556" s="55" t="b">
        <v>0</v>
      </c>
      <c r="T556" s="55" t="b">
        <v>0</v>
      </c>
      <c r="U556" s="55" t="b">
        <v>0</v>
      </c>
      <c r="V556" s="55" t="b">
        <v>0</v>
      </c>
    </row>
    <row r="557" ht="69" customHeight="1" s="211">
      <c r="A557" s="92">
        <f>Accounts!A557</f>
        <v/>
      </c>
      <c r="B557" s="12" t="b">
        <v>0</v>
      </c>
      <c r="C557" s="93">
        <f>Accounts!N557</f>
        <v/>
      </c>
      <c r="D557" s="94" t="n"/>
      <c r="E557" s="93">
        <f>Accounts!F557</f>
        <v/>
      </c>
      <c r="F557" s="94">
        <f>Accounts!Q557</f>
        <v/>
      </c>
      <c r="G557" s="94">
        <f>Accounts!R557</f>
        <v/>
      </c>
      <c r="H557" s="94">
        <f>Accounts!I557</f>
        <v/>
      </c>
      <c r="I557" s="94">
        <f>Accounts!J557</f>
        <v/>
      </c>
      <c r="J557" s="93">
        <f>Accounts!S557</f>
        <v/>
      </c>
      <c r="K557" s="88" t="n"/>
      <c r="L557" s="95" t="n"/>
      <c r="M557" s="55" t="b">
        <v>0</v>
      </c>
      <c r="N557" s="96" t="b">
        <v>0</v>
      </c>
      <c r="O557" s="55" t="b">
        <v>0</v>
      </c>
      <c r="P557" s="55" t="b">
        <v>0</v>
      </c>
      <c r="Q557" s="55" t="b">
        <v>0</v>
      </c>
      <c r="R557" s="55" t="b">
        <v>0</v>
      </c>
      <c r="S557" s="55" t="b">
        <v>0</v>
      </c>
      <c r="T557" s="55" t="b">
        <v>0</v>
      </c>
      <c r="U557" s="55" t="b">
        <v>0</v>
      </c>
      <c r="V557" s="55" t="b">
        <v>0</v>
      </c>
    </row>
    <row r="558" ht="69" customHeight="1" s="211">
      <c r="A558" s="92">
        <f>Accounts!A558</f>
        <v/>
      </c>
      <c r="B558" s="12" t="b">
        <v>0</v>
      </c>
      <c r="C558" s="93">
        <f>Accounts!N558</f>
        <v/>
      </c>
      <c r="D558" s="94" t="n"/>
      <c r="E558" s="93">
        <f>Accounts!F558</f>
        <v/>
      </c>
      <c r="F558" s="94">
        <f>Accounts!Q558</f>
        <v/>
      </c>
      <c r="G558" s="94">
        <f>Accounts!R558</f>
        <v/>
      </c>
      <c r="H558" s="94">
        <f>Accounts!I558</f>
        <v/>
      </c>
      <c r="I558" s="94">
        <f>Accounts!J558</f>
        <v/>
      </c>
      <c r="J558" s="93">
        <f>Accounts!S558</f>
        <v/>
      </c>
      <c r="K558" s="88" t="n"/>
      <c r="L558" s="95" t="n"/>
      <c r="M558" s="55" t="b">
        <v>0</v>
      </c>
      <c r="N558" s="96" t="b">
        <v>0</v>
      </c>
      <c r="O558" s="55" t="b">
        <v>0</v>
      </c>
      <c r="P558" s="55" t="b">
        <v>0</v>
      </c>
      <c r="Q558" s="55" t="b">
        <v>0</v>
      </c>
      <c r="R558" s="55" t="b">
        <v>0</v>
      </c>
      <c r="S558" s="55" t="b">
        <v>0</v>
      </c>
      <c r="T558" s="55" t="b">
        <v>0</v>
      </c>
      <c r="U558" s="55" t="b">
        <v>0</v>
      </c>
      <c r="V558" s="55" t="b">
        <v>0</v>
      </c>
    </row>
    <row r="559" ht="69" customHeight="1" s="211">
      <c r="A559" s="92">
        <f>Accounts!A559</f>
        <v/>
      </c>
      <c r="B559" s="12" t="b">
        <v>0</v>
      </c>
      <c r="C559" s="93">
        <f>Accounts!N559</f>
        <v/>
      </c>
      <c r="D559" s="94" t="n"/>
      <c r="E559" s="93">
        <f>Accounts!F559</f>
        <v/>
      </c>
      <c r="F559" s="94">
        <f>Accounts!Q559</f>
        <v/>
      </c>
      <c r="G559" s="94">
        <f>Accounts!R559</f>
        <v/>
      </c>
      <c r="H559" s="94">
        <f>Accounts!I559</f>
        <v/>
      </c>
      <c r="I559" s="94">
        <f>Accounts!J559</f>
        <v/>
      </c>
      <c r="J559" s="93">
        <f>Accounts!S559</f>
        <v/>
      </c>
      <c r="K559" s="88" t="n"/>
      <c r="L559" s="95" t="n"/>
      <c r="M559" s="55" t="b">
        <v>0</v>
      </c>
      <c r="N559" s="96" t="b">
        <v>0</v>
      </c>
      <c r="O559" s="55" t="b">
        <v>0</v>
      </c>
      <c r="P559" s="55" t="b">
        <v>0</v>
      </c>
      <c r="Q559" s="55" t="b">
        <v>0</v>
      </c>
      <c r="R559" s="55" t="b">
        <v>0</v>
      </c>
      <c r="S559" s="55" t="b">
        <v>0</v>
      </c>
      <c r="T559" s="55" t="b">
        <v>0</v>
      </c>
      <c r="U559" s="55" t="b">
        <v>0</v>
      </c>
      <c r="V559" s="55" t="b">
        <v>0</v>
      </c>
    </row>
    <row r="560" ht="69" customHeight="1" s="211">
      <c r="A560" s="92">
        <f>Accounts!A560</f>
        <v/>
      </c>
      <c r="B560" s="12" t="b">
        <v>0</v>
      </c>
      <c r="C560" s="93">
        <f>Accounts!N560</f>
        <v/>
      </c>
      <c r="D560" s="94" t="n"/>
      <c r="E560" s="93">
        <f>Accounts!F560</f>
        <v/>
      </c>
      <c r="F560" s="94">
        <f>Accounts!Q560</f>
        <v/>
      </c>
      <c r="G560" s="94">
        <f>Accounts!R560</f>
        <v/>
      </c>
      <c r="H560" s="94">
        <f>Accounts!I560</f>
        <v/>
      </c>
      <c r="I560" s="94">
        <f>Accounts!J560</f>
        <v/>
      </c>
      <c r="J560" s="93">
        <f>Accounts!S560</f>
        <v/>
      </c>
      <c r="K560" s="88" t="n"/>
      <c r="L560" s="95" t="n"/>
      <c r="M560" s="55" t="b">
        <v>0</v>
      </c>
      <c r="N560" s="96" t="b">
        <v>0</v>
      </c>
      <c r="O560" s="55" t="b">
        <v>0</v>
      </c>
      <c r="P560" s="55" t="b">
        <v>0</v>
      </c>
      <c r="Q560" s="55" t="b">
        <v>0</v>
      </c>
      <c r="R560" s="55" t="b">
        <v>0</v>
      </c>
      <c r="S560" s="55" t="b">
        <v>0</v>
      </c>
      <c r="T560" s="55" t="b">
        <v>0</v>
      </c>
      <c r="U560" s="55" t="b">
        <v>0</v>
      </c>
      <c r="V560" s="55" t="b">
        <v>0</v>
      </c>
    </row>
    <row r="561" ht="69" customHeight="1" s="211">
      <c r="A561" s="92">
        <f>Accounts!A561</f>
        <v/>
      </c>
      <c r="B561" s="12" t="b">
        <v>0</v>
      </c>
      <c r="C561" s="93">
        <f>Accounts!N561</f>
        <v/>
      </c>
      <c r="D561" s="94" t="n"/>
      <c r="E561" s="93">
        <f>Accounts!F561</f>
        <v/>
      </c>
      <c r="F561" s="94">
        <f>Accounts!Q561</f>
        <v/>
      </c>
      <c r="G561" s="94">
        <f>Accounts!R561</f>
        <v/>
      </c>
      <c r="H561" s="94">
        <f>Accounts!I561</f>
        <v/>
      </c>
      <c r="I561" s="94">
        <f>Accounts!J561</f>
        <v/>
      </c>
      <c r="J561" s="93">
        <f>Accounts!S561</f>
        <v/>
      </c>
      <c r="K561" s="88" t="n"/>
      <c r="L561" s="95" t="n"/>
      <c r="M561" s="55" t="b">
        <v>0</v>
      </c>
      <c r="N561" s="96" t="b">
        <v>0</v>
      </c>
      <c r="O561" s="55" t="b">
        <v>0</v>
      </c>
      <c r="P561" s="55" t="b">
        <v>0</v>
      </c>
      <c r="Q561" s="55" t="b">
        <v>0</v>
      </c>
      <c r="R561" s="55" t="b">
        <v>0</v>
      </c>
      <c r="S561" s="55" t="b">
        <v>0</v>
      </c>
      <c r="T561" s="55" t="b">
        <v>0</v>
      </c>
      <c r="U561" s="55" t="b">
        <v>0</v>
      </c>
      <c r="V561" s="55" t="b">
        <v>0</v>
      </c>
    </row>
    <row r="562" ht="69" customHeight="1" s="211">
      <c r="A562" s="92">
        <f>Accounts!A562</f>
        <v/>
      </c>
      <c r="B562" s="12" t="b">
        <v>0</v>
      </c>
      <c r="C562" s="93">
        <f>Accounts!N562</f>
        <v/>
      </c>
      <c r="D562" s="94" t="n"/>
      <c r="E562" s="93">
        <f>Accounts!F562</f>
        <v/>
      </c>
      <c r="F562" s="94">
        <f>Accounts!Q562</f>
        <v/>
      </c>
      <c r="G562" s="94">
        <f>Accounts!R562</f>
        <v/>
      </c>
      <c r="H562" s="94">
        <f>Accounts!I562</f>
        <v/>
      </c>
      <c r="I562" s="94">
        <f>Accounts!J562</f>
        <v/>
      </c>
      <c r="J562" s="93">
        <f>Accounts!S562</f>
        <v/>
      </c>
      <c r="K562" s="88" t="n"/>
      <c r="L562" s="95" t="n"/>
      <c r="M562" s="55" t="b">
        <v>0</v>
      </c>
      <c r="N562" s="96" t="b">
        <v>0</v>
      </c>
      <c r="O562" s="55" t="b">
        <v>0</v>
      </c>
      <c r="P562" s="55" t="b">
        <v>0</v>
      </c>
      <c r="Q562" s="55" t="b">
        <v>0</v>
      </c>
      <c r="R562" s="55" t="b">
        <v>0</v>
      </c>
      <c r="S562" s="55" t="b">
        <v>0</v>
      </c>
      <c r="T562" s="55" t="b">
        <v>0</v>
      </c>
      <c r="U562" s="55" t="b">
        <v>0</v>
      </c>
      <c r="V562" s="55" t="b">
        <v>0</v>
      </c>
    </row>
    <row r="563" ht="69" customHeight="1" s="211">
      <c r="A563" s="92">
        <f>Accounts!A563</f>
        <v/>
      </c>
      <c r="B563" s="12" t="b">
        <v>0</v>
      </c>
      <c r="C563" s="93">
        <f>Accounts!N563</f>
        <v/>
      </c>
      <c r="D563" s="94" t="n"/>
      <c r="E563" s="93">
        <f>Accounts!F563</f>
        <v/>
      </c>
      <c r="F563" s="94">
        <f>Accounts!Q563</f>
        <v/>
      </c>
      <c r="G563" s="94">
        <f>Accounts!R563</f>
        <v/>
      </c>
      <c r="H563" s="94">
        <f>Accounts!I563</f>
        <v/>
      </c>
      <c r="I563" s="94">
        <f>Accounts!J563</f>
        <v/>
      </c>
      <c r="J563" s="93">
        <f>Accounts!S563</f>
        <v/>
      </c>
      <c r="K563" s="88" t="n"/>
      <c r="L563" s="95" t="n"/>
      <c r="M563" s="55" t="b">
        <v>0</v>
      </c>
      <c r="N563" s="96" t="b">
        <v>0</v>
      </c>
      <c r="O563" s="55" t="b">
        <v>0</v>
      </c>
      <c r="P563" s="55" t="b">
        <v>0</v>
      </c>
      <c r="Q563" s="55" t="b">
        <v>0</v>
      </c>
      <c r="R563" s="55" t="b">
        <v>0</v>
      </c>
      <c r="S563" s="55" t="b">
        <v>0</v>
      </c>
      <c r="T563" s="55" t="b">
        <v>0</v>
      </c>
      <c r="U563" s="55" t="b">
        <v>0</v>
      </c>
      <c r="V563" s="55" t="b">
        <v>0</v>
      </c>
    </row>
    <row r="564" ht="69" customHeight="1" s="211">
      <c r="A564" s="92">
        <f>Accounts!A564</f>
        <v/>
      </c>
      <c r="B564" s="12" t="b">
        <v>0</v>
      </c>
      <c r="C564" s="93">
        <f>Accounts!N564</f>
        <v/>
      </c>
      <c r="D564" s="94" t="n"/>
      <c r="E564" s="93">
        <f>Accounts!F564</f>
        <v/>
      </c>
      <c r="F564" s="94">
        <f>Accounts!Q564</f>
        <v/>
      </c>
      <c r="G564" s="94">
        <f>Accounts!R564</f>
        <v/>
      </c>
      <c r="H564" s="94">
        <f>Accounts!I564</f>
        <v/>
      </c>
      <c r="I564" s="94">
        <f>Accounts!J564</f>
        <v/>
      </c>
      <c r="J564" s="93">
        <f>Accounts!S564</f>
        <v/>
      </c>
      <c r="K564" s="88" t="n"/>
      <c r="L564" s="95" t="n"/>
      <c r="M564" s="55" t="b">
        <v>0</v>
      </c>
      <c r="N564" s="96" t="b">
        <v>0</v>
      </c>
      <c r="O564" s="55" t="b">
        <v>0</v>
      </c>
      <c r="P564" s="55" t="b">
        <v>0</v>
      </c>
      <c r="Q564" s="55" t="b">
        <v>0</v>
      </c>
      <c r="R564" s="55" t="b">
        <v>0</v>
      </c>
      <c r="S564" s="55" t="b">
        <v>0</v>
      </c>
      <c r="T564" s="55" t="b">
        <v>0</v>
      </c>
      <c r="U564" s="55" t="b">
        <v>0</v>
      </c>
      <c r="V564" s="55" t="b">
        <v>0</v>
      </c>
    </row>
    <row r="565" ht="69" customHeight="1" s="211">
      <c r="A565" s="92">
        <f>Accounts!A565</f>
        <v/>
      </c>
      <c r="B565" s="12" t="b">
        <v>0</v>
      </c>
      <c r="C565" s="93">
        <f>Accounts!N565</f>
        <v/>
      </c>
      <c r="D565" s="94" t="n"/>
      <c r="E565" s="93">
        <f>Accounts!F565</f>
        <v/>
      </c>
      <c r="F565" s="94">
        <f>Accounts!Q565</f>
        <v/>
      </c>
      <c r="G565" s="94">
        <f>Accounts!R565</f>
        <v/>
      </c>
      <c r="H565" s="94">
        <f>Accounts!I565</f>
        <v/>
      </c>
      <c r="I565" s="94">
        <f>Accounts!J565</f>
        <v/>
      </c>
      <c r="J565" s="93">
        <f>Accounts!S565</f>
        <v/>
      </c>
      <c r="K565" s="88" t="n"/>
      <c r="L565" s="95" t="n"/>
      <c r="M565" s="55" t="b">
        <v>0</v>
      </c>
      <c r="N565" s="96" t="b">
        <v>0</v>
      </c>
      <c r="O565" s="55" t="b">
        <v>0</v>
      </c>
      <c r="P565" s="55" t="b">
        <v>0</v>
      </c>
      <c r="Q565" s="55" t="b">
        <v>0</v>
      </c>
      <c r="R565" s="55" t="b">
        <v>0</v>
      </c>
      <c r="S565" s="55" t="b">
        <v>0</v>
      </c>
      <c r="T565" s="55" t="b">
        <v>0</v>
      </c>
      <c r="U565" s="55" t="b">
        <v>0</v>
      </c>
      <c r="V565" s="55" t="b">
        <v>0</v>
      </c>
    </row>
    <row r="566" ht="69" customHeight="1" s="211">
      <c r="A566" s="92">
        <f>Accounts!A566</f>
        <v/>
      </c>
      <c r="B566" s="12" t="b">
        <v>0</v>
      </c>
      <c r="C566" s="93">
        <f>Accounts!N566</f>
        <v/>
      </c>
      <c r="D566" s="94" t="n"/>
      <c r="E566" s="93">
        <f>Accounts!F566</f>
        <v/>
      </c>
      <c r="F566" s="94">
        <f>Accounts!Q566</f>
        <v/>
      </c>
      <c r="G566" s="94">
        <f>Accounts!R566</f>
        <v/>
      </c>
      <c r="H566" s="94">
        <f>Accounts!I566</f>
        <v/>
      </c>
      <c r="I566" s="94">
        <f>Accounts!J566</f>
        <v/>
      </c>
      <c r="J566" s="93">
        <f>Accounts!S566</f>
        <v/>
      </c>
      <c r="K566" s="88" t="n"/>
      <c r="L566" s="95" t="n"/>
      <c r="M566" s="55" t="b">
        <v>0</v>
      </c>
      <c r="N566" s="96" t="b">
        <v>0</v>
      </c>
      <c r="O566" s="55" t="b">
        <v>0</v>
      </c>
      <c r="P566" s="55" t="b">
        <v>0</v>
      </c>
      <c r="Q566" s="55" t="b">
        <v>0</v>
      </c>
      <c r="R566" s="55" t="b">
        <v>0</v>
      </c>
      <c r="S566" s="55" t="b">
        <v>0</v>
      </c>
      <c r="T566" s="55" t="b">
        <v>0</v>
      </c>
      <c r="U566" s="55" t="b">
        <v>0</v>
      </c>
      <c r="V566" s="55" t="b">
        <v>0</v>
      </c>
    </row>
    <row r="567" ht="69" customHeight="1" s="211">
      <c r="A567" s="92">
        <f>Accounts!A567</f>
        <v/>
      </c>
      <c r="B567" s="12" t="b">
        <v>0</v>
      </c>
      <c r="C567" s="93">
        <f>Accounts!N567</f>
        <v/>
      </c>
      <c r="D567" s="94" t="n"/>
      <c r="E567" s="93">
        <f>Accounts!F567</f>
        <v/>
      </c>
      <c r="F567" s="94">
        <f>Accounts!Q567</f>
        <v/>
      </c>
      <c r="G567" s="94">
        <f>Accounts!R567</f>
        <v/>
      </c>
      <c r="H567" s="94">
        <f>Accounts!I567</f>
        <v/>
      </c>
      <c r="I567" s="94">
        <f>Accounts!J567</f>
        <v/>
      </c>
      <c r="J567" s="93">
        <f>Accounts!S567</f>
        <v/>
      </c>
      <c r="K567" s="88" t="n"/>
      <c r="L567" s="95" t="n"/>
      <c r="M567" s="55" t="b">
        <v>0</v>
      </c>
      <c r="N567" s="96" t="b">
        <v>0</v>
      </c>
      <c r="O567" s="55" t="b">
        <v>0</v>
      </c>
      <c r="P567" s="55" t="b">
        <v>0</v>
      </c>
      <c r="Q567" s="55" t="b">
        <v>0</v>
      </c>
      <c r="R567" s="55" t="b">
        <v>0</v>
      </c>
      <c r="S567" s="55" t="b">
        <v>0</v>
      </c>
      <c r="T567" s="55" t="b">
        <v>0</v>
      </c>
      <c r="U567" s="55" t="b">
        <v>0</v>
      </c>
      <c r="V567" s="55" t="b">
        <v>0</v>
      </c>
    </row>
    <row r="568" ht="69" customHeight="1" s="211">
      <c r="A568" s="92">
        <f>Accounts!A568</f>
        <v/>
      </c>
      <c r="B568" s="12" t="b">
        <v>0</v>
      </c>
      <c r="C568" s="93">
        <f>Accounts!N568</f>
        <v/>
      </c>
      <c r="D568" s="94" t="n"/>
      <c r="E568" s="93">
        <f>Accounts!F568</f>
        <v/>
      </c>
      <c r="F568" s="94">
        <f>Accounts!Q568</f>
        <v/>
      </c>
      <c r="G568" s="94">
        <f>Accounts!R568</f>
        <v/>
      </c>
      <c r="H568" s="94">
        <f>Accounts!I568</f>
        <v/>
      </c>
      <c r="I568" s="94">
        <f>Accounts!J568</f>
        <v/>
      </c>
      <c r="J568" s="93">
        <f>Accounts!S568</f>
        <v/>
      </c>
      <c r="K568" s="88" t="n"/>
      <c r="L568" s="95" t="n"/>
      <c r="M568" s="55" t="b">
        <v>0</v>
      </c>
      <c r="N568" s="96" t="b">
        <v>0</v>
      </c>
      <c r="O568" s="55" t="b">
        <v>0</v>
      </c>
      <c r="P568" s="55" t="b">
        <v>0</v>
      </c>
      <c r="Q568" s="55" t="b">
        <v>0</v>
      </c>
      <c r="R568" s="55" t="b">
        <v>0</v>
      </c>
      <c r="S568" s="55" t="b">
        <v>0</v>
      </c>
      <c r="T568" s="55" t="b">
        <v>0</v>
      </c>
      <c r="U568" s="55" t="b">
        <v>0</v>
      </c>
      <c r="V568" s="55" t="b">
        <v>0</v>
      </c>
    </row>
    <row r="569" ht="69" customHeight="1" s="211">
      <c r="A569" s="92">
        <f>Accounts!A569</f>
        <v/>
      </c>
      <c r="B569" s="12" t="b">
        <v>0</v>
      </c>
      <c r="C569" s="93">
        <f>Accounts!N569</f>
        <v/>
      </c>
      <c r="D569" s="94" t="n"/>
      <c r="E569" s="93">
        <f>Accounts!F569</f>
        <v/>
      </c>
      <c r="F569" s="94">
        <f>Accounts!Q569</f>
        <v/>
      </c>
      <c r="G569" s="94">
        <f>Accounts!R569</f>
        <v/>
      </c>
      <c r="H569" s="94">
        <f>Accounts!I569</f>
        <v/>
      </c>
      <c r="I569" s="94">
        <f>Accounts!J569</f>
        <v/>
      </c>
      <c r="J569" s="93">
        <f>Accounts!S569</f>
        <v/>
      </c>
      <c r="K569" s="88" t="n"/>
      <c r="L569" s="95" t="n"/>
      <c r="M569" s="55" t="b">
        <v>0</v>
      </c>
      <c r="N569" s="96" t="b">
        <v>0</v>
      </c>
      <c r="O569" s="55" t="b">
        <v>0</v>
      </c>
      <c r="P569" s="55" t="b">
        <v>0</v>
      </c>
      <c r="Q569" s="55" t="b">
        <v>0</v>
      </c>
      <c r="R569" s="55" t="b">
        <v>0</v>
      </c>
      <c r="S569" s="55" t="b">
        <v>0</v>
      </c>
      <c r="T569" s="55" t="b">
        <v>0</v>
      </c>
      <c r="U569" s="55" t="b">
        <v>0</v>
      </c>
      <c r="V569" s="55" t="b">
        <v>0</v>
      </c>
    </row>
    <row r="570" ht="69" customHeight="1" s="211">
      <c r="A570" s="92">
        <f>Accounts!A570</f>
        <v/>
      </c>
      <c r="B570" s="12" t="b">
        <v>0</v>
      </c>
      <c r="C570" s="93">
        <f>Accounts!N570</f>
        <v/>
      </c>
      <c r="D570" s="94" t="n"/>
      <c r="E570" s="93">
        <f>Accounts!F570</f>
        <v/>
      </c>
      <c r="F570" s="94">
        <f>Accounts!Q570</f>
        <v/>
      </c>
      <c r="G570" s="94">
        <f>Accounts!R570</f>
        <v/>
      </c>
      <c r="H570" s="94">
        <f>Accounts!I570</f>
        <v/>
      </c>
      <c r="I570" s="94">
        <f>Accounts!J570</f>
        <v/>
      </c>
      <c r="J570" s="93">
        <f>Accounts!S570</f>
        <v/>
      </c>
      <c r="K570" s="88" t="n"/>
      <c r="L570" s="95" t="n"/>
      <c r="M570" s="55" t="b">
        <v>0</v>
      </c>
      <c r="N570" s="96" t="b">
        <v>0</v>
      </c>
      <c r="O570" s="55" t="b">
        <v>0</v>
      </c>
      <c r="P570" s="55" t="b">
        <v>0</v>
      </c>
      <c r="Q570" s="55" t="b">
        <v>0</v>
      </c>
      <c r="R570" s="55" t="b">
        <v>0</v>
      </c>
      <c r="S570" s="55" t="b">
        <v>0</v>
      </c>
      <c r="T570" s="55" t="b">
        <v>0</v>
      </c>
      <c r="U570" s="55" t="b">
        <v>0</v>
      </c>
      <c r="V570" s="55" t="b">
        <v>0</v>
      </c>
    </row>
    <row r="571" ht="69" customHeight="1" s="211">
      <c r="A571" s="92">
        <f>Accounts!A571</f>
        <v/>
      </c>
      <c r="B571" s="12" t="b">
        <v>0</v>
      </c>
      <c r="C571" s="93">
        <f>Accounts!N571</f>
        <v/>
      </c>
      <c r="D571" s="94" t="n"/>
      <c r="E571" s="93">
        <f>Accounts!F571</f>
        <v/>
      </c>
      <c r="F571" s="94">
        <f>Accounts!Q571</f>
        <v/>
      </c>
      <c r="G571" s="94">
        <f>Accounts!R571</f>
        <v/>
      </c>
      <c r="H571" s="94">
        <f>Accounts!I571</f>
        <v/>
      </c>
      <c r="I571" s="94">
        <f>Accounts!J571</f>
        <v/>
      </c>
      <c r="J571" s="93">
        <f>Accounts!S571</f>
        <v/>
      </c>
      <c r="K571" s="88" t="n"/>
      <c r="L571" s="95" t="n"/>
      <c r="M571" s="55" t="b">
        <v>0</v>
      </c>
      <c r="N571" s="96" t="b">
        <v>0</v>
      </c>
      <c r="O571" s="55" t="b">
        <v>0</v>
      </c>
      <c r="P571" s="55" t="b">
        <v>0</v>
      </c>
      <c r="Q571" s="55" t="b">
        <v>0</v>
      </c>
      <c r="R571" s="55" t="b">
        <v>0</v>
      </c>
      <c r="S571" s="55" t="b">
        <v>0</v>
      </c>
      <c r="T571" s="55" t="b">
        <v>0</v>
      </c>
      <c r="U571" s="55" t="b">
        <v>0</v>
      </c>
      <c r="V571" s="55" t="b">
        <v>0</v>
      </c>
    </row>
    <row r="572" ht="69" customHeight="1" s="211">
      <c r="A572" s="92">
        <f>Accounts!A572</f>
        <v/>
      </c>
      <c r="B572" s="12" t="b">
        <v>0</v>
      </c>
      <c r="C572" s="93">
        <f>Accounts!N572</f>
        <v/>
      </c>
      <c r="D572" s="94" t="n"/>
      <c r="E572" s="93">
        <f>Accounts!F572</f>
        <v/>
      </c>
      <c r="F572" s="94">
        <f>Accounts!Q572</f>
        <v/>
      </c>
      <c r="G572" s="94">
        <f>Accounts!R572</f>
        <v/>
      </c>
      <c r="H572" s="94">
        <f>Accounts!I572</f>
        <v/>
      </c>
      <c r="I572" s="94">
        <f>Accounts!J572</f>
        <v/>
      </c>
      <c r="J572" s="93">
        <f>Accounts!S572</f>
        <v/>
      </c>
      <c r="K572" s="88" t="n"/>
      <c r="L572" s="95" t="n"/>
      <c r="M572" s="55" t="b">
        <v>0</v>
      </c>
      <c r="N572" s="96" t="b">
        <v>0</v>
      </c>
      <c r="O572" s="55" t="b">
        <v>0</v>
      </c>
      <c r="P572" s="55" t="b">
        <v>0</v>
      </c>
      <c r="Q572" s="55" t="b">
        <v>0</v>
      </c>
      <c r="R572" s="55" t="b">
        <v>0</v>
      </c>
      <c r="S572" s="55" t="b">
        <v>0</v>
      </c>
      <c r="T572" s="55" t="b">
        <v>0</v>
      </c>
      <c r="U572" s="55" t="b">
        <v>0</v>
      </c>
      <c r="V572" s="55" t="b">
        <v>0</v>
      </c>
    </row>
    <row r="573" ht="69" customHeight="1" s="211">
      <c r="A573" s="92">
        <f>Accounts!A573</f>
        <v/>
      </c>
      <c r="B573" s="12" t="b">
        <v>0</v>
      </c>
      <c r="C573" s="93">
        <f>Accounts!N573</f>
        <v/>
      </c>
      <c r="D573" s="94" t="n"/>
      <c r="E573" s="93">
        <f>Accounts!F573</f>
        <v/>
      </c>
      <c r="F573" s="94">
        <f>Accounts!Q573</f>
        <v/>
      </c>
      <c r="G573" s="94">
        <f>Accounts!R573</f>
        <v/>
      </c>
      <c r="H573" s="94">
        <f>Accounts!I573</f>
        <v/>
      </c>
      <c r="I573" s="94">
        <f>Accounts!J573</f>
        <v/>
      </c>
      <c r="J573" s="93">
        <f>Accounts!S573</f>
        <v/>
      </c>
      <c r="K573" s="88" t="n"/>
      <c r="L573" s="95" t="n"/>
      <c r="M573" s="55" t="b">
        <v>0</v>
      </c>
      <c r="N573" s="96" t="b">
        <v>0</v>
      </c>
      <c r="O573" s="55" t="b">
        <v>0</v>
      </c>
      <c r="P573" s="55" t="b">
        <v>0</v>
      </c>
      <c r="Q573" s="55" t="b">
        <v>0</v>
      </c>
      <c r="R573" s="55" t="b">
        <v>0</v>
      </c>
      <c r="S573" s="55" t="b">
        <v>0</v>
      </c>
      <c r="T573" s="55" t="b">
        <v>0</v>
      </c>
      <c r="U573" s="55" t="b">
        <v>0</v>
      </c>
      <c r="V573" s="55" t="b">
        <v>0</v>
      </c>
    </row>
    <row r="574" ht="69" customHeight="1" s="211">
      <c r="A574" s="92">
        <f>Accounts!A574</f>
        <v/>
      </c>
      <c r="B574" s="12" t="b">
        <v>0</v>
      </c>
      <c r="C574" s="93">
        <f>Accounts!N574</f>
        <v/>
      </c>
      <c r="D574" s="94" t="n"/>
      <c r="E574" s="93">
        <f>Accounts!F574</f>
        <v/>
      </c>
      <c r="F574" s="94">
        <f>Accounts!Q574</f>
        <v/>
      </c>
      <c r="G574" s="94">
        <f>Accounts!R574</f>
        <v/>
      </c>
      <c r="H574" s="94">
        <f>Accounts!I574</f>
        <v/>
      </c>
      <c r="I574" s="94">
        <f>Accounts!J574</f>
        <v/>
      </c>
      <c r="J574" s="93">
        <f>Accounts!S574</f>
        <v/>
      </c>
      <c r="K574" s="88" t="n"/>
      <c r="L574" s="95" t="n"/>
      <c r="M574" s="55" t="b">
        <v>0</v>
      </c>
      <c r="N574" s="96" t="b">
        <v>0</v>
      </c>
      <c r="O574" s="55" t="b">
        <v>0</v>
      </c>
      <c r="P574" s="55" t="b">
        <v>0</v>
      </c>
      <c r="Q574" s="55" t="b">
        <v>0</v>
      </c>
      <c r="R574" s="55" t="b">
        <v>0</v>
      </c>
      <c r="S574" s="55" t="b">
        <v>0</v>
      </c>
      <c r="T574" s="55" t="b">
        <v>0</v>
      </c>
      <c r="U574" s="55" t="b">
        <v>0</v>
      </c>
      <c r="V574" s="55" t="b">
        <v>0</v>
      </c>
    </row>
    <row r="575" ht="69" customHeight="1" s="211">
      <c r="A575" s="92">
        <f>Accounts!A575</f>
        <v/>
      </c>
      <c r="B575" s="12" t="b">
        <v>0</v>
      </c>
      <c r="C575" s="93">
        <f>Accounts!N575</f>
        <v/>
      </c>
      <c r="D575" s="94" t="n"/>
      <c r="E575" s="93">
        <f>Accounts!F575</f>
        <v/>
      </c>
      <c r="F575" s="94">
        <f>Accounts!Q575</f>
        <v/>
      </c>
      <c r="G575" s="94">
        <f>Accounts!R575</f>
        <v/>
      </c>
      <c r="H575" s="94">
        <f>Accounts!I575</f>
        <v/>
      </c>
      <c r="I575" s="94">
        <f>Accounts!J575</f>
        <v/>
      </c>
      <c r="J575" s="93">
        <f>Accounts!S575</f>
        <v/>
      </c>
      <c r="K575" s="88" t="n"/>
      <c r="L575" s="95" t="n"/>
      <c r="M575" s="55" t="b">
        <v>0</v>
      </c>
      <c r="N575" s="96" t="b">
        <v>0</v>
      </c>
      <c r="O575" s="55" t="b">
        <v>0</v>
      </c>
      <c r="P575" s="55" t="b">
        <v>0</v>
      </c>
      <c r="Q575" s="55" t="b">
        <v>0</v>
      </c>
      <c r="R575" s="55" t="b">
        <v>0</v>
      </c>
      <c r="S575" s="55" t="b">
        <v>0</v>
      </c>
      <c r="T575" s="55" t="b">
        <v>0</v>
      </c>
      <c r="U575" s="55" t="b">
        <v>0</v>
      </c>
      <c r="V575" s="55" t="b">
        <v>0</v>
      </c>
    </row>
    <row r="576" ht="69" customHeight="1" s="211">
      <c r="A576" s="92">
        <f>Accounts!A576</f>
        <v/>
      </c>
      <c r="B576" s="12" t="b">
        <v>0</v>
      </c>
      <c r="C576" s="93">
        <f>Accounts!N576</f>
        <v/>
      </c>
      <c r="D576" s="94" t="n"/>
      <c r="E576" s="93">
        <f>Accounts!F576</f>
        <v/>
      </c>
      <c r="F576" s="94">
        <f>Accounts!Q576</f>
        <v/>
      </c>
      <c r="G576" s="94">
        <f>Accounts!R576</f>
        <v/>
      </c>
      <c r="H576" s="94">
        <f>Accounts!I576</f>
        <v/>
      </c>
      <c r="I576" s="94">
        <f>Accounts!J576</f>
        <v/>
      </c>
      <c r="J576" s="93">
        <f>Accounts!S576</f>
        <v/>
      </c>
      <c r="K576" s="88" t="n"/>
      <c r="L576" s="95" t="n"/>
      <c r="M576" s="55" t="b">
        <v>0</v>
      </c>
      <c r="N576" s="96" t="b">
        <v>0</v>
      </c>
      <c r="O576" s="55" t="b">
        <v>0</v>
      </c>
      <c r="P576" s="55" t="b">
        <v>0</v>
      </c>
      <c r="Q576" s="55" t="b">
        <v>0</v>
      </c>
      <c r="R576" s="55" t="b">
        <v>0</v>
      </c>
      <c r="S576" s="55" t="b">
        <v>0</v>
      </c>
      <c r="T576" s="55" t="b">
        <v>0</v>
      </c>
      <c r="U576" s="55" t="b">
        <v>0</v>
      </c>
      <c r="V576" s="55" t="b">
        <v>0</v>
      </c>
    </row>
    <row r="577" ht="69" customHeight="1" s="211">
      <c r="A577" s="92">
        <f>Accounts!A577</f>
        <v/>
      </c>
      <c r="B577" s="12" t="b">
        <v>0</v>
      </c>
      <c r="C577" s="93">
        <f>Accounts!N577</f>
        <v/>
      </c>
      <c r="D577" s="94" t="n"/>
      <c r="E577" s="93">
        <f>Accounts!F577</f>
        <v/>
      </c>
      <c r="F577" s="94">
        <f>Accounts!Q577</f>
        <v/>
      </c>
      <c r="G577" s="94">
        <f>Accounts!R577</f>
        <v/>
      </c>
      <c r="H577" s="94">
        <f>Accounts!I577</f>
        <v/>
      </c>
      <c r="I577" s="94">
        <f>Accounts!J577</f>
        <v/>
      </c>
      <c r="J577" s="93">
        <f>Accounts!S577</f>
        <v/>
      </c>
      <c r="K577" s="88" t="n"/>
      <c r="L577" s="95" t="n"/>
      <c r="M577" s="55" t="b">
        <v>0</v>
      </c>
      <c r="N577" s="96" t="b">
        <v>0</v>
      </c>
      <c r="O577" s="55" t="b">
        <v>0</v>
      </c>
      <c r="P577" s="55" t="b">
        <v>0</v>
      </c>
      <c r="Q577" s="55" t="b">
        <v>0</v>
      </c>
      <c r="R577" s="55" t="b">
        <v>0</v>
      </c>
      <c r="S577" s="55" t="b">
        <v>0</v>
      </c>
      <c r="T577" s="55" t="b">
        <v>0</v>
      </c>
      <c r="U577" s="55" t="b">
        <v>0</v>
      </c>
      <c r="V577" s="55" t="b">
        <v>0</v>
      </c>
    </row>
    <row r="578" ht="69" customHeight="1" s="211">
      <c r="A578" s="92">
        <f>Accounts!A578</f>
        <v/>
      </c>
      <c r="B578" s="12" t="b">
        <v>0</v>
      </c>
      <c r="C578" s="93">
        <f>Accounts!N578</f>
        <v/>
      </c>
      <c r="D578" s="94" t="n"/>
      <c r="E578" s="93">
        <f>Accounts!F578</f>
        <v/>
      </c>
      <c r="F578" s="94">
        <f>Accounts!Q578</f>
        <v/>
      </c>
      <c r="G578" s="94">
        <f>Accounts!R578</f>
        <v/>
      </c>
      <c r="H578" s="94">
        <f>Accounts!I578</f>
        <v/>
      </c>
      <c r="I578" s="94">
        <f>Accounts!J578</f>
        <v/>
      </c>
      <c r="J578" s="93">
        <f>Accounts!S578</f>
        <v/>
      </c>
      <c r="K578" s="88" t="n"/>
      <c r="L578" s="95" t="n"/>
      <c r="M578" s="55" t="b">
        <v>0</v>
      </c>
      <c r="N578" s="96" t="b">
        <v>0</v>
      </c>
      <c r="O578" s="55" t="b">
        <v>0</v>
      </c>
      <c r="P578" s="55" t="b">
        <v>0</v>
      </c>
      <c r="Q578" s="55" t="b">
        <v>0</v>
      </c>
      <c r="R578" s="55" t="b">
        <v>0</v>
      </c>
      <c r="S578" s="55" t="b">
        <v>0</v>
      </c>
      <c r="T578" s="55" t="b">
        <v>0</v>
      </c>
      <c r="U578" s="55" t="b">
        <v>0</v>
      </c>
      <c r="V578" s="55" t="b">
        <v>0</v>
      </c>
    </row>
    <row r="579" ht="69" customHeight="1" s="211">
      <c r="A579" s="92">
        <f>Accounts!A579</f>
        <v/>
      </c>
      <c r="B579" s="12" t="b">
        <v>0</v>
      </c>
      <c r="C579" s="93">
        <f>Accounts!N579</f>
        <v/>
      </c>
      <c r="D579" s="94" t="n"/>
      <c r="E579" s="93">
        <f>Accounts!F579</f>
        <v/>
      </c>
      <c r="F579" s="94">
        <f>Accounts!Q579</f>
        <v/>
      </c>
      <c r="G579" s="94">
        <f>Accounts!R579</f>
        <v/>
      </c>
      <c r="H579" s="94">
        <f>Accounts!I579</f>
        <v/>
      </c>
      <c r="I579" s="94">
        <f>Accounts!J579</f>
        <v/>
      </c>
      <c r="J579" s="93">
        <f>Accounts!S579</f>
        <v/>
      </c>
      <c r="K579" s="88" t="n"/>
      <c r="L579" s="95" t="n"/>
      <c r="M579" s="55" t="b">
        <v>0</v>
      </c>
      <c r="N579" s="96" t="b">
        <v>0</v>
      </c>
      <c r="O579" s="55" t="b">
        <v>0</v>
      </c>
      <c r="P579" s="55" t="b">
        <v>0</v>
      </c>
      <c r="Q579" s="55" t="b">
        <v>0</v>
      </c>
      <c r="R579" s="55" t="b">
        <v>0</v>
      </c>
      <c r="S579" s="55" t="b">
        <v>0</v>
      </c>
      <c r="T579" s="55" t="b">
        <v>0</v>
      </c>
      <c r="U579" s="55" t="b">
        <v>0</v>
      </c>
      <c r="V579" s="55" t="b">
        <v>0</v>
      </c>
    </row>
    <row r="580" ht="69" customHeight="1" s="211">
      <c r="A580" s="92">
        <f>Accounts!A580</f>
        <v/>
      </c>
      <c r="B580" s="12" t="b">
        <v>0</v>
      </c>
      <c r="C580" s="93">
        <f>Accounts!N580</f>
        <v/>
      </c>
      <c r="D580" s="94" t="n"/>
      <c r="E580" s="93">
        <f>Accounts!F580</f>
        <v/>
      </c>
      <c r="F580" s="94">
        <f>Accounts!Q580</f>
        <v/>
      </c>
      <c r="G580" s="94">
        <f>Accounts!R580</f>
        <v/>
      </c>
      <c r="H580" s="94">
        <f>Accounts!I580</f>
        <v/>
      </c>
      <c r="I580" s="94">
        <f>Accounts!J580</f>
        <v/>
      </c>
      <c r="J580" s="93">
        <f>Accounts!S580</f>
        <v/>
      </c>
      <c r="K580" s="88" t="n"/>
      <c r="L580" s="95" t="n"/>
      <c r="M580" s="55" t="b">
        <v>0</v>
      </c>
      <c r="N580" s="96" t="b">
        <v>0</v>
      </c>
      <c r="O580" s="55" t="b">
        <v>0</v>
      </c>
      <c r="P580" s="55" t="b">
        <v>0</v>
      </c>
      <c r="Q580" s="55" t="b">
        <v>0</v>
      </c>
      <c r="R580" s="55" t="b">
        <v>0</v>
      </c>
      <c r="S580" s="55" t="b">
        <v>0</v>
      </c>
      <c r="T580" s="55" t="b">
        <v>0</v>
      </c>
      <c r="U580" s="55" t="b">
        <v>0</v>
      </c>
      <c r="V580" s="55" t="b">
        <v>0</v>
      </c>
    </row>
    <row r="581" ht="69" customHeight="1" s="211">
      <c r="A581" s="92">
        <f>Accounts!A581</f>
        <v/>
      </c>
      <c r="B581" s="12" t="b">
        <v>0</v>
      </c>
      <c r="C581" s="93">
        <f>Accounts!N581</f>
        <v/>
      </c>
      <c r="D581" s="94" t="n"/>
      <c r="E581" s="93">
        <f>Accounts!F581</f>
        <v/>
      </c>
      <c r="F581" s="94">
        <f>Accounts!Q581</f>
        <v/>
      </c>
      <c r="G581" s="94">
        <f>Accounts!R581</f>
        <v/>
      </c>
      <c r="H581" s="94">
        <f>Accounts!I581</f>
        <v/>
      </c>
      <c r="I581" s="94">
        <f>Accounts!J581</f>
        <v/>
      </c>
      <c r="J581" s="93">
        <f>Accounts!S581</f>
        <v/>
      </c>
      <c r="K581" s="88" t="n"/>
      <c r="L581" s="95" t="n"/>
      <c r="M581" s="55" t="b">
        <v>0</v>
      </c>
      <c r="N581" s="96" t="b">
        <v>0</v>
      </c>
      <c r="O581" s="55" t="b">
        <v>0</v>
      </c>
      <c r="P581" s="55" t="b">
        <v>0</v>
      </c>
      <c r="Q581" s="55" t="b">
        <v>0</v>
      </c>
      <c r="R581" s="55" t="b">
        <v>0</v>
      </c>
      <c r="S581" s="55" t="b">
        <v>0</v>
      </c>
      <c r="T581" s="55" t="b">
        <v>0</v>
      </c>
      <c r="U581" s="55" t="b">
        <v>0</v>
      </c>
      <c r="V581" s="55" t="b">
        <v>0</v>
      </c>
    </row>
    <row r="582" ht="69" customHeight="1" s="211">
      <c r="A582" s="92">
        <f>Accounts!A582</f>
        <v/>
      </c>
      <c r="B582" s="12" t="b">
        <v>0</v>
      </c>
      <c r="C582" s="93">
        <f>Accounts!N582</f>
        <v/>
      </c>
      <c r="D582" s="94" t="n"/>
      <c r="E582" s="93">
        <f>Accounts!F582</f>
        <v/>
      </c>
      <c r="F582" s="94">
        <f>Accounts!Q582</f>
        <v/>
      </c>
      <c r="G582" s="94">
        <f>Accounts!R582</f>
        <v/>
      </c>
      <c r="H582" s="94">
        <f>Accounts!I582</f>
        <v/>
      </c>
      <c r="I582" s="94">
        <f>Accounts!J582</f>
        <v/>
      </c>
      <c r="J582" s="93">
        <f>Accounts!S582</f>
        <v/>
      </c>
      <c r="K582" s="88" t="n"/>
      <c r="L582" s="95" t="n"/>
      <c r="M582" s="55" t="b">
        <v>0</v>
      </c>
      <c r="N582" s="96" t="b">
        <v>0</v>
      </c>
      <c r="O582" s="55" t="b">
        <v>0</v>
      </c>
      <c r="P582" s="55" t="b">
        <v>0</v>
      </c>
      <c r="Q582" s="55" t="b">
        <v>0</v>
      </c>
      <c r="R582" s="55" t="b">
        <v>0</v>
      </c>
      <c r="S582" s="55" t="b">
        <v>0</v>
      </c>
      <c r="T582" s="55" t="b">
        <v>0</v>
      </c>
      <c r="U582" s="55" t="b">
        <v>0</v>
      </c>
      <c r="V582" s="55" t="b">
        <v>0</v>
      </c>
    </row>
    <row r="583" ht="69" customHeight="1" s="211">
      <c r="A583" s="92">
        <f>Accounts!A583</f>
        <v/>
      </c>
      <c r="B583" s="12" t="b">
        <v>0</v>
      </c>
      <c r="C583" s="93">
        <f>Accounts!N583</f>
        <v/>
      </c>
      <c r="D583" s="94" t="n"/>
      <c r="E583" s="93">
        <f>Accounts!F583</f>
        <v/>
      </c>
      <c r="F583" s="94">
        <f>Accounts!Q583</f>
        <v/>
      </c>
      <c r="G583" s="94">
        <f>Accounts!R583</f>
        <v/>
      </c>
      <c r="H583" s="94">
        <f>Accounts!I583</f>
        <v/>
      </c>
      <c r="I583" s="94">
        <f>Accounts!J583</f>
        <v/>
      </c>
      <c r="J583" s="93">
        <f>Accounts!S583</f>
        <v/>
      </c>
      <c r="K583" s="88" t="n"/>
      <c r="L583" s="95" t="n"/>
      <c r="M583" s="55" t="b">
        <v>0</v>
      </c>
      <c r="N583" s="96" t="b">
        <v>0</v>
      </c>
      <c r="O583" s="55" t="b">
        <v>0</v>
      </c>
      <c r="P583" s="55" t="b">
        <v>0</v>
      </c>
      <c r="Q583" s="55" t="b">
        <v>0</v>
      </c>
      <c r="R583" s="55" t="b">
        <v>0</v>
      </c>
      <c r="S583" s="55" t="b">
        <v>0</v>
      </c>
      <c r="T583" s="55" t="b">
        <v>0</v>
      </c>
      <c r="U583" s="55" t="b">
        <v>0</v>
      </c>
      <c r="V583" s="55" t="b">
        <v>0</v>
      </c>
    </row>
    <row r="584" ht="69" customHeight="1" s="211">
      <c r="A584" s="92">
        <f>Accounts!A584</f>
        <v/>
      </c>
      <c r="B584" s="12" t="b">
        <v>0</v>
      </c>
      <c r="C584" s="93">
        <f>Accounts!N584</f>
        <v/>
      </c>
      <c r="D584" s="94" t="n"/>
      <c r="E584" s="93">
        <f>Accounts!F584</f>
        <v/>
      </c>
      <c r="F584" s="94">
        <f>Accounts!Q584</f>
        <v/>
      </c>
      <c r="G584" s="94">
        <f>Accounts!R584</f>
        <v/>
      </c>
      <c r="H584" s="94">
        <f>Accounts!I584</f>
        <v/>
      </c>
      <c r="I584" s="94">
        <f>Accounts!J584</f>
        <v/>
      </c>
      <c r="J584" s="93">
        <f>Accounts!S584</f>
        <v/>
      </c>
      <c r="K584" s="88" t="n"/>
      <c r="L584" s="95" t="n"/>
      <c r="M584" s="55" t="b">
        <v>0</v>
      </c>
      <c r="N584" s="96" t="b">
        <v>0</v>
      </c>
      <c r="O584" s="55" t="b">
        <v>0</v>
      </c>
      <c r="P584" s="55" t="b">
        <v>0</v>
      </c>
      <c r="Q584" s="55" t="b">
        <v>0</v>
      </c>
      <c r="R584" s="55" t="b">
        <v>0</v>
      </c>
      <c r="S584" s="55" t="b">
        <v>0</v>
      </c>
      <c r="T584" s="55" t="b">
        <v>0</v>
      </c>
      <c r="U584" s="55" t="b">
        <v>0</v>
      </c>
      <c r="V584" s="55" t="b">
        <v>0</v>
      </c>
    </row>
    <row r="585" ht="69" customHeight="1" s="211">
      <c r="A585" s="92">
        <f>Accounts!A585</f>
        <v/>
      </c>
      <c r="B585" s="12" t="b">
        <v>0</v>
      </c>
      <c r="C585" s="93">
        <f>Accounts!N585</f>
        <v/>
      </c>
      <c r="D585" s="94" t="n"/>
      <c r="E585" s="93">
        <f>Accounts!F585</f>
        <v/>
      </c>
      <c r="F585" s="94">
        <f>Accounts!Q585</f>
        <v/>
      </c>
      <c r="G585" s="94">
        <f>Accounts!R585</f>
        <v/>
      </c>
      <c r="H585" s="94">
        <f>Accounts!I585</f>
        <v/>
      </c>
      <c r="I585" s="94">
        <f>Accounts!J585</f>
        <v/>
      </c>
      <c r="J585" s="93">
        <f>Accounts!S585</f>
        <v/>
      </c>
      <c r="K585" s="88" t="n"/>
      <c r="L585" s="95" t="n"/>
      <c r="M585" s="55" t="b">
        <v>0</v>
      </c>
      <c r="N585" s="96" t="b">
        <v>0</v>
      </c>
      <c r="O585" s="55" t="b">
        <v>0</v>
      </c>
      <c r="P585" s="55" t="b">
        <v>0</v>
      </c>
      <c r="Q585" s="55" t="b">
        <v>0</v>
      </c>
      <c r="R585" s="55" t="b">
        <v>0</v>
      </c>
      <c r="S585" s="55" t="b">
        <v>0</v>
      </c>
      <c r="T585" s="55" t="b">
        <v>0</v>
      </c>
      <c r="U585" s="55" t="b">
        <v>0</v>
      </c>
      <c r="V585" s="55" t="b">
        <v>0</v>
      </c>
    </row>
    <row r="586" ht="69" customHeight="1" s="211">
      <c r="A586" s="92">
        <f>Accounts!A586</f>
        <v/>
      </c>
      <c r="B586" s="12" t="b">
        <v>0</v>
      </c>
      <c r="C586" s="93">
        <f>Accounts!N586</f>
        <v/>
      </c>
      <c r="D586" s="94" t="n"/>
      <c r="E586" s="93">
        <f>Accounts!F586</f>
        <v/>
      </c>
      <c r="F586" s="94">
        <f>Accounts!Q586</f>
        <v/>
      </c>
      <c r="G586" s="94">
        <f>Accounts!R586</f>
        <v/>
      </c>
      <c r="H586" s="94">
        <f>Accounts!I586</f>
        <v/>
      </c>
      <c r="I586" s="94">
        <f>Accounts!J586</f>
        <v/>
      </c>
      <c r="J586" s="93">
        <f>Accounts!S586</f>
        <v/>
      </c>
      <c r="K586" s="88" t="n"/>
      <c r="L586" s="95" t="n"/>
      <c r="M586" s="55" t="b">
        <v>0</v>
      </c>
      <c r="N586" s="96" t="b">
        <v>0</v>
      </c>
      <c r="O586" s="55" t="b">
        <v>0</v>
      </c>
      <c r="P586" s="55" t="b">
        <v>0</v>
      </c>
      <c r="Q586" s="55" t="b">
        <v>0</v>
      </c>
      <c r="R586" s="55" t="b">
        <v>0</v>
      </c>
      <c r="S586" s="55" t="b">
        <v>0</v>
      </c>
      <c r="T586" s="55" t="b">
        <v>0</v>
      </c>
      <c r="U586" s="55" t="b">
        <v>0</v>
      </c>
      <c r="V586" s="55" t="b">
        <v>0</v>
      </c>
    </row>
    <row r="587" ht="69" customHeight="1" s="211">
      <c r="A587" s="92">
        <f>Accounts!A587</f>
        <v/>
      </c>
      <c r="B587" s="12" t="b">
        <v>0</v>
      </c>
      <c r="C587" s="93">
        <f>Accounts!N587</f>
        <v/>
      </c>
      <c r="D587" s="94" t="n"/>
      <c r="E587" s="93">
        <f>Accounts!F587</f>
        <v/>
      </c>
      <c r="F587" s="94">
        <f>Accounts!Q587</f>
        <v/>
      </c>
      <c r="G587" s="94">
        <f>Accounts!R587</f>
        <v/>
      </c>
      <c r="H587" s="94">
        <f>Accounts!I587</f>
        <v/>
      </c>
      <c r="I587" s="94">
        <f>Accounts!J587</f>
        <v/>
      </c>
      <c r="J587" s="93">
        <f>Accounts!S587</f>
        <v/>
      </c>
      <c r="K587" s="88" t="n"/>
      <c r="L587" s="95" t="n"/>
      <c r="M587" s="55" t="b">
        <v>0</v>
      </c>
      <c r="N587" s="96" t="b">
        <v>0</v>
      </c>
      <c r="O587" s="55" t="b">
        <v>0</v>
      </c>
      <c r="P587" s="55" t="b">
        <v>0</v>
      </c>
      <c r="Q587" s="55" t="b">
        <v>0</v>
      </c>
      <c r="R587" s="55" t="b">
        <v>0</v>
      </c>
      <c r="S587" s="55" t="b">
        <v>0</v>
      </c>
      <c r="T587" s="55" t="b">
        <v>0</v>
      </c>
      <c r="U587" s="55" t="b">
        <v>0</v>
      </c>
      <c r="V587" s="55" t="b">
        <v>0</v>
      </c>
    </row>
    <row r="588" ht="69" customHeight="1" s="211">
      <c r="A588" s="92">
        <f>Accounts!A588</f>
        <v/>
      </c>
      <c r="B588" s="12" t="b">
        <v>0</v>
      </c>
      <c r="C588" s="93">
        <f>Accounts!N588</f>
        <v/>
      </c>
      <c r="D588" s="94" t="n"/>
      <c r="E588" s="93">
        <f>Accounts!F588</f>
        <v/>
      </c>
      <c r="F588" s="94">
        <f>Accounts!Q588</f>
        <v/>
      </c>
      <c r="G588" s="94">
        <f>Accounts!R588</f>
        <v/>
      </c>
      <c r="H588" s="94">
        <f>Accounts!I588</f>
        <v/>
      </c>
      <c r="I588" s="94">
        <f>Accounts!J588</f>
        <v/>
      </c>
      <c r="J588" s="93">
        <f>Accounts!S588</f>
        <v/>
      </c>
      <c r="K588" s="88" t="n"/>
      <c r="L588" s="95" t="n"/>
      <c r="M588" s="55" t="b">
        <v>0</v>
      </c>
      <c r="N588" s="96" t="b">
        <v>0</v>
      </c>
      <c r="O588" s="55" t="b">
        <v>0</v>
      </c>
      <c r="P588" s="55" t="b">
        <v>0</v>
      </c>
      <c r="Q588" s="55" t="b">
        <v>0</v>
      </c>
      <c r="R588" s="55" t="b">
        <v>0</v>
      </c>
      <c r="S588" s="55" t="b">
        <v>0</v>
      </c>
      <c r="T588" s="55" t="b">
        <v>0</v>
      </c>
      <c r="U588" s="55" t="b">
        <v>0</v>
      </c>
      <c r="V588" s="55" t="b">
        <v>0</v>
      </c>
    </row>
    <row r="589" ht="69" customHeight="1" s="211">
      <c r="A589" s="92">
        <f>Accounts!A589</f>
        <v/>
      </c>
      <c r="B589" s="12" t="b">
        <v>0</v>
      </c>
      <c r="C589" s="93">
        <f>Accounts!N589</f>
        <v/>
      </c>
      <c r="D589" s="94" t="n"/>
      <c r="E589" s="93">
        <f>Accounts!F589</f>
        <v/>
      </c>
      <c r="F589" s="94">
        <f>Accounts!Q589</f>
        <v/>
      </c>
      <c r="G589" s="94">
        <f>Accounts!R589</f>
        <v/>
      </c>
      <c r="H589" s="94">
        <f>Accounts!I589</f>
        <v/>
      </c>
      <c r="I589" s="94">
        <f>Accounts!J589</f>
        <v/>
      </c>
      <c r="J589" s="93">
        <f>Accounts!S589</f>
        <v/>
      </c>
      <c r="K589" s="88" t="n"/>
      <c r="L589" s="95" t="n"/>
      <c r="M589" s="55" t="b">
        <v>0</v>
      </c>
      <c r="N589" s="96" t="b">
        <v>0</v>
      </c>
      <c r="O589" s="55" t="b">
        <v>0</v>
      </c>
      <c r="P589" s="55" t="b">
        <v>0</v>
      </c>
      <c r="Q589" s="55" t="b">
        <v>0</v>
      </c>
      <c r="R589" s="55" t="b">
        <v>0</v>
      </c>
      <c r="S589" s="55" t="b">
        <v>0</v>
      </c>
      <c r="T589" s="55" t="b">
        <v>0</v>
      </c>
      <c r="U589" s="55" t="b">
        <v>0</v>
      </c>
      <c r="V589" s="55" t="b">
        <v>0</v>
      </c>
    </row>
    <row r="590" ht="69" customHeight="1" s="211">
      <c r="A590" s="92">
        <f>Accounts!A590</f>
        <v/>
      </c>
      <c r="B590" s="12" t="b">
        <v>0</v>
      </c>
      <c r="C590" s="93">
        <f>Accounts!N590</f>
        <v/>
      </c>
      <c r="D590" s="94" t="n"/>
      <c r="E590" s="93">
        <f>Accounts!F590</f>
        <v/>
      </c>
      <c r="F590" s="94">
        <f>Accounts!Q590</f>
        <v/>
      </c>
      <c r="G590" s="94">
        <f>Accounts!R590</f>
        <v/>
      </c>
      <c r="H590" s="94">
        <f>Accounts!I590</f>
        <v/>
      </c>
      <c r="I590" s="94">
        <f>Accounts!J590</f>
        <v/>
      </c>
      <c r="J590" s="93">
        <f>Accounts!S590</f>
        <v/>
      </c>
      <c r="K590" s="88" t="n"/>
      <c r="L590" s="95" t="n"/>
      <c r="M590" s="55" t="b">
        <v>0</v>
      </c>
      <c r="N590" s="96" t="b">
        <v>0</v>
      </c>
      <c r="O590" s="55" t="b">
        <v>0</v>
      </c>
      <c r="P590" s="55" t="b">
        <v>0</v>
      </c>
      <c r="Q590" s="55" t="b">
        <v>0</v>
      </c>
      <c r="R590" s="55" t="b">
        <v>0</v>
      </c>
      <c r="S590" s="55" t="b">
        <v>0</v>
      </c>
      <c r="T590" s="55" t="b">
        <v>0</v>
      </c>
      <c r="U590" s="55" t="b">
        <v>0</v>
      </c>
      <c r="V590" s="55" t="b">
        <v>0</v>
      </c>
    </row>
    <row r="591" ht="69" customHeight="1" s="211">
      <c r="A591" s="92">
        <f>Accounts!A591</f>
        <v/>
      </c>
      <c r="B591" s="12" t="b">
        <v>0</v>
      </c>
      <c r="C591" s="93">
        <f>Accounts!N591</f>
        <v/>
      </c>
      <c r="D591" s="94" t="n"/>
      <c r="E591" s="93">
        <f>Accounts!F591</f>
        <v/>
      </c>
      <c r="F591" s="94">
        <f>Accounts!Q591</f>
        <v/>
      </c>
      <c r="G591" s="94">
        <f>Accounts!R591</f>
        <v/>
      </c>
      <c r="H591" s="94">
        <f>Accounts!I591</f>
        <v/>
      </c>
      <c r="I591" s="94">
        <f>Accounts!J591</f>
        <v/>
      </c>
      <c r="J591" s="93">
        <f>Accounts!S591</f>
        <v/>
      </c>
      <c r="K591" s="88" t="n"/>
      <c r="L591" s="95" t="n"/>
      <c r="M591" s="55" t="b">
        <v>0</v>
      </c>
      <c r="N591" s="96" t="b">
        <v>0</v>
      </c>
      <c r="O591" s="55" t="b">
        <v>0</v>
      </c>
      <c r="P591" s="55" t="b">
        <v>0</v>
      </c>
      <c r="Q591" s="55" t="b">
        <v>0</v>
      </c>
      <c r="R591" s="55" t="b">
        <v>0</v>
      </c>
      <c r="S591" s="55" t="b">
        <v>0</v>
      </c>
      <c r="T591" s="55" t="b">
        <v>0</v>
      </c>
      <c r="U591" s="55" t="b">
        <v>0</v>
      </c>
      <c r="V591" s="55" t="b">
        <v>0</v>
      </c>
    </row>
    <row r="592" ht="69" customHeight="1" s="211">
      <c r="A592" s="92">
        <f>Accounts!A592</f>
        <v/>
      </c>
      <c r="B592" s="12" t="b">
        <v>0</v>
      </c>
      <c r="C592" s="93">
        <f>Accounts!N592</f>
        <v/>
      </c>
      <c r="D592" s="94" t="n"/>
      <c r="E592" s="93">
        <f>Accounts!F592</f>
        <v/>
      </c>
      <c r="F592" s="94">
        <f>Accounts!Q592</f>
        <v/>
      </c>
      <c r="G592" s="94">
        <f>Accounts!R592</f>
        <v/>
      </c>
      <c r="H592" s="94">
        <f>Accounts!I592</f>
        <v/>
      </c>
      <c r="I592" s="94">
        <f>Accounts!J592</f>
        <v/>
      </c>
      <c r="J592" s="93">
        <f>Accounts!S592</f>
        <v/>
      </c>
      <c r="K592" s="88" t="n"/>
      <c r="L592" s="95" t="n"/>
      <c r="M592" s="55" t="b">
        <v>0</v>
      </c>
      <c r="N592" s="96" t="b">
        <v>0</v>
      </c>
      <c r="O592" s="55" t="b">
        <v>0</v>
      </c>
      <c r="P592" s="55" t="b">
        <v>0</v>
      </c>
      <c r="Q592" s="55" t="b">
        <v>0</v>
      </c>
      <c r="R592" s="55" t="b">
        <v>0</v>
      </c>
      <c r="S592" s="55" t="b">
        <v>0</v>
      </c>
      <c r="T592" s="55" t="b">
        <v>0</v>
      </c>
      <c r="U592" s="55" t="b">
        <v>0</v>
      </c>
      <c r="V592" s="55" t="b">
        <v>0</v>
      </c>
    </row>
    <row r="593" ht="69" customHeight="1" s="211">
      <c r="A593" s="92">
        <f>Accounts!A593</f>
        <v/>
      </c>
      <c r="B593" s="12" t="b">
        <v>0</v>
      </c>
      <c r="C593" s="93">
        <f>Accounts!N593</f>
        <v/>
      </c>
      <c r="D593" s="94" t="n"/>
      <c r="E593" s="93">
        <f>Accounts!F593</f>
        <v/>
      </c>
      <c r="F593" s="94">
        <f>Accounts!Q593</f>
        <v/>
      </c>
      <c r="G593" s="94">
        <f>Accounts!R593</f>
        <v/>
      </c>
      <c r="H593" s="94">
        <f>Accounts!I593</f>
        <v/>
      </c>
      <c r="I593" s="94">
        <f>Accounts!J593</f>
        <v/>
      </c>
      <c r="J593" s="93">
        <f>Accounts!S593</f>
        <v/>
      </c>
      <c r="K593" s="88" t="n"/>
      <c r="L593" s="95" t="n"/>
      <c r="M593" s="55" t="b">
        <v>0</v>
      </c>
      <c r="N593" s="96" t="b">
        <v>0</v>
      </c>
      <c r="O593" s="55" t="b">
        <v>0</v>
      </c>
      <c r="P593" s="55" t="b">
        <v>0</v>
      </c>
      <c r="Q593" s="55" t="b">
        <v>0</v>
      </c>
      <c r="R593" s="55" t="b">
        <v>0</v>
      </c>
      <c r="S593" s="55" t="b">
        <v>0</v>
      </c>
      <c r="T593" s="55" t="b">
        <v>0</v>
      </c>
      <c r="U593" s="55" t="b">
        <v>0</v>
      </c>
      <c r="V593" s="55" t="b">
        <v>0</v>
      </c>
    </row>
    <row r="594" ht="69" customHeight="1" s="211">
      <c r="A594" s="92">
        <f>Accounts!A594</f>
        <v/>
      </c>
      <c r="B594" s="12" t="b">
        <v>0</v>
      </c>
      <c r="C594" s="93">
        <f>Accounts!N594</f>
        <v/>
      </c>
      <c r="D594" s="94" t="n"/>
      <c r="E594" s="93">
        <f>Accounts!F594</f>
        <v/>
      </c>
      <c r="F594" s="94">
        <f>Accounts!Q594</f>
        <v/>
      </c>
      <c r="G594" s="94">
        <f>Accounts!R594</f>
        <v/>
      </c>
      <c r="H594" s="94">
        <f>Accounts!I594</f>
        <v/>
      </c>
      <c r="I594" s="94">
        <f>Accounts!J594</f>
        <v/>
      </c>
      <c r="J594" s="93">
        <f>Accounts!S594</f>
        <v/>
      </c>
      <c r="K594" s="88" t="n"/>
      <c r="L594" s="95" t="n"/>
      <c r="M594" s="55" t="b">
        <v>0</v>
      </c>
      <c r="N594" s="96" t="b">
        <v>0</v>
      </c>
      <c r="O594" s="55" t="b">
        <v>0</v>
      </c>
      <c r="P594" s="55" t="b">
        <v>0</v>
      </c>
      <c r="Q594" s="55" t="b">
        <v>0</v>
      </c>
      <c r="R594" s="55" t="b">
        <v>0</v>
      </c>
      <c r="S594" s="55" t="b">
        <v>0</v>
      </c>
      <c r="T594" s="55" t="b">
        <v>0</v>
      </c>
      <c r="U594" s="55" t="b">
        <v>0</v>
      </c>
      <c r="V594" s="55" t="b">
        <v>0</v>
      </c>
    </row>
    <row r="595" ht="69" customHeight="1" s="211">
      <c r="A595" s="92">
        <f>Accounts!A595</f>
        <v/>
      </c>
      <c r="B595" s="12" t="b">
        <v>0</v>
      </c>
      <c r="C595" s="93">
        <f>Accounts!N595</f>
        <v/>
      </c>
      <c r="D595" s="94" t="n"/>
      <c r="E595" s="93">
        <f>Accounts!F595</f>
        <v/>
      </c>
      <c r="F595" s="94">
        <f>Accounts!Q595</f>
        <v/>
      </c>
      <c r="G595" s="94">
        <f>Accounts!R595</f>
        <v/>
      </c>
      <c r="H595" s="94">
        <f>Accounts!I595</f>
        <v/>
      </c>
      <c r="I595" s="94">
        <f>Accounts!J595</f>
        <v/>
      </c>
      <c r="J595" s="93">
        <f>Accounts!S595</f>
        <v/>
      </c>
      <c r="K595" s="88" t="n"/>
      <c r="L595" s="95" t="n"/>
      <c r="M595" s="55" t="b">
        <v>0</v>
      </c>
      <c r="N595" s="96" t="b">
        <v>0</v>
      </c>
      <c r="O595" s="55" t="b">
        <v>0</v>
      </c>
      <c r="P595" s="55" t="b">
        <v>0</v>
      </c>
      <c r="Q595" s="55" t="b">
        <v>0</v>
      </c>
      <c r="R595" s="55" t="b">
        <v>0</v>
      </c>
      <c r="S595" s="55" t="b">
        <v>0</v>
      </c>
      <c r="T595" s="55" t="b">
        <v>0</v>
      </c>
      <c r="U595" s="55" t="b">
        <v>0</v>
      </c>
      <c r="V595" s="55" t="b">
        <v>0</v>
      </c>
    </row>
    <row r="596" ht="69" customHeight="1" s="211">
      <c r="A596" s="92">
        <f>Accounts!A596</f>
        <v/>
      </c>
      <c r="B596" s="12" t="b">
        <v>0</v>
      </c>
      <c r="C596" s="93">
        <f>Accounts!N596</f>
        <v/>
      </c>
      <c r="D596" s="94" t="n"/>
      <c r="E596" s="93">
        <f>Accounts!F596</f>
        <v/>
      </c>
      <c r="F596" s="94">
        <f>Accounts!Q596</f>
        <v/>
      </c>
      <c r="G596" s="94">
        <f>Accounts!R596</f>
        <v/>
      </c>
      <c r="H596" s="94">
        <f>Accounts!I596</f>
        <v/>
      </c>
      <c r="I596" s="94">
        <f>Accounts!J596</f>
        <v/>
      </c>
      <c r="J596" s="93">
        <f>Accounts!S596</f>
        <v/>
      </c>
      <c r="K596" s="88" t="n"/>
      <c r="L596" s="95" t="n"/>
      <c r="M596" s="55" t="b">
        <v>0</v>
      </c>
      <c r="N596" s="96" t="b">
        <v>0</v>
      </c>
      <c r="O596" s="55" t="b">
        <v>0</v>
      </c>
      <c r="P596" s="55" t="b">
        <v>0</v>
      </c>
      <c r="Q596" s="55" t="b">
        <v>0</v>
      </c>
      <c r="R596" s="55" t="b">
        <v>0</v>
      </c>
      <c r="S596" s="55" t="b">
        <v>0</v>
      </c>
      <c r="T596" s="55" t="b">
        <v>0</v>
      </c>
      <c r="U596" s="55" t="b">
        <v>0</v>
      </c>
      <c r="V596" s="55" t="b">
        <v>0</v>
      </c>
    </row>
    <row r="597" ht="69" customHeight="1" s="211">
      <c r="A597" s="92">
        <f>Accounts!A597</f>
        <v/>
      </c>
      <c r="B597" s="12" t="b">
        <v>0</v>
      </c>
      <c r="C597" s="93">
        <f>Accounts!N597</f>
        <v/>
      </c>
      <c r="D597" s="94" t="n"/>
      <c r="E597" s="93">
        <f>Accounts!F597</f>
        <v/>
      </c>
      <c r="F597" s="94">
        <f>Accounts!Q597</f>
        <v/>
      </c>
      <c r="G597" s="94">
        <f>Accounts!R597</f>
        <v/>
      </c>
      <c r="H597" s="94">
        <f>Accounts!I597</f>
        <v/>
      </c>
      <c r="I597" s="94">
        <f>Accounts!J597</f>
        <v/>
      </c>
      <c r="J597" s="93">
        <f>Accounts!S597</f>
        <v/>
      </c>
      <c r="K597" s="88" t="n"/>
      <c r="L597" s="95" t="n"/>
      <c r="M597" s="55" t="b">
        <v>0</v>
      </c>
      <c r="N597" s="96" t="b">
        <v>0</v>
      </c>
      <c r="O597" s="55" t="b">
        <v>0</v>
      </c>
      <c r="P597" s="55" t="b">
        <v>0</v>
      </c>
      <c r="Q597" s="55" t="b">
        <v>0</v>
      </c>
      <c r="R597" s="55" t="b">
        <v>0</v>
      </c>
      <c r="S597" s="55" t="b">
        <v>0</v>
      </c>
      <c r="T597" s="55" t="b">
        <v>0</v>
      </c>
      <c r="U597" s="55" t="b">
        <v>0</v>
      </c>
      <c r="V597" s="55" t="b">
        <v>0</v>
      </c>
    </row>
    <row r="598" ht="69" customHeight="1" s="211">
      <c r="A598" s="92">
        <f>Accounts!A598</f>
        <v/>
      </c>
      <c r="B598" s="12" t="b">
        <v>0</v>
      </c>
      <c r="C598" s="93">
        <f>Accounts!N598</f>
        <v/>
      </c>
      <c r="D598" s="94" t="n"/>
      <c r="E598" s="93">
        <f>Accounts!F598</f>
        <v/>
      </c>
      <c r="F598" s="94">
        <f>Accounts!Q598</f>
        <v/>
      </c>
      <c r="G598" s="94">
        <f>Accounts!R598</f>
        <v/>
      </c>
      <c r="H598" s="94">
        <f>Accounts!I598</f>
        <v/>
      </c>
      <c r="I598" s="94">
        <f>Accounts!J598</f>
        <v/>
      </c>
      <c r="J598" s="93">
        <f>Accounts!S598</f>
        <v/>
      </c>
      <c r="K598" s="88" t="n"/>
      <c r="L598" s="95" t="n"/>
      <c r="M598" s="55" t="b">
        <v>0</v>
      </c>
      <c r="N598" s="96" t="b">
        <v>0</v>
      </c>
      <c r="O598" s="55" t="b">
        <v>0</v>
      </c>
      <c r="P598" s="55" t="b">
        <v>0</v>
      </c>
      <c r="Q598" s="55" t="b">
        <v>0</v>
      </c>
      <c r="R598" s="55" t="b">
        <v>0</v>
      </c>
      <c r="S598" s="55" t="b">
        <v>0</v>
      </c>
      <c r="T598" s="55" t="b">
        <v>0</v>
      </c>
      <c r="U598" s="55" t="b">
        <v>0</v>
      </c>
      <c r="V598" s="55" t="b">
        <v>0</v>
      </c>
    </row>
    <row r="599" ht="69" customHeight="1" s="211">
      <c r="A599" s="92">
        <f>Accounts!A599</f>
        <v/>
      </c>
      <c r="B599" s="12" t="b">
        <v>0</v>
      </c>
      <c r="C599" s="93">
        <f>Accounts!N599</f>
        <v/>
      </c>
      <c r="D599" s="94" t="n"/>
      <c r="E599" s="93">
        <f>Accounts!F599</f>
        <v/>
      </c>
      <c r="F599" s="94">
        <f>Accounts!Q599</f>
        <v/>
      </c>
      <c r="G599" s="94">
        <f>Accounts!R599</f>
        <v/>
      </c>
      <c r="H599" s="94">
        <f>Accounts!I599</f>
        <v/>
      </c>
      <c r="I599" s="94">
        <f>Accounts!J599</f>
        <v/>
      </c>
      <c r="J599" s="93">
        <f>Accounts!S599</f>
        <v/>
      </c>
      <c r="K599" s="88" t="n"/>
      <c r="L599" s="95" t="n"/>
      <c r="M599" s="55" t="b">
        <v>0</v>
      </c>
      <c r="N599" s="96" t="b">
        <v>0</v>
      </c>
      <c r="O599" s="55" t="b">
        <v>0</v>
      </c>
      <c r="P599" s="55" t="b">
        <v>0</v>
      </c>
      <c r="Q599" s="55" t="b">
        <v>0</v>
      </c>
      <c r="R599" s="55" t="b">
        <v>0</v>
      </c>
      <c r="S599" s="55" t="b">
        <v>0</v>
      </c>
      <c r="T599" s="55" t="b">
        <v>0</v>
      </c>
      <c r="U599" s="55" t="b">
        <v>0</v>
      </c>
      <c r="V599" s="55" t="b">
        <v>0</v>
      </c>
    </row>
    <row r="600" ht="69" customHeight="1" s="211">
      <c r="A600" s="92">
        <f>Accounts!A600</f>
        <v/>
      </c>
      <c r="B600" s="12" t="b">
        <v>0</v>
      </c>
      <c r="C600" s="93">
        <f>Accounts!N600</f>
        <v/>
      </c>
      <c r="D600" s="94" t="n"/>
      <c r="E600" s="93">
        <f>Accounts!F600</f>
        <v/>
      </c>
      <c r="F600" s="94">
        <f>Accounts!Q600</f>
        <v/>
      </c>
      <c r="G600" s="94">
        <f>Accounts!R600</f>
        <v/>
      </c>
      <c r="H600" s="94">
        <f>Accounts!I600</f>
        <v/>
      </c>
      <c r="I600" s="94">
        <f>Accounts!J600</f>
        <v/>
      </c>
      <c r="J600" s="93">
        <f>Accounts!S600</f>
        <v/>
      </c>
      <c r="K600" s="88" t="n"/>
      <c r="L600" s="95" t="n"/>
      <c r="M600" s="55" t="b">
        <v>0</v>
      </c>
      <c r="N600" s="96" t="b">
        <v>0</v>
      </c>
      <c r="O600" s="55" t="b">
        <v>0</v>
      </c>
      <c r="P600" s="55" t="b">
        <v>0</v>
      </c>
      <c r="Q600" s="55" t="b">
        <v>0</v>
      </c>
      <c r="R600" s="55" t="b">
        <v>0</v>
      </c>
      <c r="S600" s="55" t="b">
        <v>0</v>
      </c>
      <c r="T600" s="55" t="b">
        <v>0</v>
      </c>
      <c r="U600" s="55" t="b">
        <v>0</v>
      </c>
      <c r="V600" s="55" t="b">
        <v>0</v>
      </c>
    </row>
    <row r="601" ht="69" customHeight="1" s="211">
      <c r="A601" s="92">
        <f>Accounts!A601</f>
        <v/>
      </c>
      <c r="B601" s="12" t="b">
        <v>0</v>
      </c>
      <c r="C601" s="93">
        <f>Accounts!N601</f>
        <v/>
      </c>
      <c r="D601" s="94" t="n"/>
      <c r="E601" s="93">
        <f>Accounts!F601</f>
        <v/>
      </c>
      <c r="F601" s="94">
        <f>Accounts!Q601</f>
        <v/>
      </c>
      <c r="G601" s="94">
        <f>Accounts!R601</f>
        <v/>
      </c>
      <c r="H601" s="94">
        <f>Accounts!I601</f>
        <v/>
      </c>
      <c r="I601" s="94">
        <f>Accounts!J601</f>
        <v/>
      </c>
      <c r="J601" s="93">
        <f>Accounts!S601</f>
        <v/>
      </c>
      <c r="K601" s="88" t="n"/>
      <c r="L601" s="95" t="n"/>
      <c r="M601" s="55" t="b">
        <v>0</v>
      </c>
      <c r="N601" s="96" t="b">
        <v>0</v>
      </c>
      <c r="O601" s="55" t="b">
        <v>0</v>
      </c>
      <c r="P601" s="55" t="b">
        <v>0</v>
      </c>
      <c r="Q601" s="55" t="b">
        <v>0</v>
      </c>
      <c r="R601" s="55" t="b">
        <v>0</v>
      </c>
      <c r="S601" s="55" t="b">
        <v>0</v>
      </c>
      <c r="T601" s="55" t="b">
        <v>0</v>
      </c>
      <c r="U601" s="55" t="b">
        <v>0</v>
      </c>
      <c r="V601" s="55" t="b">
        <v>0</v>
      </c>
    </row>
    <row r="602" ht="69" customHeight="1" s="211">
      <c r="A602" s="92">
        <f>Accounts!A602</f>
        <v/>
      </c>
      <c r="B602" s="12" t="b">
        <v>0</v>
      </c>
      <c r="C602" s="93">
        <f>Accounts!N602</f>
        <v/>
      </c>
      <c r="D602" s="94" t="n"/>
      <c r="E602" s="93">
        <f>Accounts!F602</f>
        <v/>
      </c>
      <c r="F602" s="94">
        <f>Accounts!Q602</f>
        <v/>
      </c>
      <c r="G602" s="94">
        <f>Accounts!R602</f>
        <v/>
      </c>
      <c r="H602" s="94">
        <f>Accounts!I602</f>
        <v/>
      </c>
      <c r="I602" s="94">
        <f>Accounts!J602</f>
        <v/>
      </c>
      <c r="J602" s="93">
        <f>Accounts!S602</f>
        <v/>
      </c>
      <c r="K602" s="88" t="n"/>
      <c r="L602" s="95" t="n"/>
      <c r="M602" s="55" t="b">
        <v>0</v>
      </c>
      <c r="N602" s="96" t="b">
        <v>0</v>
      </c>
      <c r="O602" s="55" t="b">
        <v>0</v>
      </c>
      <c r="P602" s="55" t="b">
        <v>0</v>
      </c>
      <c r="Q602" s="55" t="b">
        <v>0</v>
      </c>
      <c r="R602" s="55" t="b">
        <v>0</v>
      </c>
      <c r="S602" s="55" t="b">
        <v>0</v>
      </c>
      <c r="T602" s="55" t="b">
        <v>0</v>
      </c>
      <c r="U602" s="55" t="b">
        <v>0</v>
      </c>
      <c r="V602" s="55" t="b">
        <v>0</v>
      </c>
    </row>
    <row r="603" ht="69" customHeight="1" s="211">
      <c r="A603" s="92">
        <f>Accounts!A603</f>
        <v/>
      </c>
      <c r="B603" s="12" t="b">
        <v>0</v>
      </c>
      <c r="C603" s="93">
        <f>Accounts!N603</f>
        <v/>
      </c>
      <c r="D603" s="94" t="n"/>
      <c r="E603" s="93">
        <f>Accounts!F603</f>
        <v/>
      </c>
      <c r="F603" s="94">
        <f>Accounts!Q603</f>
        <v/>
      </c>
      <c r="G603" s="94">
        <f>Accounts!R603</f>
        <v/>
      </c>
      <c r="H603" s="94">
        <f>Accounts!I603</f>
        <v/>
      </c>
      <c r="I603" s="94">
        <f>Accounts!J603</f>
        <v/>
      </c>
      <c r="J603" s="93">
        <f>Accounts!S603</f>
        <v/>
      </c>
      <c r="K603" s="88" t="n"/>
      <c r="L603" s="95" t="n"/>
      <c r="M603" s="55" t="b">
        <v>0</v>
      </c>
      <c r="N603" s="96" t="b">
        <v>0</v>
      </c>
      <c r="O603" s="55" t="b">
        <v>0</v>
      </c>
      <c r="P603" s="55" t="b">
        <v>0</v>
      </c>
      <c r="Q603" s="55" t="b">
        <v>0</v>
      </c>
      <c r="R603" s="55" t="b">
        <v>0</v>
      </c>
      <c r="S603" s="55" t="b">
        <v>0</v>
      </c>
      <c r="T603" s="55" t="b">
        <v>0</v>
      </c>
      <c r="U603" s="55" t="b">
        <v>0</v>
      </c>
      <c r="V603" s="55" t="b">
        <v>0</v>
      </c>
    </row>
    <row r="604" ht="69" customHeight="1" s="211">
      <c r="A604" s="92">
        <f>Accounts!A604</f>
        <v/>
      </c>
      <c r="B604" s="12" t="b">
        <v>0</v>
      </c>
      <c r="C604" s="93">
        <f>Accounts!N604</f>
        <v/>
      </c>
      <c r="D604" s="94" t="n"/>
      <c r="E604" s="93">
        <f>Accounts!F604</f>
        <v/>
      </c>
      <c r="F604" s="94">
        <f>Accounts!Q604</f>
        <v/>
      </c>
      <c r="G604" s="94">
        <f>Accounts!R604</f>
        <v/>
      </c>
      <c r="H604" s="94">
        <f>Accounts!I604</f>
        <v/>
      </c>
      <c r="I604" s="94">
        <f>Accounts!J604</f>
        <v/>
      </c>
      <c r="J604" s="93">
        <f>Accounts!S604</f>
        <v/>
      </c>
      <c r="K604" s="88" t="n"/>
      <c r="L604" s="95" t="n"/>
      <c r="M604" s="55" t="b">
        <v>0</v>
      </c>
      <c r="N604" s="96" t="b">
        <v>0</v>
      </c>
      <c r="O604" s="55" t="b">
        <v>0</v>
      </c>
      <c r="P604" s="55" t="b">
        <v>0</v>
      </c>
      <c r="Q604" s="55" t="b">
        <v>0</v>
      </c>
      <c r="R604" s="55" t="b">
        <v>0</v>
      </c>
      <c r="S604" s="55" t="b">
        <v>0</v>
      </c>
      <c r="T604" s="55" t="b">
        <v>0</v>
      </c>
      <c r="U604" s="55" t="b">
        <v>0</v>
      </c>
      <c r="V604" s="55" t="b">
        <v>0</v>
      </c>
    </row>
    <row r="605" ht="69" customHeight="1" s="211">
      <c r="A605" s="92">
        <f>Accounts!A605</f>
        <v/>
      </c>
      <c r="B605" s="12" t="b">
        <v>0</v>
      </c>
      <c r="C605" s="93">
        <f>Accounts!N605</f>
        <v/>
      </c>
      <c r="D605" s="94" t="n"/>
      <c r="E605" s="93">
        <f>Accounts!F605</f>
        <v/>
      </c>
      <c r="F605" s="94">
        <f>Accounts!Q605</f>
        <v/>
      </c>
      <c r="G605" s="94">
        <f>Accounts!R605</f>
        <v/>
      </c>
      <c r="H605" s="94">
        <f>Accounts!I605</f>
        <v/>
      </c>
      <c r="I605" s="94">
        <f>Accounts!J605</f>
        <v/>
      </c>
      <c r="J605" s="93">
        <f>Accounts!S605</f>
        <v/>
      </c>
      <c r="K605" s="88" t="n"/>
      <c r="L605" s="95" t="n"/>
      <c r="M605" s="55" t="b">
        <v>0</v>
      </c>
      <c r="N605" s="96" t="b">
        <v>0</v>
      </c>
      <c r="O605" s="55" t="b">
        <v>0</v>
      </c>
      <c r="P605" s="55" t="b">
        <v>0</v>
      </c>
      <c r="Q605" s="55" t="b">
        <v>0</v>
      </c>
      <c r="R605" s="55" t="b">
        <v>0</v>
      </c>
      <c r="S605" s="55" t="b">
        <v>0</v>
      </c>
      <c r="T605" s="55" t="b">
        <v>0</v>
      </c>
      <c r="U605" s="55" t="b">
        <v>0</v>
      </c>
      <c r="V605" s="55" t="b">
        <v>0</v>
      </c>
    </row>
    <row r="606" ht="69" customHeight="1" s="211">
      <c r="A606" s="92">
        <f>Accounts!A606</f>
        <v/>
      </c>
      <c r="B606" s="12" t="b">
        <v>0</v>
      </c>
      <c r="C606" s="93">
        <f>Accounts!N606</f>
        <v/>
      </c>
      <c r="D606" s="94" t="n"/>
      <c r="E606" s="93">
        <f>Accounts!F606</f>
        <v/>
      </c>
      <c r="F606" s="94">
        <f>Accounts!Q606</f>
        <v/>
      </c>
      <c r="G606" s="94">
        <f>Accounts!R606</f>
        <v/>
      </c>
      <c r="H606" s="94">
        <f>Accounts!I606</f>
        <v/>
      </c>
      <c r="I606" s="94">
        <f>Accounts!J606</f>
        <v/>
      </c>
      <c r="J606" s="93">
        <f>Accounts!S606</f>
        <v/>
      </c>
      <c r="K606" s="88" t="n"/>
      <c r="L606" s="95" t="n"/>
      <c r="M606" s="55" t="b">
        <v>0</v>
      </c>
      <c r="N606" s="96" t="b">
        <v>0</v>
      </c>
      <c r="O606" s="55" t="b">
        <v>0</v>
      </c>
      <c r="P606" s="55" t="b">
        <v>0</v>
      </c>
      <c r="Q606" s="55" t="b">
        <v>0</v>
      </c>
      <c r="R606" s="55" t="b">
        <v>0</v>
      </c>
      <c r="S606" s="55" t="b">
        <v>0</v>
      </c>
      <c r="T606" s="55" t="b">
        <v>0</v>
      </c>
      <c r="U606" s="55" t="b">
        <v>0</v>
      </c>
      <c r="V606" s="55" t="b">
        <v>0</v>
      </c>
    </row>
    <row r="607" ht="69" customHeight="1" s="211">
      <c r="A607" s="92">
        <f>Accounts!A607</f>
        <v/>
      </c>
      <c r="B607" s="12" t="b">
        <v>0</v>
      </c>
      <c r="C607" s="93">
        <f>Accounts!N607</f>
        <v/>
      </c>
      <c r="D607" s="94" t="n"/>
      <c r="E607" s="93">
        <f>Accounts!F607</f>
        <v/>
      </c>
      <c r="F607" s="94">
        <f>Accounts!Q607</f>
        <v/>
      </c>
      <c r="G607" s="94">
        <f>Accounts!R607</f>
        <v/>
      </c>
      <c r="H607" s="94">
        <f>Accounts!I607</f>
        <v/>
      </c>
      <c r="I607" s="94">
        <f>Accounts!J607</f>
        <v/>
      </c>
      <c r="J607" s="93">
        <f>Accounts!S607</f>
        <v/>
      </c>
      <c r="K607" s="88" t="n"/>
      <c r="L607" s="95" t="n"/>
      <c r="M607" s="55" t="b">
        <v>0</v>
      </c>
      <c r="N607" s="96" t="b">
        <v>0</v>
      </c>
      <c r="O607" s="55" t="b">
        <v>0</v>
      </c>
      <c r="P607" s="55" t="b">
        <v>0</v>
      </c>
      <c r="Q607" s="55" t="b">
        <v>0</v>
      </c>
      <c r="R607" s="55" t="b">
        <v>0</v>
      </c>
      <c r="S607" s="55" t="b">
        <v>0</v>
      </c>
      <c r="T607" s="55" t="b">
        <v>0</v>
      </c>
      <c r="U607" s="55" t="b">
        <v>0</v>
      </c>
      <c r="V607" s="55" t="b">
        <v>0</v>
      </c>
    </row>
    <row r="608" ht="69" customHeight="1" s="211">
      <c r="A608" s="92">
        <f>Accounts!A608</f>
        <v/>
      </c>
      <c r="B608" s="12" t="b">
        <v>0</v>
      </c>
      <c r="C608" s="93">
        <f>Accounts!N608</f>
        <v/>
      </c>
      <c r="D608" s="94" t="n"/>
      <c r="E608" s="93">
        <f>Accounts!F608</f>
        <v/>
      </c>
      <c r="F608" s="94">
        <f>Accounts!Q608</f>
        <v/>
      </c>
      <c r="G608" s="94">
        <f>Accounts!R608</f>
        <v/>
      </c>
      <c r="H608" s="94">
        <f>Accounts!I608</f>
        <v/>
      </c>
      <c r="I608" s="94">
        <f>Accounts!J608</f>
        <v/>
      </c>
      <c r="J608" s="93">
        <f>Accounts!S608</f>
        <v/>
      </c>
      <c r="K608" s="88" t="n"/>
      <c r="L608" s="95" t="n"/>
      <c r="M608" s="55" t="b">
        <v>0</v>
      </c>
      <c r="N608" s="96" t="b">
        <v>0</v>
      </c>
      <c r="O608" s="55" t="b">
        <v>0</v>
      </c>
      <c r="P608" s="55" t="b">
        <v>0</v>
      </c>
      <c r="Q608" s="55" t="b">
        <v>0</v>
      </c>
      <c r="R608" s="55" t="b">
        <v>0</v>
      </c>
      <c r="S608" s="55" t="b">
        <v>0</v>
      </c>
      <c r="T608" s="55" t="b">
        <v>0</v>
      </c>
      <c r="U608" s="55" t="b">
        <v>0</v>
      </c>
      <c r="V608" s="55" t="b">
        <v>0</v>
      </c>
    </row>
    <row r="609" ht="69" customHeight="1" s="211">
      <c r="A609" s="92">
        <f>Accounts!A609</f>
        <v/>
      </c>
      <c r="B609" s="12" t="b">
        <v>0</v>
      </c>
      <c r="C609" s="93">
        <f>Accounts!N609</f>
        <v/>
      </c>
      <c r="D609" s="94" t="n"/>
      <c r="E609" s="93">
        <f>Accounts!F609</f>
        <v/>
      </c>
      <c r="F609" s="94">
        <f>Accounts!Q609</f>
        <v/>
      </c>
      <c r="G609" s="94">
        <f>Accounts!R609</f>
        <v/>
      </c>
      <c r="H609" s="94">
        <f>Accounts!I609</f>
        <v/>
      </c>
      <c r="I609" s="94">
        <f>Accounts!J609</f>
        <v/>
      </c>
      <c r="J609" s="93">
        <f>Accounts!S609</f>
        <v/>
      </c>
      <c r="K609" s="88" t="n"/>
      <c r="L609" s="95" t="n"/>
      <c r="M609" s="55" t="b">
        <v>0</v>
      </c>
      <c r="N609" s="96" t="b">
        <v>0</v>
      </c>
      <c r="O609" s="55" t="b">
        <v>0</v>
      </c>
      <c r="P609" s="55" t="b">
        <v>0</v>
      </c>
      <c r="Q609" s="55" t="b">
        <v>0</v>
      </c>
      <c r="R609" s="55" t="b">
        <v>0</v>
      </c>
      <c r="S609" s="55" t="b">
        <v>0</v>
      </c>
      <c r="T609" s="55" t="b">
        <v>0</v>
      </c>
      <c r="U609" s="55" t="b">
        <v>0</v>
      </c>
      <c r="V609" s="55" t="b">
        <v>0</v>
      </c>
    </row>
    <row r="610" ht="69" customHeight="1" s="211">
      <c r="A610" s="92">
        <f>Accounts!A610</f>
        <v/>
      </c>
      <c r="B610" s="12" t="b">
        <v>0</v>
      </c>
      <c r="C610" s="93">
        <f>Accounts!N610</f>
        <v/>
      </c>
      <c r="D610" s="94" t="n"/>
      <c r="E610" s="93">
        <f>Accounts!F610</f>
        <v/>
      </c>
      <c r="F610" s="94">
        <f>Accounts!Q610</f>
        <v/>
      </c>
      <c r="G610" s="94">
        <f>Accounts!R610</f>
        <v/>
      </c>
      <c r="H610" s="94">
        <f>Accounts!I610</f>
        <v/>
      </c>
      <c r="I610" s="94">
        <f>Accounts!J610</f>
        <v/>
      </c>
      <c r="J610" s="93">
        <f>Accounts!S610</f>
        <v/>
      </c>
      <c r="K610" s="88" t="n"/>
      <c r="L610" s="95" t="n"/>
      <c r="M610" s="55" t="b">
        <v>0</v>
      </c>
      <c r="N610" s="96" t="b">
        <v>0</v>
      </c>
      <c r="O610" s="55" t="b">
        <v>0</v>
      </c>
      <c r="P610" s="55" t="b">
        <v>0</v>
      </c>
      <c r="Q610" s="55" t="b">
        <v>0</v>
      </c>
      <c r="R610" s="55" t="b">
        <v>0</v>
      </c>
      <c r="S610" s="55" t="b">
        <v>0</v>
      </c>
      <c r="T610" s="55" t="b">
        <v>0</v>
      </c>
      <c r="U610" s="55" t="b">
        <v>0</v>
      </c>
      <c r="V610" s="55" t="b">
        <v>0</v>
      </c>
    </row>
    <row r="611" ht="69" customHeight="1" s="211">
      <c r="A611" s="92">
        <f>Accounts!A611</f>
        <v/>
      </c>
      <c r="B611" s="12" t="b">
        <v>0</v>
      </c>
      <c r="C611" s="93">
        <f>Accounts!N611</f>
        <v/>
      </c>
      <c r="D611" s="94" t="n"/>
      <c r="E611" s="93">
        <f>Accounts!F611</f>
        <v/>
      </c>
      <c r="F611" s="94">
        <f>Accounts!Q611</f>
        <v/>
      </c>
      <c r="G611" s="94">
        <f>Accounts!R611</f>
        <v/>
      </c>
      <c r="H611" s="94">
        <f>Accounts!I611</f>
        <v/>
      </c>
      <c r="I611" s="94">
        <f>Accounts!J611</f>
        <v/>
      </c>
      <c r="J611" s="93">
        <f>Accounts!S611</f>
        <v/>
      </c>
      <c r="K611" s="88" t="n"/>
      <c r="L611" s="95" t="n"/>
      <c r="M611" s="55" t="b">
        <v>0</v>
      </c>
      <c r="N611" s="96" t="b">
        <v>0</v>
      </c>
      <c r="O611" s="55" t="b">
        <v>0</v>
      </c>
      <c r="P611" s="55" t="b">
        <v>0</v>
      </c>
      <c r="Q611" s="55" t="b">
        <v>0</v>
      </c>
      <c r="R611" s="55" t="b">
        <v>0</v>
      </c>
      <c r="S611" s="55" t="b">
        <v>0</v>
      </c>
      <c r="T611" s="55" t="b">
        <v>0</v>
      </c>
      <c r="U611" s="55" t="b">
        <v>0</v>
      </c>
      <c r="V611" s="55" t="b">
        <v>0</v>
      </c>
    </row>
    <row r="612" ht="69" customHeight="1" s="211">
      <c r="A612" s="92">
        <f>Accounts!A612</f>
        <v/>
      </c>
      <c r="B612" s="12" t="b">
        <v>0</v>
      </c>
      <c r="C612" s="93">
        <f>Accounts!N612</f>
        <v/>
      </c>
      <c r="D612" s="94" t="n"/>
      <c r="E612" s="93">
        <f>Accounts!F612</f>
        <v/>
      </c>
      <c r="F612" s="94">
        <f>Accounts!Q612</f>
        <v/>
      </c>
      <c r="G612" s="94">
        <f>Accounts!R612</f>
        <v/>
      </c>
      <c r="H612" s="94">
        <f>Accounts!I612</f>
        <v/>
      </c>
      <c r="I612" s="94">
        <f>Accounts!J612</f>
        <v/>
      </c>
      <c r="J612" s="93">
        <f>Accounts!S612</f>
        <v/>
      </c>
      <c r="K612" s="88" t="n"/>
      <c r="L612" s="95" t="n"/>
      <c r="M612" s="55" t="b">
        <v>0</v>
      </c>
      <c r="N612" s="96" t="b">
        <v>0</v>
      </c>
      <c r="O612" s="55" t="b">
        <v>0</v>
      </c>
      <c r="P612" s="55" t="b">
        <v>0</v>
      </c>
      <c r="Q612" s="55" t="b">
        <v>0</v>
      </c>
      <c r="R612" s="55" t="b">
        <v>0</v>
      </c>
      <c r="S612" s="55" t="b">
        <v>0</v>
      </c>
      <c r="T612" s="55" t="b">
        <v>0</v>
      </c>
      <c r="U612" s="55" t="b">
        <v>0</v>
      </c>
      <c r="V612" s="55" t="b">
        <v>0</v>
      </c>
    </row>
    <row r="613" ht="69" customHeight="1" s="211">
      <c r="A613" s="92">
        <f>Accounts!A613</f>
        <v/>
      </c>
      <c r="B613" s="12" t="b">
        <v>0</v>
      </c>
      <c r="C613" s="93">
        <f>Accounts!N613</f>
        <v/>
      </c>
      <c r="D613" s="94" t="n"/>
      <c r="E613" s="93">
        <f>Accounts!F613</f>
        <v/>
      </c>
      <c r="F613" s="94">
        <f>Accounts!Q613</f>
        <v/>
      </c>
      <c r="G613" s="94">
        <f>Accounts!R613</f>
        <v/>
      </c>
      <c r="H613" s="94">
        <f>Accounts!I613</f>
        <v/>
      </c>
      <c r="I613" s="94">
        <f>Accounts!J613</f>
        <v/>
      </c>
      <c r="J613" s="93">
        <f>Accounts!S613</f>
        <v/>
      </c>
      <c r="K613" s="88" t="n"/>
      <c r="L613" s="95" t="n"/>
      <c r="M613" s="55" t="b">
        <v>0</v>
      </c>
      <c r="N613" s="96" t="b">
        <v>0</v>
      </c>
      <c r="O613" s="55" t="b">
        <v>0</v>
      </c>
      <c r="P613" s="55" t="b">
        <v>0</v>
      </c>
      <c r="Q613" s="55" t="b">
        <v>0</v>
      </c>
      <c r="R613" s="55" t="b">
        <v>0</v>
      </c>
      <c r="S613" s="55" t="b">
        <v>0</v>
      </c>
      <c r="T613" s="55" t="b">
        <v>0</v>
      </c>
      <c r="U613" s="55" t="b">
        <v>0</v>
      </c>
      <c r="V613" s="55" t="b">
        <v>0</v>
      </c>
    </row>
    <row r="614" ht="69" customHeight="1" s="211">
      <c r="A614" s="92">
        <f>Accounts!A614</f>
        <v/>
      </c>
      <c r="B614" s="12" t="b">
        <v>0</v>
      </c>
      <c r="C614" s="93">
        <f>Accounts!N614</f>
        <v/>
      </c>
      <c r="D614" s="94" t="n"/>
      <c r="E614" s="93">
        <f>Accounts!F614</f>
        <v/>
      </c>
      <c r="F614" s="94">
        <f>Accounts!Q614</f>
        <v/>
      </c>
      <c r="G614" s="94">
        <f>Accounts!R614</f>
        <v/>
      </c>
      <c r="H614" s="94">
        <f>Accounts!I614</f>
        <v/>
      </c>
      <c r="I614" s="94">
        <f>Accounts!J614</f>
        <v/>
      </c>
      <c r="J614" s="93">
        <f>Accounts!S614</f>
        <v/>
      </c>
      <c r="K614" s="88" t="n"/>
      <c r="L614" s="95" t="n"/>
      <c r="M614" s="55" t="b">
        <v>0</v>
      </c>
      <c r="N614" s="96" t="b">
        <v>0</v>
      </c>
      <c r="O614" s="55" t="b">
        <v>0</v>
      </c>
      <c r="P614" s="55" t="b">
        <v>0</v>
      </c>
      <c r="Q614" s="55" t="b">
        <v>0</v>
      </c>
      <c r="R614" s="55" t="b">
        <v>0</v>
      </c>
      <c r="S614" s="55" t="b">
        <v>0</v>
      </c>
      <c r="T614" s="55" t="b">
        <v>0</v>
      </c>
      <c r="U614" s="55" t="b">
        <v>0</v>
      </c>
      <c r="V614" s="55" t="b">
        <v>0</v>
      </c>
    </row>
    <row r="615" ht="69" customHeight="1" s="211">
      <c r="A615" s="92">
        <f>Accounts!A615</f>
        <v/>
      </c>
      <c r="B615" s="12" t="b">
        <v>0</v>
      </c>
      <c r="C615" s="93">
        <f>Accounts!N615</f>
        <v/>
      </c>
      <c r="D615" s="94" t="n"/>
      <c r="E615" s="93">
        <f>Accounts!F615</f>
        <v/>
      </c>
      <c r="F615" s="94">
        <f>Accounts!Q615</f>
        <v/>
      </c>
      <c r="G615" s="94">
        <f>Accounts!R615</f>
        <v/>
      </c>
      <c r="H615" s="94">
        <f>Accounts!I615</f>
        <v/>
      </c>
      <c r="I615" s="94">
        <f>Accounts!J615</f>
        <v/>
      </c>
      <c r="J615" s="93">
        <f>Accounts!S615</f>
        <v/>
      </c>
      <c r="K615" s="88" t="n"/>
      <c r="L615" s="95" t="n"/>
      <c r="M615" s="55" t="b">
        <v>0</v>
      </c>
      <c r="N615" s="96" t="b">
        <v>0</v>
      </c>
      <c r="O615" s="55" t="b">
        <v>0</v>
      </c>
      <c r="P615" s="55" t="b">
        <v>0</v>
      </c>
      <c r="Q615" s="55" t="b">
        <v>0</v>
      </c>
      <c r="R615" s="55" t="b">
        <v>0</v>
      </c>
      <c r="S615" s="55" t="b">
        <v>0</v>
      </c>
      <c r="T615" s="55" t="b">
        <v>0</v>
      </c>
      <c r="U615" s="55" t="b">
        <v>0</v>
      </c>
      <c r="V615" s="55" t="b">
        <v>0</v>
      </c>
    </row>
    <row r="616" ht="69" customHeight="1" s="211">
      <c r="A616" s="92">
        <f>Accounts!A616</f>
        <v/>
      </c>
      <c r="B616" s="12" t="b">
        <v>0</v>
      </c>
      <c r="C616" s="93">
        <f>Accounts!N616</f>
        <v/>
      </c>
      <c r="D616" s="94" t="n"/>
      <c r="E616" s="93">
        <f>Accounts!F616</f>
        <v/>
      </c>
      <c r="F616" s="94">
        <f>Accounts!Q616</f>
        <v/>
      </c>
      <c r="G616" s="94">
        <f>Accounts!R616</f>
        <v/>
      </c>
      <c r="H616" s="94">
        <f>Accounts!I616</f>
        <v/>
      </c>
      <c r="I616" s="94">
        <f>Accounts!J616</f>
        <v/>
      </c>
      <c r="J616" s="93">
        <f>Accounts!S616</f>
        <v/>
      </c>
      <c r="K616" s="88" t="n"/>
      <c r="L616" s="95" t="n"/>
      <c r="M616" s="55" t="b">
        <v>0</v>
      </c>
      <c r="N616" s="96" t="b">
        <v>0</v>
      </c>
      <c r="O616" s="55" t="b">
        <v>0</v>
      </c>
      <c r="P616" s="55" t="b">
        <v>0</v>
      </c>
      <c r="Q616" s="55" t="b">
        <v>0</v>
      </c>
      <c r="R616" s="55" t="b">
        <v>0</v>
      </c>
      <c r="S616" s="55" t="b">
        <v>0</v>
      </c>
      <c r="T616" s="55" t="b">
        <v>0</v>
      </c>
      <c r="U616" s="55" t="b">
        <v>0</v>
      </c>
      <c r="V616" s="55" t="b">
        <v>0</v>
      </c>
    </row>
    <row r="617" ht="69" customHeight="1" s="211">
      <c r="A617" s="92">
        <f>Accounts!A617</f>
        <v/>
      </c>
      <c r="B617" s="12" t="b">
        <v>0</v>
      </c>
      <c r="C617" s="93">
        <f>Accounts!N617</f>
        <v/>
      </c>
      <c r="D617" s="94" t="n"/>
      <c r="E617" s="93">
        <f>Accounts!F617</f>
        <v/>
      </c>
      <c r="F617" s="94">
        <f>Accounts!Q617</f>
        <v/>
      </c>
      <c r="G617" s="94">
        <f>Accounts!R617</f>
        <v/>
      </c>
      <c r="H617" s="94">
        <f>Accounts!I617</f>
        <v/>
      </c>
      <c r="I617" s="94">
        <f>Accounts!J617</f>
        <v/>
      </c>
      <c r="J617" s="93">
        <f>Accounts!S617</f>
        <v/>
      </c>
      <c r="K617" s="88" t="n"/>
      <c r="L617" s="95" t="n"/>
      <c r="M617" s="55" t="b">
        <v>0</v>
      </c>
      <c r="N617" s="96" t="b">
        <v>0</v>
      </c>
      <c r="O617" s="55" t="b">
        <v>0</v>
      </c>
      <c r="P617" s="55" t="b">
        <v>0</v>
      </c>
      <c r="Q617" s="55" t="b">
        <v>0</v>
      </c>
      <c r="R617" s="55" t="b">
        <v>0</v>
      </c>
      <c r="S617" s="55" t="b">
        <v>0</v>
      </c>
      <c r="T617" s="55" t="b">
        <v>0</v>
      </c>
      <c r="U617" s="55" t="b">
        <v>0</v>
      </c>
      <c r="V617" s="55" t="b">
        <v>0</v>
      </c>
    </row>
    <row r="618" ht="69" customHeight="1" s="211">
      <c r="A618" s="92">
        <f>Accounts!A618</f>
        <v/>
      </c>
      <c r="B618" s="12" t="b">
        <v>0</v>
      </c>
      <c r="C618" s="93">
        <f>Accounts!N618</f>
        <v/>
      </c>
      <c r="D618" s="94" t="n"/>
      <c r="E618" s="93">
        <f>Accounts!F618</f>
        <v/>
      </c>
      <c r="F618" s="94">
        <f>Accounts!Q618</f>
        <v/>
      </c>
      <c r="G618" s="94">
        <f>Accounts!R618</f>
        <v/>
      </c>
      <c r="H618" s="94">
        <f>Accounts!I618</f>
        <v/>
      </c>
      <c r="I618" s="94">
        <f>Accounts!J618</f>
        <v/>
      </c>
      <c r="J618" s="93">
        <f>Accounts!S618</f>
        <v/>
      </c>
      <c r="K618" s="88" t="n"/>
      <c r="L618" s="95" t="n"/>
      <c r="M618" s="55" t="b">
        <v>0</v>
      </c>
      <c r="N618" s="96" t="b">
        <v>0</v>
      </c>
      <c r="O618" s="55" t="b">
        <v>0</v>
      </c>
      <c r="P618" s="55" t="b">
        <v>0</v>
      </c>
      <c r="Q618" s="55" t="b">
        <v>0</v>
      </c>
      <c r="R618" s="55" t="b">
        <v>0</v>
      </c>
      <c r="S618" s="55" t="b">
        <v>0</v>
      </c>
      <c r="T618" s="55" t="b">
        <v>0</v>
      </c>
      <c r="U618" s="55" t="b">
        <v>0</v>
      </c>
      <c r="V618" s="55" t="b">
        <v>0</v>
      </c>
    </row>
    <row r="619" ht="69" customHeight="1" s="211">
      <c r="A619" s="92">
        <f>Accounts!A619</f>
        <v/>
      </c>
      <c r="B619" s="12" t="b">
        <v>0</v>
      </c>
      <c r="C619" s="93">
        <f>Accounts!N619</f>
        <v/>
      </c>
      <c r="D619" s="94" t="n"/>
      <c r="E619" s="93">
        <f>Accounts!F619</f>
        <v/>
      </c>
      <c r="F619" s="94">
        <f>Accounts!Q619</f>
        <v/>
      </c>
      <c r="G619" s="94">
        <f>Accounts!R619</f>
        <v/>
      </c>
      <c r="H619" s="94">
        <f>Accounts!I619</f>
        <v/>
      </c>
      <c r="I619" s="94">
        <f>Accounts!J619</f>
        <v/>
      </c>
      <c r="J619" s="93">
        <f>Accounts!S619</f>
        <v/>
      </c>
      <c r="K619" s="88" t="n"/>
      <c r="L619" s="95" t="n"/>
      <c r="M619" s="55" t="b">
        <v>0</v>
      </c>
      <c r="N619" s="96" t="b">
        <v>0</v>
      </c>
      <c r="O619" s="55" t="b">
        <v>0</v>
      </c>
      <c r="P619" s="55" t="b">
        <v>0</v>
      </c>
      <c r="Q619" s="55" t="b">
        <v>0</v>
      </c>
      <c r="R619" s="55" t="b">
        <v>0</v>
      </c>
      <c r="S619" s="55" t="b">
        <v>0</v>
      </c>
      <c r="T619" s="55" t="b">
        <v>0</v>
      </c>
      <c r="U619" s="55" t="b">
        <v>0</v>
      </c>
      <c r="V619" s="55" t="b">
        <v>0</v>
      </c>
    </row>
    <row r="620" ht="69" customHeight="1" s="211">
      <c r="A620" s="92">
        <f>Accounts!A620</f>
        <v/>
      </c>
      <c r="B620" s="12" t="b">
        <v>0</v>
      </c>
      <c r="C620" s="93">
        <f>Accounts!N620</f>
        <v/>
      </c>
      <c r="D620" s="94" t="n"/>
      <c r="E620" s="93">
        <f>Accounts!F620</f>
        <v/>
      </c>
      <c r="F620" s="94">
        <f>Accounts!Q620</f>
        <v/>
      </c>
      <c r="G620" s="94">
        <f>Accounts!R620</f>
        <v/>
      </c>
      <c r="H620" s="94">
        <f>Accounts!I620</f>
        <v/>
      </c>
      <c r="I620" s="94">
        <f>Accounts!J620</f>
        <v/>
      </c>
      <c r="J620" s="93">
        <f>Accounts!S620</f>
        <v/>
      </c>
      <c r="K620" s="88" t="n"/>
      <c r="L620" s="95" t="n"/>
      <c r="M620" s="55" t="b">
        <v>0</v>
      </c>
      <c r="N620" s="96" t="b">
        <v>0</v>
      </c>
      <c r="O620" s="55" t="b">
        <v>0</v>
      </c>
      <c r="P620" s="55" t="b">
        <v>0</v>
      </c>
      <c r="Q620" s="55" t="b">
        <v>0</v>
      </c>
      <c r="R620" s="55" t="b">
        <v>0</v>
      </c>
      <c r="S620" s="55" t="b">
        <v>0</v>
      </c>
      <c r="T620" s="55" t="b">
        <v>0</v>
      </c>
      <c r="U620" s="55" t="b">
        <v>0</v>
      </c>
      <c r="V620" s="55" t="b">
        <v>0</v>
      </c>
    </row>
    <row r="621" ht="69" customHeight="1" s="211">
      <c r="A621" s="92">
        <f>Accounts!A621</f>
        <v/>
      </c>
      <c r="B621" s="12" t="b">
        <v>0</v>
      </c>
      <c r="C621" s="93">
        <f>Accounts!N621</f>
        <v/>
      </c>
      <c r="D621" s="94" t="n"/>
      <c r="E621" s="93">
        <f>Accounts!F621</f>
        <v/>
      </c>
      <c r="F621" s="94">
        <f>Accounts!Q621</f>
        <v/>
      </c>
      <c r="G621" s="94">
        <f>Accounts!R621</f>
        <v/>
      </c>
      <c r="H621" s="94">
        <f>Accounts!I621</f>
        <v/>
      </c>
      <c r="I621" s="94">
        <f>Accounts!J621</f>
        <v/>
      </c>
      <c r="J621" s="93">
        <f>Accounts!S621</f>
        <v/>
      </c>
      <c r="K621" s="88" t="n"/>
      <c r="L621" s="95" t="n"/>
      <c r="M621" s="55" t="b">
        <v>0</v>
      </c>
      <c r="N621" s="96" t="b">
        <v>0</v>
      </c>
      <c r="O621" s="55" t="b">
        <v>0</v>
      </c>
      <c r="P621" s="55" t="b">
        <v>0</v>
      </c>
      <c r="Q621" s="55" t="b">
        <v>0</v>
      </c>
      <c r="R621" s="55" t="b">
        <v>0</v>
      </c>
      <c r="S621" s="55" t="b">
        <v>0</v>
      </c>
      <c r="T621" s="55" t="b">
        <v>0</v>
      </c>
      <c r="U621" s="55" t="b">
        <v>0</v>
      </c>
      <c r="V621" s="55" t="b">
        <v>0</v>
      </c>
    </row>
    <row r="622" ht="69" customHeight="1" s="211">
      <c r="A622" s="92">
        <f>Accounts!A622</f>
        <v/>
      </c>
      <c r="B622" s="12" t="b">
        <v>0</v>
      </c>
      <c r="C622" s="93">
        <f>Accounts!N622</f>
        <v/>
      </c>
      <c r="D622" s="94" t="n"/>
      <c r="E622" s="93">
        <f>Accounts!F622</f>
        <v/>
      </c>
      <c r="F622" s="94">
        <f>Accounts!Q622</f>
        <v/>
      </c>
      <c r="G622" s="94">
        <f>Accounts!R622</f>
        <v/>
      </c>
      <c r="H622" s="94">
        <f>Accounts!I622</f>
        <v/>
      </c>
      <c r="I622" s="94">
        <f>Accounts!J622</f>
        <v/>
      </c>
      <c r="J622" s="93">
        <f>Accounts!S622</f>
        <v/>
      </c>
      <c r="K622" s="88" t="n"/>
      <c r="L622" s="95" t="n"/>
      <c r="M622" s="55" t="b">
        <v>0</v>
      </c>
      <c r="N622" s="96" t="b">
        <v>0</v>
      </c>
      <c r="O622" s="55" t="b">
        <v>0</v>
      </c>
      <c r="P622" s="55" t="b">
        <v>0</v>
      </c>
      <c r="Q622" s="55" t="b">
        <v>0</v>
      </c>
      <c r="R622" s="55" t="b">
        <v>0</v>
      </c>
      <c r="S622" s="55" t="b">
        <v>0</v>
      </c>
      <c r="T622" s="55" t="b">
        <v>0</v>
      </c>
      <c r="U622" s="55" t="b">
        <v>0</v>
      </c>
      <c r="V622" s="55" t="b">
        <v>0</v>
      </c>
    </row>
    <row r="623" ht="69" customHeight="1" s="211">
      <c r="A623" s="92">
        <f>Accounts!A623</f>
        <v/>
      </c>
      <c r="B623" s="12" t="b">
        <v>0</v>
      </c>
      <c r="C623" s="93">
        <f>Accounts!N623</f>
        <v/>
      </c>
      <c r="D623" s="94" t="n"/>
      <c r="E623" s="93">
        <f>Accounts!F623</f>
        <v/>
      </c>
      <c r="F623" s="94">
        <f>Accounts!Q623</f>
        <v/>
      </c>
      <c r="G623" s="94">
        <f>Accounts!R623</f>
        <v/>
      </c>
      <c r="H623" s="94">
        <f>Accounts!I623</f>
        <v/>
      </c>
      <c r="I623" s="94">
        <f>Accounts!J623</f>
        <v/>
      </c>
      <c r="J623" s="93">
        <f>Accounts!S623</f>
        <v/>
      </c>
      <c r="K623" s="88" t="n"/>
      <c r="L623" s="95" t="n"/>
      <c r="M623" s="55" t="b">
        <v>0</v>
      </c>
      <c r="N623" s="96" t="b">
        <v>0</v>
      </c>
      <c r="O623" s="55" t="b">
        <v>0</v>
      </c>
      <c r="P623" s="55" t="b">
        <v>0</v>
      </c>
      <c r="Q623" s="55" t="b">
        <v>0</v>
      </c>
      <c r="R623" s="55" t="b">
        <v>0</v>
      </c>
      <c r="S623" s="55" t="b">
        <v>0</v>
      </c>
      <c r="T623" s="55" t="b">
        <v>0</v>
      </c>
      <c r="U623" s="55" t="b">
        <v>0</v>
      </c>
      <c r="V623" s="55" t="b">
        <v>0</v>
      </c>
    </row>
    <row r="624" ht="69" customHeight="1" s="211">
      <c r="A624" s="92">
        <f>Accounts!A624</f>
        <v/>
      </c>
      <c r="B624" s="12" t="b">
        <v>0</v>
      </c>
      <c r="C624" s="93">
        <f>Accounts!N624</f>
        <v/>
      </c>
      <c r="D624" s="94" t="n"/>
      <c r="E624" s="93">
        <f>Accounts!F624</f>
        <v/>
      </c>
      <c r="F624" s="94">
        <f>Accounts!Q624</f>
        <v/>
      </c>
      <c r="G624" s="94">
        <f>Accounts!R624</f>
        <v/>
      </c>
      <c r="H624" s="94">
        <f>Accounts!I624</f>
        <v/>
      </c>
      <c r="I624" s="94">
        <f>Accounts!J624</f>
        <v/>
      </c>
      <c r="J624" s="93">
        <f>Accounts!S624</f>
        <v/>
      </c>
      <c r="K624" s="88" t="n"/>
      <c r="L624" s="95" t="n"/>
      <c r="M624" s="55" t="b">
        <v>0</v>
      </c>
      <c r="N624" s="96" t="b">
        <v>0</v>
      </c>
      <c r="O624" s="55" t="b">
        <v>0</v>
      </c>
      <c r="P624" s="55" t="b">
        <v>0</v>
      </c>
      <c r="Q624" s="55" t="b">
        <v>0</v>
      </c>
      <c r="R624" s="55" t="b">
        <v>0</v>
      </c>
      <c r="S624" s="55" t="b">
        <v>0</v>
      </c>
      <c r="T624" s="55" t="b">
        <v>0</v>
      </c>
      <c r="U624" s="55" t="b">
        <v>0</v>
      </c>
      <c r="V624" s="55" t="b">
        <v>0</v>
      </c>
    </row>
    <row r="625" ht="69" customHeight="1" s="211">
      <c r="A625" s="92">
        <f>Accounts!A625</f>
        <v/>
      </c>
      <c r="B625" s="12" t="b">
        <v>0</v>
      </c>
      <c r="C625" s="93">
        <f>Accounts!N625</f>
        <v/>
      </c>
      <c r="D625" s="94" t="n"/>
      <c r="E625" s="93">
        <f>Accounts!F625</f>
        <v/>
      </c>
      <c r="F625" s="94">
        <f>Accounts!Q625</f>
        <v/>
      </c>
      <c r="G625" s="94">
        <f>Accounts!R625</f>
        <v/>
      </c>
      <c r="H625" s="94">
        <f>Accounts!I625</f>
        <v/>
      </c>
      <c r="I625" s="94">
        <f>Accounts!J625</f>
        <v/>
      </c>
      <c r="J625" s="93">
        <f>Accounts!S625</f>
        <v/>
      </c>
      <c r="K625" s="88" t="n"/>
      <c r="L625" s="95" t="n"/>
      <c r="M625" s="55" t="b">
        <v>0</v>
      </c>
      <c r="N625" s="96" t="b">
        <v>0</v>
      </c>
      <c r="O625" s="55" t="b">
        <v>0</v>
      </c>
      <c r="P625" s="55" t="b">
        <v>0</v>
      </c>
      <c r="Q625" s="55" t="b">
        <v>0</v>
      </c>
      <c r="R625" s="55" t="b">
        <v>0</v>
      </c>
      <c r="S625" s="55" t="b">
        <v>0</v>
      </c>
      <c r="T625" s="55" t="b">
        <v>0</v>
      </c>
      <c r="U625" s="55" t="b">
        <v>0</v>
      </c>
      <c r="V625" s="55" t="b">
        <v>0</v>
      </c>
    </row>
    <row r="626" ht="69" customHeight="1" s="211">
      <c r="A626" s="92">
        <f>Accounts!A626</f>
        <v/>
      </c>
      <c r="B626" s="12" t="b">
        <v>0</v>
      </c>
      <c r="C626" s="93">
        <f>Accounts!N626</f>
        <v/>
      </c>
      <c r="D626" s="94" t="n"/>
      <c r="E626" s="93">
        <f>Accounts!F626</f>
        <v/>
      </c>
      <c r="F626" s="94">
        <f>Accounts!Q626</f>
        <v/>
      </c>
      <c r="G626" s="94">
        <f>Accounts!R626</f>
        <v/>
      </c>
      <c r="H626" s="94">
        <f>Accounts!I626</f>
        <v/>
      </c>
      <c r="I626" s="94">
        <f>Accounts!J626</f>
        <v/>
      </c>
      <c r="J626" s="93">
        <f>Accounts!S626</f>
        <v/>
      </c>
      <c r="K626" s="88" t="n"/>
      <c r="L626" s="95" t="n"/>
      <c r="M626" s="55" t="b">
        <v>0</v>
      </c>
      <c r="N626" s="96" t="b">
        <v>0</v>
      </c>
      <c r="O626" s="55" t="b">
        <v>0</v>
      </c>
      <c r="P626" s="55" t="b">
        <v>0</v>
      </c>
      <c r="Q626" s="55" t="b">
        <v>0</v>
      </c>
      <c r="R626" s="55" t="b">
        <v>0</v>
      </c>
      <c r="S626" s="55" t="b">
        <v>0</v>
      </c>
      <c r="T626" s="55" t="b">
        <v>0</v>
      </c>
      <c r="U626" s="55" t="b">
        <v>0</v>
      </c>
      <c r="V626" s="55" t="b">
        <v>0</v>
      </c>
    </row>
    <row r="627" ht="69" customHeight="1" s="211">
      <c r="A627" s="92">
        <f>Accounts!A627</f>
        <v/>
      </c>
      <c r="B627" s="12" t="b">
        <v>0</v>
      </c>
      <c r="C627" s="93">
        <f>Accounts!N627</f>
        <v/>
      </c>
      <c r="D627" s="94" t="n"/>
      <c r="E627" s="93">
        <f>Accounts!F627</f>
        <v/>
      </c>
      <c r="F627" s="94">
        <f>Accounts!Q627</f>
        <v/>
      </c>
      <c r="G627" s="94">
        <f>Accounts!R627</f>
        <v/>
      </c>
      <c r="H627" s="94">
        <f>Accounts!I627</f>
        <v/>
      </c>
      <c r="I627" s="94">
        <f>Accounts!J627</f>
        <v/>
      </c>
      <c r="J627" s="93">
        <f>Accounts!S627</f>
        <v/>
      </c>
      <c r="K627" s="88" t="n"/>
      <c r="L627" s="95" t="n"/>
      <c r="M627" s="55" t="b">
        <v>0</v>
      </c>
      <c r="N627" s="96" t="b">
        <v>0</v>
      </c>
      <c r="O627" s="55" t="b">
        <v>0</v>
      </c>
      <c r="P627" s="55" t="b">
        <v>0</v>
      </c>
      <c r="Q627" s="55" t="b">
        <v>0</v>
      </c>
      <c r="R627" s="55" t="b">
        <v>0</v>
      </c>
      <c r="S627" s="55" t="b">
        <v>0</v>
      </c>
      <c r="T627" s="55" t="b">
        <v>0</v>
      </c>
      <c r="U627" s="55" t="b">
        <v>0</v>
      </c>
      <c r="V627" s="55" t="b">
        <v>0</v>
      </c>
    </row>
    <row r="628" ht="69" customHeight="1" s="211">
      <c r="A628" s="92">
        <f>Accounts!A628</f>
        <v/>
      </c>
      <c r="B628" s="12" t="b">
        <v>0</v>
      </c>
      <c r="C628" s="93">
        <f>Accounts!N628</f>
        <v/>
      </c>
      <c r="D628" s="94" t="n"/>
      <c r="E628" s="93">
        <f>Accounts!F628</f>
        <v/>
      </c>
      <c r="F628" s="94">
        <f>Accounts!Q628</f>
        <v/>
      </c>
      <c r="G628" s="94">
        <f>Accounts!R628</f>
        <v/>
      </c>
      <c r="H628" s="94">
        <f>Accounts!I628</f>
        <v/>
      </c>
      <c r="I628" s="94">
        <f>Accounts!J628</f>
        <v/>
      </c>
      <c r="J628" s="93">
        <f>Accounts!S628</f>
        <v/>
      </c>
      <c r="K628" s="88" t="n"/>
      <c r="L628" s="95" t="n"/>
      <c r="M628" s="55" t="b">
        <v>0</v>
      </c>
      <c r="N628" s="96" t="b">
        <v>0</v>
      </c>
      <c r="O628" s="55" t="b">
        <v>0</v>
      </c>
      <c r="P628" s="55" t="b">
        <v>0</v>
      </c>
      <c r="Q628" s="55" t="b">
        <v>0</v>
      </c>
      <c r="R628" s="55" t="b">
        <v>0</v>
      </c>
      <c r="S628" s="55" t="b">
        <v>0</v>
      </c>
      <c r="T628" s="55" t="b">
        <v>0</v>
      </c>
      <c r="U628" s="55" t="b">
        <v>0</v>
      </c>
      <c r="V628" s="55" t="b">
        <v>0</v>
      </c>
    </row>
    <row r="629" ht="69" customHeight="1" s="211">
      <c r="A629" s="92">
        <f>Accounts!A629</f>
        <v/>
      </c>
      <c r="B629" s="12" t="b">
        <v>0</v>
      </c>
      <c r="C629" s="93">
        <f>Accounts!N629</f>
        <v/>
      </c>
      <c r="D629" s="94" t="n"/>
      <c r="E629" s="93">
        <f>Accounts!F629</f>
        <v/>
      </c>
      <c r="F629" s="94">
        <f>Accounts!Q629</f>
        <v/>
      </c>
      <c r="G629" s="94">
        <f>Accounts!R629</f>
        <v/>
      </c>
      <c r="H629" s="94">
        <f>Accounts!I629</f>
        <v/>
      </c>
      <c r="I629" s="94">
        <f>Accounts!J629</f>
        <v/>
      </c>
      <c r="J629" s="93">
        <f>Accounts!S629</f>
        <v/>
      </c>
      <c r="K629" s="88" t="n"/>
      <c r="L629" s="95" t="n"/>
      <c r="M629" s="55" t="b">
        <v>0</v>
      </c>
      <c r="N629" s="96" t="b">
        <v>0</v>
      </c>
      <c r="O629" s="55" t="b">
        <v>0</v>
      </c>
      <c r="P629" s="55" t="b">
        <v>0</v>
      </c>
      <c r="Q629" s="55" t="b">
        <v>0</v>
      </c>
      <c r="R629" s="55" t="b">
        <v>0</v>
      </c>
      <c r="S629" s="55" t="b">
        <v>0</v>
      </c>
      <c r="T629" s="55" t="b">
        <v>0</v>
      </c>
      <c r="U629" s="55" t="b">
        <v>0</v>
      </c>
      <c r="V629" s="55" t="b">
        <v>0</v>
      </c>
    </row>
    <row r="630" ht="69" customHeight="1" s="211">
      <c r="A630" s="92">
        <f>Accounts!A630</f>
        <v/>
      </c>
      <c r="B630" s="12" t="b">
        <v>0</v>
      </c>
      <c r="C630" s="93">
        <f>Accounts!N630</f>
        <v/>
      </c>
      <c r="D630" s="94" t="n"/>
      <c r="E630" s="93">
        <f>Accounts!F630</f>
        <v/>
      </c>
      <c r="F630" s="94">
        <f>Accounts!Q630</f>
        <v/>
      </c>
      <c r="G630" s="94">
        <f>Accounts!R630</f>
        <v/>
      </c>
      <c r="H630" s="94">
        <f>Accounts!I630</f>
        <v/>
      </c>
      <c r="I630" s="94">
        <f>Accounts!J630</f>
        <v/>
      </c>
      <c r="J630" s="93">
        <f>Accounts!S630</f>
        <v/>
      </c>
      <c r="K630" s="88" t="n"/>
      <c r="L630" s="95" t="n"/>
      <c r="M630" s="55" t="b">
        <v>0</v>
      </c>
      <c r="N630" s="96" t="b">
        <v>0</v>
      </c>
      <c r="O630" s="55" t="b">
        <v>0</v>
      </c>
      <c r="P630" s="55" t="b">
        <v>0</v>
      </c>
      <c r="Q630" s="55" t="b">
        <v>0</v>
      </c>
      <c r="R630" s="55" t="b">
        <v>0</v>
      </c>
      <c r="S630" s="55" t="b">
        <v>0</v>
      </c>
      <c r="T630" s="55" t="b">
        <v>0</v>
      </c>
      <c r="U630" s="55" t="b">
        <v>0</v>
      </c>
      <c r="V630" s="55" t="b">
        <v>0</v>
      </c>
    </row>
    <row r="631" ht="69" customHeight="1" s="211">
      <c r="A631" s="92">
        <f>Accounts!A631</f>
        <v/>
      </c>
      <c r="B631" s="12" t="b">
        <v>0</v>
      </c>
      <c r="C631" s="93">
        <f>Accounts!N631</f>
        <v/>
      </c>
      <c r="D631" s="94" t="n"/>
      <c r="E631" s="93">
        <f>Accounts!F631</f>
        <v/>
      </c>
      <c r="F631" s="94">
        <f>Accounts!Q631</f>
        <v/>
      </c>
      <c r="G631" s="94">
        <f>Accounts!R631</f>
        <v/>
      </c>
      <c r="H631" s="94">
        <f>Accounts!I631</f>
        <v/>
      </c>
      <c r="I631" s="94">
        <f>Accounts!J631</f>
        <v/>
      </c>
      <c r="J631" s="93">
        <f>Accounts!S631</f>
        <v/>
      </c>
      <c r="K631" s="88" t="n"/>
      <c r="L631" s="95" t="n"/>
      <c r="M631" s="55" t="b">
        <v>0</v>
      </c>
      <c r="N631" s="96" t="b">
        <v>0</v>
      </c>
      <c r="O631" s="55" t="b">
        <v>0</v>
      </c>
      <c r="P631" s="55" t="b">
        <v>0</v>
      </c>
      <c r="Q631" s="55" t="b">
        <v>0</v>
      </c>
      <c r="R631" s="55" t="b">
        <v>0</v>
      </c>
      <c r="S631" s="55" t="b">
        <v>0</v>
      </c>
      <c r="T631" s="55" t="b">
        <v>0</v>
      </c>
      <c r="U631" s="55" t="b">
        <v>0</v>
      </c>
      <c r="V631" s="55" t="b">
        <v>0</v>
      </c>
    </row>
    <row r="632" ht="69" customHeight="1" s="211">
      <c r="A632" s="92">
        <f>Accounts!A632</f>
        <v/>
      </c>
      <c r="B632" s="12" t="b">
        <v>0</v>
      </c>
      <c r="C632" s="93">
        <f>Accounts!N632</f>
        <v/>
      </c>
      <c r="D632" s="94" t="n"/>
      <c r="E632" s="93">
        <f>Accounts!F632</f>
        <v/>
      </c>
      <c r="F632" s="94">
        <f>Accounts!Q632</f>
        <v/>
      </c>
      <c r="G632" s="94">
        <f>Accounts!R632</f>
        <v/>
      </c>
      <c r="H632" s="94">
        <f>Accounts!I632</f>
        <v/>
      </c>
      <c r="I632" s="94">
        <f>Accounts!J632</f>
        <v/>
      </c>
      <c r="J632" s="93">
        <f>Accounts!S632</f>
        <v/>
      </c>
      <c r="K632" s="88" t="n"/>
      <c r="L632" s="95" t="n"/>
      <c r="M632" s="55" t="b">
        <v>0</v>
      </c>
      <c r="N632" s="96" t="b">
        <v>0</v>
      </c>
      <c r="O632" s="55" t="b">
        <v>0</v>
      </c>
      <c r="P632" s="55" t="b">
        <v>0</v>
      </c>
      <c r="Q632" s="55" t="b">
        <v>0</v>
      </c>
      <c r="R632" s="55" t="b">
        <v>0</v>
      </c>
      <c r="S632" s="55" t="b">
        <v>0</v>
      </c>
      <c r="T632" s="55" t="b">
        <v>0</v>
      </c>
      <c r="U632" s="55" t="b">
        <v>0</v>
      </c>
      <c r="V632" s="55" t="b">
        <v>0</v>
      </c>
    </row>
    <row r="633" ht="69" customHeight="1" s="211">
      <c r="A633" s="92">
        <f>Accounts!A633</f>
        <v/>
      </c>
      <c r="B633" s="12" t="b">
        <v>0</v>
      </c>
      <c r="C633" s="93">
        <f>Accounts!N633</f>
        <v/>
      </c>
      <c r="D633" s="94" t="n"/>
      <c r="E633" s="93">
        <f>Accounts!F633</f>
        <v/>
      </c>
      <c r="F633" s="94">
        <f>Accounts!Q633</f>
        <v/>
      </c>
      <c r="G633" s="94">
        <f>Accounts!R633</f>
        <v/>
      </c>
      <c r="H633" s="94">
        <f>Accounts!I633</f>
        <v/>
      </c>
      <c r="I633" s="94">
        <f>Accounts!J633</f>
        <v/>
      </c>
      <c r="J633" s="93">
        <f>Accounts!S633</f>
        <v/>
      </c>
      <c r="K633" s="88" t="n"/>
      <c r="L633" s="95" t="n"/>
      <c r="M633" s="55" t="b">
        <v>0</v>
      </c>
      <c r="N633" s="96" t="b">
        <v>0</v>
      </c>
      <c r="O633" s="55" t="b">
        <v>0</v>
      </c>
      <c r="P633" s="55" t="b">
        <v>0</v>
      </c>
      <c r="Q633" s="55" t="b">
        <v>0</v>
      </c>
      <c r="R633" s="55" t="b">
        <v>0</v>
      </c>
      <c r="S633" s="55" t="b">
        <v>0</v>
      </c>
      <c r="T633" s="55" t="b">
        <v>0</v>
      </c>
      <c r="U633" s="55" t="b">
        <v>0</v>
      </c>
      <c r="V633" s="55" t="b">
        <v>0</v>
      </c>
    </row>
    <row r="634" ht="69" customHeight="1" s="211">
      <c r="A634" s="92">
        <f>Accounts!A634</f>
        <v/>
      </c>
      <c r="B634" s="12" t="b">
        <v>0</v>
      </c>
      <c r="C634" s="93">
        <f>Accounts!N634</f>
        <v/>
      </c>
      <c r="D634" s="94" t="n"/>
      <c r="E634" s="93">
        <f>Accounts!F634</f>
        <v/>
      </c>
      <c r="F634" s="94">
        <f>Accounts!Q634</f>
        <v/>
      </c>
      <c r="G634" s="94">
        <f>Accounts!R634</f>
        <v/>
      </c>
      <c r="H634" s="94">
        <f>Accounts!I634</f>
        <v/>
      </c>
      <c r="I634" s="94">
        <f>Accounts!J634</f>
        <v/>
      </c>
      <c r="J634" s="93">
        <f>Accounts!S634</f>
        <v/>
      </c>
      <c r="K634" s="88" t="n"/>
      <c r="L634" s="95" t="n"/>
      <c r="M634" s="55" t="b">
        <v>0</v>
      </c>
      <c r="N634" s="96" t="b">
        <v>0</v>
      </c>
      <c r="O634" s="55" t="b">
        <v>0</v>
      </c>
      <c r="P634" s="55" t="b">
        <v>0</v>
      </c>
      <c r="Q634" s="55" t="b">
        <v>0</v>
      </c>
      <c r="R634" s="55" t="b">
        <v>0</v>
      </c>
      <c r="S634" s="55" t="b">
        <v>0</v>
      </c>
      <c r="T634" s="55" t="b">
        <v>0</v>
      </c>
      <c r="U634" s="55" t="b">
        <v>0</v>
      </c>
      <c r="V634" s="55" t="b">
        <v>0</v>
      </c>
    </row>
    <row r="635" ht="69" customHeight="1" s="211">
      <c r="A635" s="92">
        <f>Accounts!A635</f>
        <v/>
      </c>
      <c r="B635" s="12" t="b">
        <v>0</v>
      </c>
      <c r="C635" s="93">
        <f>Accounts!N635</f>
        <v/>
      </c>
      <c r="D635" s="94" t="n"/>
      <c r="E635" s="93">
        <f>Accounts!F635</f>
        <v/>
      </c>
      <c r="F635" s="94">
        <f>Accounts!Q635</f>
        <v/>
      </c>
      <c r="G635" s="94">
        <f>Accounts!R635</f>
        <v/>
      </c>
      <c r="H635" s="94">
        <f>Accounts!I635</f>
        <v/>
      </c>
      <c r="I635" s="94">
        <f>Accounts!J635</f>
        <v/>
      </c>
      <c r="J635" s="93">
        <f>Accounts!S635</f>
        <v/>
      </c>
      <c r="K635" s="88" t="n"/>
      <c r="L635" s="95" t="n"/>
      <c r="M635" s="55" t="b">
        <v>0</v>
      </c>
      <c r="N635" s="96" t="b">
        <v>0</v>
      </c>
      <c r="O635" s="55" t="b">
        <v>0</v>
      </c>
      <c r="P635" s="55" t="b">
        <v>0</v>
      </c>
      <c r="Q635" s="55" t="b">
        <v>0</v>
      </c>
      <c r="R635" s="55" t="b">
        <v>0</v>
      </c>
      <c r="S635" s="55" t="b">
        <v>0</v>
      </c>
      <c r="T635" s="55" t="b">
        <v>0</v>
      </c>
      <c r="U635" s="55" t="b">
        <v>0</v>
      </c>
      <c r="V635" s="55" t="b">
        <v>0</v>
      </c>
    </row>
    <row r="636" ht="69" customHeight="1" s="211">
      <c r="A636" s="92">
        <f>Accounts!A636</f>
        <v/>
      </c>
      <c r="B636" s="12" t="b">
        <v>0</v>
      </c>
      <c r="C636" s="93">
        <f>Accounts!N636</f>
        <v/>
      </c>
      <c r="D636" s="94" t="n"/>
      <c r="E636" s="93">
        <f>Accounts!F636</f>
        <v/>
      </c>
      <c r="F636" s="94">
        <f>Accounts!Q636</f>
        <v/>
      </c>
      <c r="G636" s="94">
        <f>Accounts!R636</f>
        <v/>
      </c>
      <c r="H636" s="94">
        <f>Accounts!I636</f>
        <v/>
      </c>
      <c r="I636" s="94">
        <f>Accounts!J636</f>
        <v/>
      </c>
      <c r="J636" s="93">
        <f>Accounts!S636</f>
        <v/>
      </c>
      <c r="K636" s="88" t="n"/>
      <c r="L636" s="95" t="n"/>
      <c r="M636" s="55" t="b">
        <v>0</v>
      </c>
      <c r="N636" s="96" t="b">
        <v>0</v>
      </c>
      <c r="O636" s="55" t="b">
        <v>0</v>
      </c>
      <c r="P636" s="55" t="b">
        <v>0</v>
      </c>
      <c r="Q636" s="55" t="b">
        <v>0</v>
      </c>
      <c r="R636" s="55" t="b">
        <v>0</v>
      </c>
      <c r="S636" s="55" t="b">
        <v>0</v>
      </c>
      <c r="T636" s="55" t="b">
        <v>0</v>
      </c>
      <c r="U636" s="55" t="b">
        <v>0</v>
      </c>
      <c r="V636" s="55" t="b">
        <v>0</v>
      </c>
    </row>
    <row r="637" ht="69" customHeight="1" s="211">
      <c r="A637" s="92">
        <f>Accounts!A637</f>
        <v/>
      </c>
      <c r="B637" s="12" t="b">
        <v>0</v>
      </c>
      <c r="C637" s="93">
        <f>Accounts!N637</f>
        <v/>
      </c>
      <c r="D637" s="94" t="n"/>
      <c r="E637" s="93">
        <f>Accounts!F637</f>
        <v/>
      </c>
      <c r="F637" s="94">
        <f>Accounts!Q637</f>
        <v/>
      </c>
      <c r="G637" s="94">
        <f>Accounts!R637</f>
        <v/>
      </c>
      <c r="H637" s="94">
        <f>Accounts!I637</f>
        <v/>
      </c>
      <c r="I637" s="94">
        <f>Accounts!J637</f>
        <v/>
      </c>
      <c r="J637" s="93">
        <f>Accounts!S637</f>
        <v/>
      </c>
      <c r="K637" s="88" t="n"/>
      <c r="L637" s="95" t="n"/>
      <c r="M637" s="55" t="b">
        <v>0</v>
      </c>
      <c r="N637" s="96" t="b">
        <v>0</v>
      </c>
      <c r="O637" s="55" t="b">
        <v>0</v>
      </c>
      <c r="P637" s="55" t="b">
        <v>0</v>
      </c>
      <c r="Q637" s="55" t="b">
        <v>0</v>
      </c>
      <c r="R637" s="55" t="b">
        <v>0</v>
      </c>
      <c r="S637" s="55" t="b">
        <v>0</v>
      </c>
      <c r="T637" s="55" t="b">
        <v>0</v>
      </c>
      <c r="U637" s="55" t="b">
        <v>0</v>
      </c>
      <c r="V637" s="55" t="b">
        <v>0</v>
      </c>
    </row>
    <row r="638" ht="69" customHeight="1" s="211">
      <c r="A638" s="92">
        <f>Accounts!A638</f>
        <v/>
      </c>
      <c r="B638" s="12" t="b">
        <v>0</v>
      </c>
      <c r="C638" s="93">
        <f>Accounts!N638</f>
        <v/>
      </c>
      <c r="D638" s="94" t="n"/>
      <c r="E638" s="93">
        <f>Accounts!F638</f>
        <v/>
      </c>
      <c r="F638" s="94">
        <f>Accounts!Q638</f>
        <v/>
      </c>
      <c r="G638" s="94">
        <f>Accounts!R638</f>
        <v/>
      </c>
      <c r="H638" s="94">
        <f>Accounts!I638</f>
        <v/>
      </c>
      <c r="I638" s="94">
        <f>Accounts!J638</f>
        <v/>
      </c>
      <c r="J638" s="93">
        <f>Accounts!S638</f>
        <v/>
      </c>
      <c r="K638" s="88" t="n"/>
      <c r="L638" s="95" t="n"/>
      <c r="M638" s="55" t="b">
        <v>0</v>
      </c>
      <c r="N638" s="96" t="b">
        <v>0</v>
      </c>
      <c r="O638" s="55" t="b">
        <v>0</v>
      </c>
      <c r="P638" s="55" t="b">
        <v>0</v>
      </c>
      <c r="Q638" s="55" t="b">
        <v>0</v>
      </c>
      <c r="R638" s="55" t="b">
        <v>0</v>
      </c>
      <c r="S638" s="55" t="b">
        <v>0</v>
      </c>
      <c r="T638" s="55" t="b">
        <v>0</v>
      </c>
      <c r="U638" s="55" t="b">
        <v>0</v>
      </c>
      <c r="V638" s="55" t="b">
        <v>0</v>
      </c>
    </row>
    <row r="639" ht="69" customHeight="1" s="211">
      <c r="A639" s="92">
        <f>Accounts!A639</f>
        <v/>
      </c>
      <c r="B639" s="12" t="b">
        <v>0</v>
      </c>
      <c r="C639" s="93">
        <f>Accounts!N639</f>
        <v/>
      </c>
      <c r="D639" s="94" t="n"/>
      <c r="E639" s="93">
        <f>Accounts!F639</f>
        <v/>
      </c>
      <c r="F639" s="94">
        <f>Accounts!Q639</f>
        <v/>
      </c>
      <c r="G639" s="94">
        <f>Accounts!R639</f>
        <v/>
      </c>
      <c r="H639" s="94">
        <f>Accounts!I639</f>
        <v/>
      </c>
      <c r="I639" s="94">
        <f>Accounts!J639</f>
        <v/>
      </c>
      <c r="J639" s="93">
        <f>Accounts!S639</f>
        <v/>
      </c>
      <c r="K639" s="88" t="n"/>
      <c r="L639" s="95" t="n"/>
      <c r="M639" s="55" t="b">
        <v>0</v>
      </c>
      <c r="N639" s="96" t="b">
        <v>0</v>
      </c>
      <c r="O639" s="55" t="b">
        <v>0</v>
      </c>
      <c r="P639" s="55" t="b">
        <v>0</v>
      </c>
      <c r="Q639" s="55" t="b">
        <v>0</v>
      </c>
      <c r="R639" s="55" t="b">
        <v>0</v>
      </c>
      <c r="S639" s="55" t="b">
        <v>0</v>
      </c>
      <c r="T639" s="55" t="b">
        <v>0</v>
      </c>
      <c r="U639" s="55" t="b">
        <v>0</v>
      </c>
      <c r="V639" s="55" t="b">
        <v>0</v>
      </c>
    </row>
    <row r="640" ht="69" customHeight="1" s="211">
      <c r="A640" s="92">
        <f>Accounts!A640</f>
        <v/>
      </c>
      <c r="B640" s="12" t="b">
        <v>0</v>
      </c>
      <c r="C640" s="93">
        <f>Accounts!N640</f>
        <v/>
      </c>
      <c r="D640" s="94" t="n"/>
      <c r="E640" s="93">
        <f>Accounts!F640</f>
        <v/>
      </c>
      <c r="F640" s="94">
        <f>Accounts!Q640</f>
        <v/>
      </c>
      <c r="G640" s="94">
        <f>Accounts!R640</f>
        <v/>
      </c>
      <c r="H640" s="94">
        <f>Accounts!I640</f>
        <v/>
      </c>
      <c r="I640" s="94">
        <f>Accounts!J640</f>
        <v/>
      </c>
      <c r="J640" s="93">
        <f>Accounts!S640</f>
        <v/>
      </c>
      <c r="K640" s="88" t="n"/>
      <c r="L640" s="95" t="n"/>
      <c r="M640" s="55" t="b">
        <v>0</v>
      </c>
      <c r="N640" s="96" t="b">
        <v>0</v>
      </c>
      <c r="O640" s="55" t="b">
        <v>0</v>
      </c>
      <c r="P640" s="55" t="b">
        <v>0</v>
      </c>
      <c r="Q640" s="55" t="b">
        <v>0</v>
      </c>
      <c r="R640" s="55" t="b">
        <v>0</v>
      </c>
      <c r="S640" s="55" t="b">
        <v>0</v>
      </c>
      <c r="T640" s="55" t="b">
        <v>0</v>
      </c>
      <c r="U640" s="55" t="b">
        <v>0</v>
      </c>
      <c r="V640" s="55" t="b">
        <v>0</v>
      </c>
    </row>
    <row r="641" ht="69" customHeight="1" s="211">
      <c r="A641" s="92">
        <f>Accounts!A641</f>
        <v/>
      </c>
      <c r="B641" s="12" t="b">
        <v>0</v>
      </c>
      <c r="C641" s="93">
        <f>Accounts!N641</f>
        <v/>
      </c>
      <c r="D641" s="94" t="n"/>
      <c r="E641" s="93">
        <f>Accounts!F641</f>
        <v/>
      </c>
      <c r="F641" s="94">
        <f>Accounts!Q641</f>
        <v/>
      </c>
      <c r="G641" s="94">
        <f>Accounts!R641</f>
        <v/>
      </c>
      <c r="H641" s="94">
        <f>Accounts!I641</f>
        <v/>
      </c>
      <c r="I641" s="94">
        <f>Accounts!J641</f>
        <v/>
      </c>
      <c r="J641" s="93">
        <f>Accounts!S641</f>
        <v/>
      </c>
      <c r="K641" s="88" t="n"/>
      <c r="L641" s="95" t="n"/>
      <c r="M641" s="55" t="b">
        <v>0</v>
      </c>
      <c r="N641" s="96" t="b">
        <v>0</v>
      </c>
      <c r="O641" s="55" t="b">
        <v>0</v>
      </c>
      <c r="P641" s="55" t="b">
        <v>0</v>
      </c>
      <c r="Q641" s="55" t="b">
        <v>0</v>
      </c>
      <c r="R641" s="55" t="b">
        <v>0</v>
      </c>
      <c r="S641" s="55" t="b">
        <v>0</v>
      </c>
      <c r="T641" s="55" t="b">
        <v>0</v>
      </c>
      <c r="U641" s="55" t="b">
        <v>0</v>
      </c>
      <c r="V641" s="55" t="b">
        <v>0</v>
      </c>
    </row>
    <row r="642" ht="69" customHeight="1" s="211">
      <c r="A642" s="92">
        <f>Accounts!A642</f>
        <v/>
      </c>
      <c r="B642" s="12" t="b">
        <v>0</v>
      </c>
      <c r="C642" s="93">
        <f>Accounts!N642</f>
        <v/>
      </c>
      <c r="D642" s="94" t="n"/>
      <c r="E642" s="93">
        <f>Accounts!F642</f>
        <v/>
      </c>
      <c r="F642" s="94">
        <f>Accounts!Q642</f>
        <v/>
      </c>
      <c r="G642" s="94">
        <f>Accounts!R642</f>
        <v/>
      </c>
      <c r="H642" s="94">
        <f>Accounts!I642</f>
        <v/>
      </c>
      <c r="I642" s="94">
        <f>Accounts!J642</f>
        <v/>
      </c>
      <c r="J642" s="93">
        <f>Accounts!S642</f>
        <v/>
      </c>
      <c r="K642" s="88" t="n"/>
      <c r="L642" s="95" t="n"/>
      <c r="M642" s="55" t="b">
        <v>0</v>
      </c>
      <c r="N642" s="96" t="b">
        <v>0</v>
      </c>
      <c r="O642" s="55" t="b">
        <v>0</v>
      </c>
      <c r="P642" s="55" t="b">
        <v>0</v>
      </c>
      <c r="Q642" s="55" t="b">
        <v>0</v>
      </c>
      <c r="R642" s="55" t="b">
        <v>0</v>
      </c>
      <c r="S642" s="55" t="b">
        <v>0</v>
      </c>
      <c r="T642" s="55" t="b">
        <v>0</v>
      </c>
      <c r="U642" s="55" t="b">
        <v>0</v>
      </c>
      <c r="V642" s="55" t="b">
        <v>0</v>
      </c>
    </row>
    <row r="643" ht="69" customHeight="1" s="211">
      <c r="A643" s="92">
        <f>Accounts!A643</f>
        <v/>
      </c>
      <c r="B643" s="12" t="b">
        <v>0</v>
      </c>
      <c r="C643" s="93">
        <f>Accounts!N643</f>
        <v/>
      </c>
      <c r="D643" s="94" t="n"/>
      <c r="E643" s="93">
        <f>Accounts!F643</f>
        <v/>
      </c>
      <c r="F643" s="94">
        <f>Accounts!Q643</f>
        <v/>
      </c>
      <c r="G643" s="94">
        <f>Accounts!R643</f>
        <v/>
      </c>
      <c r="H643" s="94">
        <f>Accounts!I643</f>
        <v/>
      </c>
      <c r="I643" s="94">
        <f>Accounts!J643</f>
        <v/>
      </c>
      <c r="J643" s="93">
        <f>Accounts!S643</f>
        <v/>
      </c>
      <c r="K643" s="88" t="n"/>
      <c r="L643" s="95" t="n"/>
      <c r="M643" s="55" t="b">
        <v>0</v>
      </c>
      <c r="N643" s="96" t="b">
        <v>0</v>
      </c>
      <c r="O643" s="55" t="b">
        <v>0</v>
      </c>
      <c r="P643" s="55" t="b">
        <v>0</v>
      </c>
      <c r="Q643" s="55" t="b">
        <v>0</v>
      </c>
      <c r="R643" s="55" t="b">
        <v>0</v>
      </c>
      <c r="S643" s="55" t="b">
        <v>0</v>
      </c>
      <c r="T643" s="55" t="b">
        <v>0</v>
      </c>
      <c r="U643" s="55" t="b">
        <v>0</v>
      </c>
      <c r="V643" s="55" t="b">
        <v>0</v>
      </c>
    </row>
    <row r="644" ht="69" customHeight="1" s="211">
      <c r="A644" s="92">
        <f>Accounts!A644</f>
        <v/>
      </c>
      <c r="B644" s="12" t="b">
        <v>0</v>
      </c>
      <c r="C644" s="93">
        <f>Accounts!N644</f>
        <v/>
      </c>
      <c r="D644" s="94" t="n"/>
      <c r="E644" s="93">
        <f>Accounts!F644</f>
        <v/>
      </c>
      <c r="F644" s="94">
        <f>Accounts!Q644</f>
        <v/>
      </c>
      <c r="G644" s="94">
        <f>Accounts!R644</f>
        <v/>
      </c>
      <c r="H644" s="94">
        <f>Accounts!I644</f>
        <v/>
      </c>
      <c r="I644" s="94">
        <f>Accounts!J644</f>
        <v/>
      </c>
      <c r="J644" s="93">
        <f>Accounts!S644</f>
        <v/>
      </c>
      <c r="K644" s="88" t="n"/>
      <c r="L644" s="95" t="n"/>
      <c r="M644" s="55" t="b">
        <v>0</v>
      </c>
      <c r="N644" s="96" t="b">
        <v>0</v>
      </c>
      <c r="O644" s="55" t="b">
        <v>0</v>
      </c>
      <c r="P644" s="55" t="b">
        <v>0</v>
      </c>
      <c r="Q644" s="55" t="b">
        <v>0</v>
      </c>
      <c r="R644" s="55" t="b">
        <v>0</v>
      </c>
      <c r="S644" s="55" t="b">
        <v>0</v>
      </c>
      <c r="T644" s="55" t="b">
        <v>0</v>
      </c>
      <c r="U644" s="55" t="b">
        <v>0</v>
      </c>
      <c r="V644" s="55" t="b">
        <v>0</v>
      </c>
    </row>
    <row r="645" ht="69" customHeight="1" s="211">
      <c r="A645" s="92">
        <f>Accounts!A645</f>
        <v/>
      </c>
      <c r="B645" s="12" t="b">
        <v>0</v>
      </c>
      <c r="C645" s="93">
        <f>Accounts!N645</f>
        <v/>
      </c>
      <c r="D645" s="94" t="n"/>
      <c r="E645" s="93">
        <f>Accounts!F645</f>
        <v/>
      </c>
      <c r="F645" s="94">
        <f>Accounts!Q645</f>
        <v/>
      </c>
      <c r="G645" s="94">
        <f>Accounts!R645</f>
        <v/>
      </c>
      <c r="H645" s="94">
        <f>Accounts!I645</f>
        <v/>
      </c>
      <c r="I645" s="94">
        <f>Accounts!J645</f>
        <v/>
      </c>
      <c r="J645" s="93">
        <f>Accounts!S645</f>
        <v/>
      </c>
      <c r="K645" s="88" t="n"/>
      <c r="L645" s="95" t="n"/>
      <c r="M645" s="55" t="b">
        <v>0</v>
      </c>
      <c r="N645" s="96" t="b">
        <v>0</v>
      </c>
      <c r="O645" s="55" t="b">
        <v>0</v>
      </c>
      <c r="P645" s="55" t="b">
        <v>0</v>
      </c>
      <c r="Q645" s="55" t="b">
        <v>0</v>
      </c>
      <c r="R645" s="55" t="b">
        <v>0</v>
      </c>
      <c r="S645" s="55" t="b">
        <v>0</v>
      </c>
      <c r="T645" s="55" t="b">
        <v>0</v>
      </c>
      <c r="U645" s="55" t="b">
        <v>0</v>
      </c>
      <c r="V645" s="55" t="b">
        <v>0</v>
      </c>
    </row>
    <row r="646" ht="69" customHeight="1" s="211">
      <c r="A646" s="92">
        <f>Accounts!A646</f>
        <v/>
      </c>
      <c r="B646" s="12" t="b">
        <v>0</v>
      </c>
      <c r="C646" s="93">
        <f>Accounts!N646</f>
        <v/>
      </c>
      <c r="D646" s="94" t="n"/>
      <c r="E646" s="93">
        <f>Accounts!F646</f>
        <v/>
      </c>
      <c r="F646" s="94">
        <f>Accounts!Q646</f>
        <v/>
      </c>
      <c r="G646" s="94">
        <f>Accounts!R646</f>
        <v/>
      </c>
      <c r="H646" s="94">
        <f>Accounts!I646</f>
        <v/>
      </c>
      <c r="I646" s="94">
        <f>Accounts!J646</f>
        <v/>
      </c>
      <c r="J646" s="93">
        <f>Accounts!S646</f>
        <v/>
      </c>
      <c r="K646" s="88" t="n"/>
      <c r="L646" s="95" t="n"/>
      <c r="M646" s="55" t="b">
        <v>0</v>
      </c>
      <c r="N646" s="96" t="b">
        <v>0</v>
      </c>
      <c r="O646" s="55" t="b">
        <v>0</v>
      </c>
      <c r="P646" s="55" t="b">
        <v>0</v>
      </c>
      <c r="Q646" s="55" t="b">
        <v>0</v>
      </c>
      <c r="R646" s="55" t="b">
        <v>0</v>
      </c>
      <c r="S646" s="55" t="b">
        <v>0</v>
      </c>
      <c r="T646" s="55" t="b">
        <v>0</v>
      </c>
      <c r="U646" s="55" t="b">
        <v>0</v>
      </c>
      <c r="V646" s="55" t="b">
        <v>0</v>
      </c>
    </row>
    <row r="647" ht="69" customHeight="1" s="211">
      <c r="A647" s="92">
        <f>Accounts!A647</f>
        <v/>
      </c>
      <c r="B647" s="12" t="b">
        <v>0</v>
      </c>
      <c r="C647" s="93">
        <f>Accounts!N647</f>
        <v/>
      </c>
      <c r="D647" s="94" t="n"/>
      <c r="E647" s="93">
        <f>Accounts!F647</f>
        <v/>
      </c>
      <c r="F647" s="94">
        <f>Accounts!Q647</f>
        <v/>
      </c>
      <c r="G647" s="94">
        <f>Accounts!R647</f>
        <v/>
      </c>
      <c r="H647" s="94">
        <f>Accounts!I647</f>
        <v/>
      </c>
      <c r="I647" s="94">
        <f>Accounts!J647</f>
        <v/>
      </c>
      <c r="J647" s="93">
        <f>Accounts!S647</f>
        <v/>
      </c>
      <c r="K647" s="88" t="n"/>
      <c r="L647" s="95" t="n"/>
      <c r="M647" s="55" t="b">
        <v>0</v>
      </c>
      <c r="N647" s="96" t="b">
        <v>0</v>
      </c>
      <c r="O647" s="55" t="b">
        <v>0</v>
      </c>
      <c r="P647" s="55" t="b">
        <v>0</v>
      </c>
      <c r="Q647" s="55" t="b">
        <v>0</v>
      </c>
      <c r="R647" s="55" t="b">
        <v>0</v>
      </c>
      <c r="S647" s="55" t="b">
        <v>0</v>
      </c>
      <c r="T647" s="55" t="b">
        <v>0</v>
      </c>
      <c r="U647" s="55" t="b">
        <v>0</v>
      </c>
      <c r="V647" s="55" t="b">
        <v>0</v>
      </c>
    </row>
    <row r="648" ht="69" customHeight="1" s="211">
      <c r="A648" s="92">
        <f>Accounts!A648</f>
        <v/>
      </c>
      <c r="B648" s="12" t="b">
        <v>0</v>
      </c>
      <c r="C648" s="93">
        <f>Accounts!N648</f>
        <v/>
      </c>
      <c r="D648" s="94" t="n"/>
      <c r="E648" s="93">
        <f>Accounts!F648</f>
        <v/>
      </c>
      <c r="F648" s="94">
        <f>Accounts!Q648</f>
        <v/>
      </c>
      <c r="G648" s="94">
        <f>Accounts!R648</f>
        <v/>
      </c>
      <c r="H648" s="94">
        <f>Accounts!I648</f>
        <v/>
      </c>
      <c r="I648" s="94">
        <f>Accounts!J648</f>
        <v/>
      </c>
      <c r="J648" s="93">
        <f>Accounts!S648</f>
        <v/>
      </c>
      <c r="K648" s="88" t="n"/>
      <c r="L648" s="95" t="n"/>
      <c r="M648" s="55" t="b">
        <v>0</v>
      </c>
      <c r="N648" s="96" t="b">
        <v>0</v>
      </c>
      <c r="O648" s="55" t="b">
        <v>0</v>
      </c>
      <c r="P648" s="55" t="b">
        <v>0</v>
      </c>
      <c r="Q648" s="55" t="b">
        <v>0</v>
      </c>
      <c r="R648" s="55" t="b">
        <v>0</v>
      </c>
      <c r="S648" s="55" t="b">
        <v>0</v>
      </c>
      <c r="T648" s="55" t="b">
        <v>0</v>
      </c>
      <c r="U648" s="55" t="b">
        <v>0</v>
      </c>
      <c r="V648" s="55" t="b">
        <v>0</v>
      </c>
    </row>
    <row r="649" ht="69" customHeight="1" s="211">
      <c r="A649" s="92">
        <f>Accounts!A649</f>
        <v/>
      </c>
      <c r="B649" s="12" t="b">
        <v>0</v>
      </c>
      <c r="C649" s="93">
        <f>Accounts!N649</f>
        <v/>
      </c>
      <c r="D649" s="94" t="n"/>
      <c r="E649" s="93">
        <f>Accounts!F649</f>
        <v/>
      </c>
      <c r="F649" s="94">
        <f>Accounts!Q649</f>
        <v/>
      </c>
      <c r="G649" s="94">
        <f>Accounts!R649</f>
        <v/>
      </c>
      <c r="H649" s="94">
        <f>Accounts!I649</f>
        <v/>
      </c>
      <c r="I649" s="94">
        <f>Accounts!J649</f>
        <v/>
      </c>
      <c r="J649" s="93">
        <f>Accounts!S649</f>
        <v/>
      </c>
      <c r="K649" s="88" t="n"/>
      <c r="L649" s="95" t="n"/>
      <c r="M649" s="55" t="b">
        <v>0</v>
      </c>
      <c r="N649" s="96" t="b">
        <v>0</v>
      </c>
      <c r="O649" s="55" t="b">
        <v>0</v>
      </c>
      <c r="P649" s="55" t="b">
        <v>0</v>
      </c>
      <c r="Q649" s="55" t="b">
        <v>0</v>
      </c>
      <c r="R649" s="55" t="b">
        <v>0</v>
      </c>
      <c r="S649" s="55" t="b">
        <v>0</v>
      </c>
      <c r="T649" s="55" t="b">
        <v>0</v>
      </c>
      <c r="U649" s="55" t="b">
        <v>0</v>
      </c>
      <c r="V649" s="55" t="b">
        <v>0</v>
      </c>
    </row>
    <row r="650" ht="69" customHeight="1" s="211">
      <c r="A650" s="92">
        <f>Accounts!A650</f>
        <v/>
      </c>
      <c r="B650" s="12" t="b">
        <v>0</v>
      </c>
      <c r="C650" s="93">
        <f>Accounts!N650</f>
        <v/>
      </c>
      <c r="D650" s="94" t="n"/>
      <c r="E650" s="93">
        <f>Accounts!F650</f>
        <v/>
      </c>
      <c r="F650" s="94">
        <f>Accounts!Q650</f>
        <v/>
      </c>
      <c r="G650" s="94">
        <f>Accounts!R650</f>
        <v/>
      </c>
      <c r="H650" s="94">
        <f>Accounts!I650</f>
        <v/>
      </c>
      <c r="I650" s="94">
        <f>Accounts!J650</f>
        <v/>
      </c>
      <c r="J650" s="93">
        <f>Accounts!S650</f>
        <v/>
      </c>
      <c r="K650" s="88" t="n"/>
      <c r="L650" s="95" t="n"/>
      <c r="M650" s="55" t="b">
        <v>0</v>
      </c>
      <c r="N650" s="96" t="b">
        <v>0</v>
      </c>
      <c r="O650" s="55" t="b">
        <v>0</v>
      </c>
      <c r="P650" s="55" t="b">
        <v>0</v>
      </c>
      <c r="Q650" s="55" t="b">
        <v>0</v>
      </c>
      <c r="R650" s="55" t="b">
        <v>0</v>
      </c>
      <c r="S650" s="55" t="b">
        <v>0</v>
      </c>
      <c r="T650" s="55" t="b">
        <v>0</v>
      </c>
      <c r="U650" s="55" t="b">
        <v>0</v>
      </c>
      <c r="V650" s="55" t="b">
        <v>0</v>
      </c>
    </row>
    <row r="651" ht="69" customHeight="1" s="211">
      <c r="A651" s="92">
        <f>Accounts!A651</f>
        <v/>
      </c>
      <c r="B651" s="12" t="b">
        <v>0</v>
      </c>
      <c r="C651" s="93">
        <f>Accounts!N651</f>
        <v/>
      </c>
      <c r="D651" s="94" t="n"/>
      <c r="E651" s="93">
        <f>Accounts!F651</f>
        <v/>
      </c>
      <c r="F651" s="94">
        <f>Accounts!Q651</f>
        <v/>
      </c>
      <c r="G651" s="94">
        <f>Accounts!R651</f>
        <v/>
      </c>
      <c r="H651" s="94">
        <f>Accounts!I651</f>
        <v/>
      </c>
      <c r="I651" s="94">
        <f>Accounts!J651</f>
        <v/>
      </c>
      <c r="J651" s="93">
        <f>Accounts!S651</f>
        <v/>
      </c>
      <c r="K651" s="88" t="n"/>
      <c r="L651" s="95" t="n"/>
      <c r="M651" s="55" t="b">
        <v>0</v>
      </c>
      <c r="N651" s="96" t="b">
        <v>0</v>
      </c>
      <c r="O651" s="55" t="b">
        <v>0</v>
      </c>
      <c r="P651" s="55" t="b">
        <v>0</v>
      </c>
      <c r="Q651" s="55" t="b">
        <v>0</v>
      </c>
      <c r="R651" s="55" t="b">
        <v>0</v>
      </c>
      <c r="S651" s="55" t="b">
        <v>0</v>
      </c>
      <c r="T651" s="55" t="b">
        <v>0</v>
      </c>
      <c r="U651" s="55" t="b">
        <v>0</v>
      </c>
      <c r="V651" s="55" t="b">
        <v>0</v>
      </c>
    </row>
    <row r="652" ht="69" customHeight="1" s="211">
      <c r="A652" s="92">
        <f>Accounts!A652</f>
        <v/>
      </c>
      <c r="B652" s="12" t="b">
        <v>0</v>
      </c>
      <c r="C652" s="93">
        <f>Accounts!N652</f>
        <v/>
      </c>
      <c r="D652" s="94" t="n"/>
      <c r="E652" s="93">
        <f>Accounts!F652</f>
        <v/>
      </c>
      <c r="F652" s="94">
        <f>Accounts!Q652</f>
        <v/>
      </c>
      <c r="G652" s="94">
        <f>Accounts!R652</f>
        <v/>
      </c>
      <c r="H652" s="94">
        <f>Accounts!I652</f>
        <v/>
      </c>
      <c r="I652" s="94">
        <f>Accounts!J652</f>
        <v/>
      </c>
      <c r="J652" s="93">
        <f>Accounts!S652</f>
        <v/>
      </c>
      <c r="K652" s="88" t="n"/>
      <c r="L652" s="95" t="n"/>
      <c r="M652" s="55" t="b">
        <v>0</v>
      </c>
      <c r="N652" s="96" t="b">
        <v>0</v>
      </c>
      <c r="O652" s="55" t="b">
        <v>0</v>
      </c>
      <c r="P652" s="55" t="b">
        <v>0</v>
      </c>
      <c r="Q652" s="55" t="b">
        <v>0</v>
      </c>
      <c r="R652" s="55" t="b">
        <v>0</v>
      </c>
      <c r="S652" s="55" t="b">
        <v>0</v>
      </c>
      <c r="T652" s="55" t="b">
        <v>0</v>
      </c>
      <c r="U652" s="55" t="b">
        <v>0</v>
      </c>
      <c r="V652" s="55" t="b">
        <v>0</v>
      </c>
    </row>
    <row r="653" ht="69" customHeight="1" s="211">
      <c r="A653" s="92">
        <f>Accounts!A653</f>
        <v/>
      </c>
      <c r="B653" s="12" t="b">
        <v>0</v>
      </c>
      <c r="C653" s="93">
        <f>Accounts!N653</f>
        <v/>
      </c>
      <c r="D653" s="94" t="n"/>
      <c r="E653" s="93">
        <f>Accounts!F653</f>
        <v/>
      </c>
      <c r="F653" s="94">
        <f>Accounts!Q653</f>
        <v/>
      </c>
      <c r="G653" s="94">
        <f>Accounts!R653</f>
        <v/>
      </c>
      <c r="H653" s="94">
        <f>Accounts!I653</f>
        <v/>
      </c>
      <c r="I653" s="94">
        <f>Accounts!J653</f>
        <v/>
      </c>
      <c r="J653" s="93">
        <f>Accounts!S653</f>
        <v/>
      </c>
      <c r="K653" s="88" t="n"/>
      <c r="L653" s="95" t="n"/>
      <c r="M653" s="55" t="b">
        <v>0</v>
      </c>
      <c r="N653" s="96" t="b">
        <v>0</v>
      </c>
      <c r="O653" s="55" t="b">
        <v>0</v>
      </c>
      <c r="P653" s="55" t="b">
        <v>0</v>
      </c>
      <c r="Q653" s="55" t="b">
        <v>0</v>
      </c>
      <c r="R653" s="55" t="b">
        <v>0</v>
      </c>
      <c r="S653" s="55" t="b">
        <v>0</v>
      </c>
      <c r="T653" s="55" t="b">
        <v>0</v>
      </c>
      <c r="U653" s="55" t="b">
        <v>0</v>
      </c>
      <c r="V653" s="55" t="b">
        <v>0</v>
      </c>
    </row>
    <row r="654" ht="69" customHeight="1" s="211">
      <c r="A654" s="92">
        <f>Accounts!A654</f>
        <v/>
      </c>
      <c r="B654" s="12" t="b">
        <v>0</v>
      </c>
      <c r="C654" s="93">
        <f>Accounts!N654</f>
        <v/>
      </c>
      <c r="D654" s="94" t="n"/>
      <c r="E654" s="93">
        <f>Accounts!F654</f>
        <v/>
      </c>
      <c r="F654" s="94">
        <f>Accounts!Q654</f>
        <v/>
      </c>
      <c r="G654" s="94">
        <f>Accounts!R654</f>
        <v/>
      </c>
      <c r="H654" s="94">
        <f>Accounts!I654</f>
        <v/>
      </c>
      <c r="I654" s="94">
        <f>Accounts!J654</f>
        <v/>
      </c>
      <c r="J654" s="93">
        <f>Accounts!S654</f>
        <v/>
      </c>
      <c r="K654" s="88" t="n"/>
      <c r="L654" s="95" t="n"/>
      <c r="M654" s="55" t="b">
        <v>0</v>
      </c>
      <c r="N654" s="96" t="b">
        <v>0</v>
      </c>
      <c r="O654" s="55" t="b">
        <v>0</v>
      </c>
      <c r="P654" s="55" t="b">
        <v>0</v>
      </c>
      <c r="Q654" s="55" t="b">
        <v>0</v>
      </c>
      <c r="R654" s="55" t="b">
        <v>0</v>
      </c>
      <c r="S654" s="55" t="b">
        <v>0</v>
      </c>
      <c r="T654" s="55" t="b">
        <v>0</v>
      </c>
      <c r="U654" s="55" t="b">
        <v>0</v>
      </c>
      <c r="V654" s="55" t="b">
        <v>0</v>
      </c>
    </row>
    <row r="655" ht="69" customHeight="1" s="211">
      <c r="A655" s="92">
        <f>Accounts!A655</f>
        <v/>
      </c>
      <c r="B655" s="12" t="b">
        <v>0</v>
      </c>
      <c r="C655" s="93">
        <f>Accounts!N655</f>
        <v/>
      </c>
      <c r="D655" s="94" t="n"/>
      <c r="E655" s="93">
        <f>Accounts!F655</f>
        <v/>
      </c>
      <c r="F655" s="94">
        <f>Accounts!Q655</f>
        <v/>
      </c>
      <c r="G655" s="94">
        <f>Accounts!R655</f>
        <v/>
      </c>
      <c r="H655" s="94">
        <f>Accounts!I655</f>
        <v/>
      </c>
      <c r="I655" s="94">
        <f>Accounts!J655</f>
        <v/>
      </c>
      <c r="J655" s="93">
        <f>Accounts!S655</f>
        <v/>
      </c>
      <c r="K655" s="88" t="n"/>
      <c r="L655" s="95" t="n"/>
      <c r="M655" s="55" t="b">
        <v>0</v>
      </c>
      <c r="N655" s="96" t="b">
        <v>0</v>
      </c>
      <c r="O655" s="55" t="b">
        <v>0</v>
      </c>
      <c r="P655" s="55" t="b">
        <v>0</v>
      </c>
      <c r="Q655" s="55" t="b">
        <v>0</v>
      </c>
      <c r="R655" s="55" t="b">
        <v>0</v>
      </c>
      <c r="S655" s="55" t="b">
        <v>0</v>
      </c>
      <c r="T655" s="55" t="b">
        <v>0</v>
      </c>
      <c r="U655" s="55" t="b">
        <v>0</v>
      </c>
      <c r="V655" s="55" t="b">
        <v>0</v>
      </c>
    </row>
    <row r="656" ht="69" customHeight="1" s="211">
      <c r="A656" s="92">
        <f>Accounts!A656</f>
        <v/>
      </c>
      <c r="B656" s="12" t="b">
        <v>0</v>
      </c>
      <c r="C656" s="93">
        <f>Accounts!N656</f>
        <v/>
      </c>
      <c r="D656" s="94" t="n"/>
      <c r="E656" s="93">
        <f>Accounts!F656</f>
        <v/>
      </c>
      <c r="F656" s="94">
        <f>Accounts!Q656</f>
        <v/>
      </c>
      <c r="G656" s="94">
        <f>Accounts!R656</f>
        <v/>
      </c>
      <c r="H656" s="94">
        <f>Accounts!I656</f>
        <v/>
      </c>
      <c r="I656" s="94">
        <f>Accounts!J656</f>
        <v/>
      </c>
      <c r="J656" s="93">
        <f>Accounts!S656</f>
        <v/>
      </c>
      <c r="K656" s="88" t="n"/>
      <c r="L656" s="95" t="n"/>
      <c r="M656" s="55" t="b">
        <v>0</v>
      </c>
      <c r="N656" s="96" t="b">
        <v>0</v>
      </c>
      <c r="O656" s="55" t="b">
        <v>0</v>
      </c>
      <c r="P656" s="55" t="b">
        <v>0</v>
      </c>
      <c r="Q656" s="55" t="b">
        <v>0</v>
      </c>
      <c r="R656" s="55" t="b">
        <v>0</v>
      </c>
      <c r="S656" s="55" t="b">
        <v>0</v>
      </c>
      <c r="T656" s="55" t="b">
        <v>0</v>
      </c>
      <c r="U656" s="55" t="b">
        <v>0</v>
      </c>
      <c r="V656" s="55" t="b">
        <v>0</v>
      </c>
    </row>
    <row r="657" ht="69" customHeight="1" s="211">
      <c r="A657" s="92">
        <f>Accounts!A657</f>
        <v/>
      </c>
      <c r="B657" s="12" t="b">
        <v>0</v>
      </c>
      <c r="C657" s="93">
        <f>Accounts!N657</f>
        <v/>
      </c>
      <c r="D657" s="94" t="n"/>
      <c r="E657" s="93">
        <f>Accounts!F657</f>
        <v/>
      </c>
      <c r="F657" s="94">
        <f>Accounts!Q657</f>
        <v/>
      </c>
      <c r="G657" s="94">
        <f>Accounts!R657</f>
        <v/>
      </c>
      <c r="H657" s="94">
        <f>Accounts!I657</f>
        <v/>
      </c>
      <c r="I657" s="94">
        <f>Accounts!J657</f>
        <v/>
      </c>
      <c r="J657" s="93">
        <f>Accounts!S657</f>
        <v/>
      </c>
      <c r="K657" s="88" t="n"/>
      <c r="L657" s="95" t="n"/>
      <c r="M657" s="55" t="b">
        <v>0</v>
      </c>
      <c r="N657" s="96" t="b">
        <v>0</v>
      </c>
      <c r="O657" s="55" t="b">
        <v>0</v>
      </c>
      <c r="P657" s="55" t="b">
        <v>0</v>
      </c>
      <c r="Q657" s="55" t="b">
        <v>0</v>
      </c>
      <c r="R657" s="55" t="b">
        <v>0</v>
      </c>
      <c r="S657" s="55" t="b">
        <v>0</v>
      </c>
      <c r="T657" s="55" t="b">
        <v>0</v>
      </c>
      <c r="U657" s="55" t="b">
        <v>0</v>
      </c>
      <c r="V657" s="55" t="b">
        <v>0</v>
      </c>
    </row>
    <row r="658" ht="69" customHeight="1" s="211">
      <c r="A658" s="92">
        <f>Accounts!A658</f>
        <v/>
      </c>
      <c r="B658" s="12" t="b">
        <v>0</v>
      </c>
      <c r="C658" s="93">
        <f>Accounts!N658</f>
        <v/>
      </c>
      <c r="D658" s="94" t="n"/>
      <c r="E658" s="93">
        <f>Accounts!F658</f>
        <v/>
      </c>
      <c r="F658" s="94">
        <f>Accounts!Q658</f>
        <v/>
      </c>
      <c r="G658" s="94">
        <f>Accounts!R658</f>
        <v/>
      </c>
      <c r="H658" s="94">
        <f>Accounts!I658</f>
        <v/>
      </c>
      <c r="I658" s="94">
        <f>Accounts!J658</f>
        <v/>
      </c>
      <c r="J658" s="93">
        <f>Accounts!S658</f>
        <v/>
      </c>
      <c r="K658" s="88" t="n"/>
      <c r="L658" s="95" t="n"/>
      <c r="M658" s="55" t="b">
        <v>0</v>
      </c>
      <c r="N658" s="96" t="b">
        <v>0</v>
      </c>
      <c r="O658" s="55" t="b">
        <v>0</v>
      </c>
      <c r="P658" s="55" t="b">
        <v>0</v>
      </c>
      <c r="Q658" s="55" t="b">
        <v>0</v>
      </c>
      <c r="R658" s="55" t="b">
        <v>0</v>
      </c>
      <c r="S658" s="55" t="b">
        <v>0</v>
      </c>
      <c r="T658" s="55" t="b">
        <v>0</v>
      </c>
      <c r="U658" s="55" t="b">
        <v>0</v>
      </c>
      <c r="V658" s="55" t="b">
        <v>0</v>
      </c>
    </row>
    <row r="659" ht="69" customHeight="1" s="211">
      <c r="A659" s="92">
        <f>Accounts!A659</f>
        <v/>
      </c>
      <c r="B659" s="12" t="b">
        <v>0</v>
      </c>
      <c r="C659" s="93">
        <f>Accounts!N659</f>
        <v/>
      </c>
      <c r="D659" s="94" t="n"/>
      <c r="E659" s="93">
        <f>Accounts!F659</f>
        <v/>
      </c>
      <c r="F659" s="94">
        <f>Accounts!Q659</f>
        <v/>
      </c>
      <c r="G659" s="94">
        <f>Accounts!R659</f>
        <v/>
      </c>
      <c r="H659" s="94">
        <f>Accounts!I659</f>
        <v/>
      </c>
      <c r="I659" s="94">
        <f>Accounts!J659</f>
        <v/>
      </c>
      <c r="J659" s="93">
        <f>Accounts!S659</f>
        <v/>
      </c>
      <c r="K659" s="88" t="n"/>
      <c r="L659" s="95" t="n"/>
      <c r="M659" s="55" t="b">
        <v>0</v>
      </c>
      <c r="N659" s="96" t="b">
        <v>0</v>
      </c>
      <c r="O659" s="55" t="b">
        <v>0</v>
      </c>
      <c r="P659" s="55" t="b">
        <v>0</v>
      </c>
      <c r="Q659" s="55" t="b">
        <v>0</v>
      </c>
      <c r="R659" s="55" t="b">
        <v>0</v>
      </c>
      <c r="S659" s="55" t="b">
        <v>0</v>
      </c>
      <c r="T659" s="55" t="b">
        <v>0</v>
      </c>
      <c r="U659" s="55" t="b">
        <v>0</v>
      </c>
      <c r="V659" s="55" t="b">
        <v>0</v>
      </c>
    </row>
    <row r="660" ht="69" customHeight="1" s="211">
      <c r="A660" s="92">
        <f>Accounts!A660</f>
        <v/>
      </c>
      <c r="B660" s="12" t="b">
        <v>0</v>
      </c>
      <c r="C660" s="93">
        <f>Accounts!N660</f>
        <v/>
      </c>
      <c r="D660" s="94" t="n"/>
      <c r="E660" s="93">
        <f>Accounts!F660</f>
        <v/>
      </c>
      <c r="F660" s="94">
        <f>Accounts!Q660</f>
        <v/>
      </c>
      <c r="G660" s="94">
        <f>Accounts!R660</f>
        <v/>
      </c>
      <c r="H660" s="94">
        <f>Accounts!I660</f>
        <v/>
      </c>
      <c r="I660" s="94">
        <f>Accounts!J660</f>
        <v/>
      </c>
      <c r="J660" s="93">
        <f>Accounts!S660</f>
        <v/>
      </c>
      <c r="K660" s="88" t="n"/>
      <c r="L660" s="95" t="n"/>
      <c r="M660" s="55" t="b">
        <v>0</v>
      </c>
      <c r="N660" s="96" t="b">
        <v>0</v>
      </c>
      <c r="O660" s="55" t="b">
        <v>0</v>
      </c>
      <c r="P660" s="55" t="b">
        <v>0</v>
      </c>
      <c r="Q660" s="55" t="b">
        <v>0</v>
      </c>
      <c r="R660" s="55" t="b">
        <v>0</v>
      </c>
      <c r="S660" s="55" t="b">
        <v>0</v>
      </c>
      <c r="T660" s="55" t="b">
        <v>0</v>
      </c>
      <c r="U660" s="55" t="b">
        <v>0</v>
      </c>
      <c r="V660" s="55" t="b">
        <v>0</v>
      </c>
    </row>
    <row r="661" ht="69" customHeight="1" s="211">
      <c r="A661" s="92">
        <f>Accounts!A661</f>
        <v/>
      </c>
      <c r="B661" s="12" t="b">
        <v>0</v>
      </c>
      <c r="C661" s="93">
        <f>Accounts!N661</f>
        <v/>
      </c>
      <c r="D661" s="94" t="n"/>
      <c r="E661" s="93">
        <f>Accounts!F661</f>
        <v/>
      </c>
      <c r="F661" s="94">
        <f>Accounts!Q661</f>
        <v/>
      </c>
      <c r="G661" s="94">
        <f>Accounts!R661</f>
        <v/>
      </c>
      <c r="H661" s="94">
        <f>Accounts!I661</f>
        <v/>
      </c>
      <c r="I661" s="94">
        <f>Accounts!J661</f>
        <v/>
      </c>
      <c r="J661" s="93">
        <f>Accounts!S661</f>
        <v/>
      </c>
      <c r="K661" s="88" t="n"/>
      <c r="L661" s="95" t="n"/>
      <c r="M661" s="55" t="b">
        <v>0</v>
      </c>
      <c r="N661" s="96" t="b">
        <v>0</v>
      </c>
      <c r="O661" s="55" t="b">
        <v>0</v>
      </c>
      <c r="P661" s="55" t="b">
        <v>0</v>
      </c>
      <c r="Q661" s="55" t="b">
        <v>0</v>
      </c>
      <c r="R661" s="55" t="b">
        <v>0</v>
      </c>
      <c r="S661" s="55" t="b">
        <v>0</v>
      </c>
      <c r="T661" s="55" t="b">
        <v>0</v>
      </c>
      <c r="U661" s="55" t="b">
        <v>0</v>
      </c>
      <c r="V661" s="55" t="b">
        <v>0</v>
      </c>
    </row>
    <row r="662" ht="69" customHeight="1" s="211">
      <c r="A662" s="92">
        <f>Accounts!A662</f>
        <v/>
      </c>
      <c r="B662" s="12" t="b">
        <v>0</v>
      </c>
      <c r="C662" s="93">
        <f>Accounts!N662</f>
        <v/>
      </c>
      <c r="D662" s="94" t="n"/>
      <c r="E662" s="93">
        <f>Accounts!F662</f>
        <v/>
      </c>
      <c r="F662" s="94">
        <f>Accounts!Q662</f>
        <v/>
      </c>
      <c r="G662" s="94">
        <f>Accounts!R662</f>
        <v/>
      </c>
      <c r="H662" s="94">
        <f>Accounts!I662</f>
        <v/>
      </c>
      <c r="I662" s="94">
        <f>Accounts!J662</f>
        <v/>
      </c>
      <c r="J662" s="93">
        <f>Accounts!S662</f>
        <v/>
      </c>
      <c r="K662" s="88" t="n"/>
      <c r="L662" s="95" t="n"/>
      <c r="M662" s="55" t="b">
        <v>0</v>
      </c>
      <c r="N662" s="96" t="b">
        <v>0</v>
      </c>
      <c r="O662" s="55" t="b">
        <v>0</v>
      </c>
      <c r="P662" s="55" t="b">
        <v>0</v>
      </c>
      <c r="Q662" s="55" t="b">
        <v>0</v>
      </c>
      <c r="R662" s="55" t="b">
        <v>0</v>
      </c>
      <c r="S662" s="55" t="b">
        <v>0</v>
      </c>
      <c r="T662" s="55" t="b">
        <v>0</v>
      </c>
      <c r="U662" s="55" t="b">
        <v>0</v>
      </c>
      <c r="V662" s="55" t="b">
        <v>0</v>
      </c>
    </row>
    <row r="663" ht="69" customHeight="1" s="211">
      <c r="A663" s="92">
        <f>Accounts!A663</f>
        <v/>
      </c>
      <c r="B663" s="12" t="b">
        <v>0</v>
      </c>
      <c r="C663" s="93">
        <f>Accounts!N663</f>
        <v/>
      </c>
      <c r="D663" s="94" t="n"/>
      <c r="E663" s="93">
        <f>Accounts!F663</f>
        <v/>
      </c>
      <c r="F663" s="94">
        <f>Accounts!Q663</f>
        <v/>
      </c>
      <c r="G663" s="94">
        <f>Accounts!R663</f>
        <v/>
      </c>
      <c r="H663" s="94">
        <f>Accounts!I663</f>
        <v/>
      </c>
      <c r="I663" s="94">
        <f>Accounts!J663</f>
        <v/>
      </c>
      <c r="J663" s="93">
        <f>Accounts!S663</f>
        <v/>
      </c>
      <c r="K663" s="88" t="n"/>
      <c r="L663" s="95" t="n"/>
      <c r="M663" s="55" t="b">
        <v>0</v>
      </c>
      <c r="N663" s="96" t="b">
        <v>0</v>
      </c>
      <c r="O663" s="55" t="b">
        <v>0</v>
      </c>
      <c r="P663" s="55" t="b">
        <v>0</v>
      </c>
      <c r="Q663" s="55" t="b">
        <v>0</v>
      </c>
      <c r="R663" s="55" t="b">
        <v>0</v>
      </c>
      <c r="S663" s="55" t="b">
        <v>0</v>
      </c>
      <c r="T663" s="55" t="b">
        <v>0</v>
      </c>
      <c r="U663" s="55" t="b">
        <v>0</v>
      </c>
      <c r="V663" s="55" t="b">
        <v>0</v>
      </c>
    </row>
    <row r="664" ht="69" customHeight="1" s="211">
      <c r="A664" s="92">
        <f>Accounts!A664</f>
        <v/>
      </c>
      <c r="B664" s="12" t="b">
        <v>0</v>
      </c>
      <c r="C664" s="93">
        <f>Accounts!N664</f>
        <v/>
      </c>
      <c r="D664" s="94" t="n"/>
      <c r="E664" s="93">
        <f>Accounts!F664</f>
        <v/>
      </c>
      <c r="F664" s="94">
        <f>Accounts!Q664</f>
        <v/>
      </c>
      <c r="G664" s="94">
        <f>Accounts!R664</f>
        <v/>
      </c>
      <c r="H664" s="94">
        <f>Accounts!I664</f>
        <v/>
      </c>
      <c r="I664" s="94">
        <f>Accounts!J664</f>
        <v/>
      </c>
      <c r="J664" s="93">
        <f>Accounts!S664</f>
        <v/>
      </c>
      <c r="K664" s="88" t="n"/>
      <c r="L664" s="95" t="n"/>
      <c r="M664" s="55" t="b">
        <v>0</v>
      </c>
      <c r="N664" s="96" t="b">
        <v>0</v>
      </c>
      <c r="O664" s="55" t="b">
        <v>0</v>
      </c>
      <c r="P664" s="55" t="b">
        <v>0</v>
      </c>
      <c r="Q664" s="55" t="b">
        <v>0</v>
      </c>
      <c r="R664" s="55" t="b">
        <v>0</v>
      </c>
      <c r="S664" s="55" t="b">
        <v>0</v>
      </c>
      <c r="T664" s="55" t="b">
        <v>0</v>
      </c>
      <c r="U664" s="55" t="b">
        <v>0</v>
      </c>
      <c r="V664" s="55" t="b">
        <v>0</v>
      </c>
    </row>
    <row r="665" ht="69" customHeight="1" s="211">
      <c r="A665" s="92">
        <f>Accounts!A665</f>
        <v/>
      </c>
      <c r="B665" s="12" t="b">
        <v>0</v>
      </c>
      <c r="C665" s="93">
        <f>Accounts!N665</f>
        <v/>
      </c>
      <c r="D665" s="94" t="n"/>
      <c r="E665" s="93">
        <f>Accounts!F665</f>
        <v/>
      </c>
      <c r="F665" s="94">
        <f>Accounts!Q665</f>
        <v/>
      </c>
      <c r="G665" s="94">
        <f>Accounts!R665</f>
        <v/>
      </c>
      <c r="H665" s="94">
        <f>Accounts!I665</f>
        <v/>
      </c>
      <c r="I665" s="94">
        <f>Accounts!J665</f>
        <v/>
      </c>
      <c r="J665" s="93">
        <f>Accounts!S665</f>
        <v/>
      </c>
      <c r="K665" s="88" t="n"/>
      <c r="L665" s="95" t="n"/>
      <c r="M665" s="55" t="b">
        <v>0</v>
      </c>
      <c r="N665" s="96" t="b">
        <v>0</v>
      </c>
      <c r="O665" s="55" t="b">
        <v>0</v>
      </c>
      <c r="P665" s="55" t="b">
        <v>0</v>
      </c>
      <c r="Q665" s="55" t="b">
        <v>0</v>
      </c>
      <c r="R665" s="55" t="b">
        <v>0</v>
      </c>
      <c r="S665" s="55" t="b">
        <v>0</v>
      </c>
      <c r="T665" s="55" t="b">
        <v>0</v>
      </c>
      <c r="U665" s="55" t="b">
        <v>0</v>
      </c>
      <c r="V665" s="55" t="b">
        <v>0</v>
      </c>
    </row>
    <row r="666" ht="69" customHeight="1" s="211">
      <c r="A666" s="92">
        <f>Accounts!A666</f>
        <v/>
      </c>
      <c r="B666" s="12" t="b">
        <v>0</v>
      </c>
      <c r="C666" s="93">
        <f>Accounts!N666</f>
        <v/>
      </c>
      <c r="D666" s="94" t="n"/>
      <c r="E666" s="93">
        <f>Accounts!F666</f>
        <v/>
      </c>
      <c r="F666" s="94">
        <f>Accounts!Q666</f>
        <v/>
      </c>
      <c r="G666" s="94">
        <f>Accounts!R666</f>
        <v/>
      </c>
      <c r="H666" s="94">
        <f>Accounts!I666</f>
        <v/>
      </c>
      <c r="I666" s="94">
        <f>Accounts!J666</f>
        <v/>
      </c>
      <c r="J666" s="93">
        <f>Accounts!S666</f>
        <v/>
      </c>
      <c r="K666" s="88" t="n"/>
      <c r="L666" s="95" t="n"/>
      <c r="M666" s="55" t="b">
        <v>0</v>
      </c>
      <c r="N666" s="96" t="b">
        <v>0</v>
      </c>
      <c r="O666" s="55" t="b">
        <v>0</v>
      </c>
      <c r="P666" s="55" t="b">
        <v>0</v>
      </c>
      <c r="Q666" s="55" t="b">
        <v>0</v>
      </c>
      <c r="R666" s="55" t="b">
        <v>0</v>
      </c>
      <c r="S666" s="55" t="b">
        <v>0</v>
      </c>
      <c r="T666" s="55" t="b">
        <v>0</v>
      </c>
      <c r="U666" s="55" t="b">
        <v>0</v>
      </c>
      <c r="V666" s="55" t="b">
        <v>0</v>
      </c>
    </row>
    <row r="667" ht="69" customHeight="1" s="211">
      <c r="A667" s="92">
        <f>Accounts!A667</f>
        <v/>
      </c>
      <c r="B667" s="12" t="b">
        <v>0</v>
      </c>
      <c r="C667" s="93">
        <f>Accounts!N667</f>
        <v/>
      </c>
      <c r="D667" s="94" t="n"/>
      <c r="E667" s="93">
        <f>Accounts!F667</f>
        <v/>
      </c>
      <c r="F667" s="94">
        <f>Accounts!Q667</f>
        <v/>
      </c>
      <c r="G667" s="94">
        <f>Accounts!R667</f>
        <v/>
      </c>
      <c r="H667" s="94">
        <f>Accounts!I667</f>
        <v/>
      </c>
      <c r="I667" s="94">
        <f>Accounts!J667</f>
        <v/>
      </c>
      <c r="J667" s="93">
        <f>Accounts!S667</f>
        <v/>
      </c>
      <c r="K667" s="88" t="n"/>
      <c r="L667" s="95" t="n"/>
      <c r="M667" s="55" t="b">
        <v>0</v>
      </c>
      <c r="N667" s="96" t="b">
        <v>0</v>
      </c>
      <c r="O667" s="55" t="b">
        <v>0</v>
      </c>
      <c r="P667" s="55" t="b">
        <v>0</v>
      </c>
      <c r="Q667" s="55" t="b">
        <v>0</v>
      </c>
      <c r="R667" s="55" t="b">
        <v>0</v>
      </c>
      <c r="S667" s="55" t="b">
        <v>0</v>
      </c>
      <c r="T667" s="55" t="b">
        <v>0</v>
      </c>
      <c r="U667" s="55" t="b">
        <v>0</v>
      </c>
      <c r="V667" s="55" t="b">
        <v>0</v>
      </c>
    </row>
    <row r="668" ht="69" customHeight="1" s="211">
      <c r="A668" s="92">
        <f>Accounts!A668</f>
        <v/>
      </c>
      <c r="B668" s="12" t="b">
        <v>0</v>
      </c>
      <c r="C668" s="93">
        <f>Accounts!N668</f>
        <v/>
      </c>
      <c r="D668" s="94" t="n"/>
      <c r="E668" s="93">
        <f>Accounts!F668</f>
        <v/>
      </c>
      <c r="F668" s="94">
        <f>Accounts!Q668</f>
        <v/>
      </c>
      <c r="G668" s="94">
        <f>Accounts!R668</f>
        <v/>
      </c>
      <c r="H668" s="94">
        <f>Accounts!I668</f>
        <v/>
      </c>
      <c r="I668" s="94">
        <f>Accounts!J668</f>
        <v/>
      </c>
      <c r="J668" s="93">
        <f>Accounts!S668</f>
        <v/>
      </c>
      <c r="K668" s="88" t="n"/>
      <c r="L668" s="95" t="n"/>
      <c r="M668" s="55" t="b">
        <v>0</v>
      </c>
      <c r="N668" s="96" t="b">
        <v>0</v>
      </c>
      <c r="O668" s="55" t="b">
        <v>0</v>
      </c>
      <c r="P668" s="55" t="b">
        <v>0</v>
      </c>
      <c r="Q668" s="55" t="b">
        <v>0</v>
      </c>
      <c r="R668" s="55" t="b">
        <v>0</v>
      </c>
      <c r="S668" s="55" t="b">
        <v>0</v>
      </c>
      <c r="T668" s="55" t="b">
        <v>0</v>
      </c>
      <c r="U668" s="55" t="b">
        <v>0</v>
      </c>
      <c r="V668" s="55" t="b">
        <v>0</v>
      </c>
    </row>
    <row r="669" ht="69" customHeight="1" s="211">
      <c r="A669" s="92">
        <f>Accounts!A669</f>
        <v/>
      </c>
      <c r="B669" s="12" t="b">
        <v>0</v>
      </c>
      <c r="C669" s="93">
        <f>Accounts!N669</f>
        <v/>
      </c>
      <c r="D669" s="94" t="n"/>
      <c r="E669" s="93">
        <f>Accounts!F669</f>
        <v/>
      </c>
      <c r="F669" s="94">
        <f>Accounts!Q669</f>
        <v/>
      </c>
      <c r="G669" s="94">
        <f>Accounts!R669</f>
        <v/>
      </c>
      <c r="H669" s="94">
        <f>Accounts!I669</f>
        <v/>
      </c>
      <c r="I669" s="94">
        <f>Accounts!J669</f>
        <v/>
      </c>
      <c r="J669" s="93">
        <f>Accounts!S669</f>
        <v/>
      </c>
      <c r="K669" s="88" t="n"/>
      <c r="L669" s="95" t="n"/>
      <c r="M669" s="55" t="b">
        <v>0</v>
      </c>
      <c r="N669" s="96" t="b">
        <v>0</v>
      </c>
      <c r="O669" s="55" t="b">
        <v>0</v>
      </c>
      <c r="P669" s="55" t="b">
        <v>0</v>
      </c>
      <c r="Q669" s="55" t="b">
        <v>0</v>
      </c>
      <c r="R669" s="55" t="b">
        <v>0</v>
      </c>
      <c r="S669" s="55" t="b">
        <v>0</v>
      </c>
      <c r="T669" s="55" t="b">
        <v>0</v>
      </c>
      <c r="U669" s="55" t="b">
        <v>0</v>
      </c>
      <c r="V669" s="55" t="b">
        <v>0</v>
      </c>
    </row>
    <row r="670" ht="69" customHeight="1" s="211">
      <c r="A670" s="92">
        <f>Accounts!A670</f>
        <v/>
      </c>
      <c r="B670" s="12" t="b">
        <v>0</v>
      </c>
      <c r="C670" s="93">
        <f>Accounts!N670</f>
        <v/>
      </c>
      <c r="D670" s="94" t="n"/>
      <c r="E670" s="93">
        <f>Accounts!F670</f>
        <v/>
      </c>
      <c r="F670" s="94">
        <f>Accounts!Q670</f>
        <v/>
      </c>
      <c r="G670" s="94">
        <f>Accounts!R670</f>
        <v/>
      </c>
      <c r="H670" s="94">
        <f>Accounts!I670</f>
        <v/>
      </c>
      <c r="I670" s="94">
        <f>Accounts!J670</f>
        <v/>
      </c>
      <c r="J670" s="93">
        <f>Accounts!S670</f>
        <v/>
      </c>
      <c r="K670" s="88" t="n"/>
      <c r="L670" s="95" t="n"/>
      <c r="M670" s="55" t="b">
        <v>0</v>
      </c>
      <c r="N670" s="96" t="b">
        <v>0</v>
      </c>
      <c r="O670" s="55" t="b">
        <v>0</v>
      </c>
      <c r="P670" s="55" t="b">
        <v>0</v>
      </c>
      <c r="Q670" s="55" t="b">
        <v>0</v>
      </c>
      <c r="R670" s="55" t="b">
        <v>0</v>
      </c>
      <c r="S670" s="55" t="b">
        <v>0</v>
      </c>
      <c r="T670" s="55" t="b">
        <v>0</v>
      </c>
      <c r="U670" s="55" t="b">
        <v>0</v>
      </c>
      <c r="V670" s="55" t="b">
        <v>0</v>
      </c>
    </row>
    <row r="671" ht="69" customHeight="1" s="211">
      <c r="A671" s="92">
        <f>Accounts!A671</f>
        <v/>
      </c>
      <c r="B671" s="12" t="b">
        <v>0</v>
      </c>
      <c r="C671" s="93">
        <f>Accounts!N671</f>
        <v/>
      </c>
      <c r="D671" s="94" t="n"/>
      <c r="E671" s="93">
        <f>Accounts!F671</f>
        <v/>
      </c>
      <c r="F671" s="94">
        <f>Accounts!Q671</f>
        <v/>
      </c>
      <c r="G671" s="94">
        <f>Accounts!R671</f>
        <v/>
      </c>
      <c r="H671" s="94">
        <f>Accounts!I671</f>
        <v/>
      </c>
      <c r="I671" s="94">
        <f>Accounts!J671</f>
        <v/>
      </c>
      <c r="J671" s="93">
        <f>Accounts!S671</f>
        <v/>
      </c>
      <c r="K671" s="88" t="n"/>
      <c r="L671" s="95" t="n"/>
      <c r="M671" s="55" t="b">
        <v>0</v>
      </c>
      <c r="N671" s="96" t="b">
        <v>0</v>
      </c>
      <c r="O671" s="55" t="b">
        <v>0</v>
      </c>
      <c r="P671" s="55" t="b">
        <v>0</v>
      </c>
      <c r="Q671" s="55" t="b">
        <v>0</v>
      </c>
      <c r="R671" s="55" t="b">
        <v>0</v>
      </c>
      <c r="S671" s="55" t="b">
        <v>0</v>
      </c>
      <c r="T671" s="55" t="b">
        <v>0</v>
      </c>
      <c r="U671" s="55" t="b">
        <v>0</v>
      </c>
      <c r="V671" s="55" t="b">
        <v>0</v>
      </c>
    </row>
    <row r="672" ht="69" customHeight="1" s="211">
      <c r="A672" s="92">
        <f>Accounts!A672</f>
        <v/>
      </c>
      <c r="B672" s="12" t="b">
        <v>0</v>
      </c>
      <c r="C672" s="93">
        <f>Accounts!N672</f>
        <v/>
      </c>
      <c r="D672" s="94" t="n"/>
      <c r="E672" s="93">
        <f>Accounts!F672</f>
        <v/>
      </c>
      <c r="F672" s="94">
        <f>Accounts!Q672</f>
        <v/>
      </c>
      <c r="G672" s="94">
        <f>Accounts!R672</f>
        <v/>
      </c>
      <c r="H672" s="94">
        <f>Accounts!I672</f>
        <v/>
      </c>
      <c r="I672" s="94">
        <f>Accounts!J672</f>
        <v/>
      </c>
      <c r="J672" s="93">
        <f>Accounts!S672</f>
        <v/>
      </c>
      <c r="K672" s="88" t="n"/>
      <c r="L672" s="95" t="n"/>
      <c r="M672" s="55" t="b">
        <v>0</v>
      </c>
      <c r="N672" s="96" t="b">
        <v>0</v>
      </c>
      <c r="O672" s="55" t="b">
        <v>0</v>
      </c>
      <c r="P672" s="55" t="b">
        <v>0</v>
      </c>
      <c r="Q672" s="55" t="b">
        <v>0</v>
      </c>
      <c r="R672" s="55" t="b">
        <v>0</v>
      </c>
      <c r="S672" s="55" t="b">
        <v>0</v>
      </c>
      <c r="T672" s="55" t="b">
        <v>0</v>
      </c>
      <c r="U672" s="55" t="b">
        <v>0</v>
      </c>
      <c r="V672" s="55" t="b">
        <v>0</v>
      </c>
    </row>
    <row r="673" ht="69" customHeight="1" s="211">
      <c r="A673" s="92">
        <f>Accounts!A673</f>
        <v/>
      </c>
      <c r="B673" s="12" t="b">
        <v>0</v>
      </c>
      <c r="C673" s="93">
        <f>Accounts!N673</f>
        <v/>
      </c>
      <c r="D673" s="94" t="n"/>
      <c r="E673" s="93">
        <f>Accounts!F673</f>
        <v/>
      </c>
      <c r="F673" s="94">
        <f>Accounts!Q673</f>
        <v/>
      </c>
      <c r="G673" s="94">
        <f>Accounts!R673</f>
        <v/>
      </c>
      <c r="H673" s="94">
        <f>Accounts!I673</f>
        <v/>
      </c>
      <c r="I673" s="94">
        <f>Accounts!J673</f>
        <v/>
      </c>
      <c r="J673" s="93">
        <f>Accounts!S673</f>
        <v/>
      </c>
      <c r="K673" s="88" t="n"/>
      <c r="L673" s="95" t="n"/>
      <c r="M673" s="55" t="b">
        <v>0</v>
      </c>
      <c r="N673" s="96" t="b">
        <v>0</v>
      </c>
      <c r="O673" s="55" t="b">
        <v>0</v>
      </c>
      <c r="P673" s="55" t="b">
        <v>0</v>
      </c>
      <c r="Q673" s="55" t="b">
        <v>0</v>
      </c>
      <c r="R673" s="55" t="b">
        <v>0</v>
      </c>
      <c r="S673" s="55" t="b">
        <v>0</v>
      </c>
      <c r="T673" s="55" t="b">
        <v>0</v>
      </c>
      <c r="U673" s="55" t="b">
        <v>0</v>
      </c>
      <c r="V673" s="55" t="b">
        <v>0</v>
      </c>
    </row>
    <row r="674" ht="69" customHeight="1" s="211">
      <c r="A674" s="92">
        <f>Accounts!A674</f>
        <v/>
      </c>
      <c r="B674" s="12" t="b">
        <v>0</v>
      </c>
      <c r="C674" s="93">
        <f>Accounts!N674</f>
        <v/>
      </c>
      <c r="D674" s="94" t="n"/>
      <c r="E674" s="93">
        <f>Accounts!F674</f>
        <v/>
      </c>
      <c r="F674" s="94">
        <f>Accounts!Q674</f>
        <v/>
      </c>
      <c r="G674" s="94">
        <f>Accounts!R674</f>
        <v/>
      </c>
      <c r="H674" s="94">
        <f>Accounts!I674</f>
        <v/>
      </c>
      <c r="I674" s="94">
        <f>Accounts!J674</f>
        <v/>
      </c>
      <c r="J674" s="93">
        <f>Accounts!S674</f>
        <v/>
      </c>
      <c r="K674" s="88" t="n"/>
      <c r="L674" s="95" t="n"/>
      <c r="M674" s="55" t="b">
        <v>0</v>
      </c>
      <c r="N674" s="96" t="b">
        <v>0</v>
      </c>
      <c r="O674" s="55" t="b">
        <v>0</v>
      </c>
      <c r="P674" s="55" t="b">
        <v>0</v>
      </c>
      <c r="Q674" s="55" t="b">
        <v>0</v>
      </c>
      <c r="R674" s="55" t="b">
        <v>0</v>
      </c>
      <c r="S674" s="55" t="b">
        <v>0</v>
      </c>
      <c r="T674" s="55" t="b">
        <v>0</v>
      </c>
      <c r="U674" s="55" t="b">
        <v>0</v>
      </c>
      <c r="V674" s="55" t="b">
        <v>0</v>
      </c>
    </row>
    <row r="675" ht="69" customHeight="1" s="211">
      <c r="A675" s="92">
        <f>Accounts!A675</f>
        <v/>
      </c>
      <c r="B675" s="12" t="b">
        <v>0</v>
      </c>
      <c r="C675" s="93">
        <f>Accounts!N675</f>
        <v/>
      </c>
      <c r="D675" s="94" t="n"/>
      <c r="E675" s="93">
        <f>Accounts!F675</f>
        <v/>
      </c>
      <c r="F675" s="94">
        <f>Accounts!Q675</f>
        <v/>
      </c>
      <c r="G675" s="94">
        <f>Accounts!R675</f>
        <v/>
      </c>
      <c r="H675" s="94">
        <f>Accounts!I675</f>
        <v/>
      </c>
      <c r="I675" s="94">
        <f>Accounts!J675</f>
        <v/>
      </c>
      <c r="J675" s="93">
        <f>Accounts!S675</f>
        <v/>
      </c>
      <c r="K675" s="88" t="n"/>
      <c r="L675" s="95" t="n"/>
      <c r="M675" s="55" t="b">
        <v>0</v>
      </c>
      <c r="N675" s="96" t="b">
        <v>0</v>
      </c>
      <c r="O675" s="55" t="b">
        <v>0</v>
      </c>
      <c r="P675" s="55" t="b">
        <v>0</v>
      </c>
      <c r="Q675" s="55" t="b">
        <v>0</v>
      </c>
      <c r="R675" s="55" t="b">
        <v>0</v>
      </c>
      <c r="S675" s="55" t="b">
        <v>0</v>
      </c>
      <c r="T675" s="55" t="b">
        <v>0</v>
      </c>
      <c r="U675" s="55" t="b">
        <v>0</v>
      </c>
      <c r="V675" s="55" t="b">
        <v>0</v>
      </c>
    </row>
    <row r="676" ht="69" customHeight="1" s="211">
      <c r="A676" s="92">
        <f>Accounts!A676</f>
        <v/>
      </c>
      <c r="B676" s="12" t="b">
        <v>0</v>
      </c>
      <c r="C676" s="93">
        <f>Accounts!N676</f>
        <v/>
      </c>
      <c r="D676" s="94" t="n"/>
      <c r="E676" s="93">
        <f>Accounts!F676</f>
        <v/>
      </c>
      <c r="F676" s="94">
        <f>Accounts!Q676</f>
        <v/>
      </c>
      <c r="G676" s="94">
        <f>Accounts!R676</f>
        <v/>
      </c>
      <c r="H676" s="94">
        <f>Accounts!I676</f>
        <v/>
      </c>
      <c r="I676" s="94">
        <f>Accounts!J676</f>
        <v/>
      </c>
      <c r="J676" s="93">
        <f>Accounts!S676</f>
        <v/>
      </c>
      <c r="K676" s="88" t="n"/>
      <c r="L676" s="95" t="n"/>
      <c r="M676" s="55" t="b">
        <v>0</v>
      </c>
      <c r="N676" s="96" t="b">
        <v>0</v>
      </c>
      <c r="O676" s="55" t="b">
        <v>0</v>
      </c>
      <c r="P676" s="55" t="b">
        <v>0</v>
      </c>
      <c r="Q676" s="55" t="b">
        <v>0</v>
      </c>
      <c r="R676" s="55" t="b">
        <v>0</v>
      </c>
      <c r="S676" s="55" t="b">
        <v>0</v>
      </c>
      <c r="T676" s="55" t="b">
        <v>0</v>
      </c>
      <c r="U676" s="55" t="b">
        <v>0</v>
      </c>
      <c r="V676" s="55" t="b">
        <v>0</v>
      </c>
    </row>
    <row r="677" ht="69" customHeight="1" s="211">
      <c r="A677" s="92">
        <f>Accounts!A677</f>
        <v/>
      </c>
      <c r="B677" s="12" t="b">
        <v>0</v>
      </c>
      <c r="C677" s="93">
        <f>Accounts!N677</f>
        <v/>
      </c>
      <c r="D677" s="94" t="n"/>
      <c r="E677" s="93">
        <f>Accounts!F677</f>
        <v/>
      </c>
      <c r="F677" s="94">
        <f>Accounts!Q677</f>
        <v/>
      </c>
      <c r="G677" s="94">
        <f>Accounts!R677</f>
        <v/>
      </c>
      <c r="H677" s="94">
        <f>Accounts!I677</f>
        <v/>
      </c>
      <c r="I677" s="94">
        <f>Accounts!J677</f>
        <v/>
      </c>
      <c r="J677" s="93">
        <f>Accounts!S677</f>
        <v/>
      </c>
      <c r="K677" s="88" t="n"/>
      <c r="L677" s="95" t="n"/>
      <c r="M677" s="55" t="b">
        <v>0</v>
      </c>
      <c r="N677" s="96" t="b">
        <v>0</v>
      </c>
      <c r="O677" s="55" t="b">
        <v>0</v>
      </c>
      <c r="P677" s="55" t="b">
        <v>0</v>
      </c>
      <c r="Q677" s="55" t="b">
        <v>0</v>
      </c>
      <c r="R677" s="55" t="b">
        <v>0</v>
      </c>
      <c r="S677" s="55" t="b">
        <v>0</v>
      </c>
      <c r="T677" s="55" t="b">
        <v>0</v>
      </c>
      <c r="U677" s="55" t="b">
        <v>0</v>
      </c>
      <c r="V677" s="55" t="b">
        <v>0</v>
      </c>
    </row>
    <row r="678" ht="69" customHeight="1" s="211">
      <c r="A678" s="92">
        <f>Accounts!A678</f>
        <v/>
      </c>
      <c r="B678" s="12" t="b">
        <v>0</v>
      </c>
      <c r="C678" s="93">
        <f>Accounts!N678</f>
        <v/>
      </c>
      <c r="D678" s="94" t="n"/>
      <c r="E678" s="93">
        <f>Accounts!F678</f>
        <v/>
      </c>
      <c r="F678" s="94">
        <f>Accounts!Q678</f>
        <v/>
      </c>
      <c r="G678" s="94">
        <f>Accounts!R678</f>
        <v/>
      </c>
      <c r="H678" s="94">
        <f>Accounts!I678</f>
        <v/>
      </c>
      <c r="I678" s="94">
        <f>Accounts!J678</f>
        <v/>
      </c>
      <c r="J678" s="93">
        <f>Accounts!S678</f>
        <v/>
      </c>
      <c r="K678" s="88" t="n"/>
      <c r="L678" s="95" t="n"/>
      <c r="M678" s="55" t="b">
        <v>0</v>
      </c>
      <c r="N678" s="96" t="b">
        <v>0</v>
      </c>
      <c r="O678" s="55" t="b">
        <v>0</v>
      </c>
      <c r="P678" s="55" t="b">
        <v>0</v>
      </c>
      <c r="Q678" s="55" t="b">
        <v>0</v>
      </c>
      <c r="R678" s="55" t="b">
        <v>0</v>
      </c>
      <c r="S678" s="55" t="b">
        <v>0</v>
      </c>
      <c r="T678" s="55" t="b">
        <v>0</v>
      </c>
      <c r="U678" s="55" t="b">
        <v>0</v>
      </c>
      <c r="V678" s="55" t="b">
        <v>0</v>
      </c>
    </row>
    <row r="679" ht="69" customHeight="1" s="211">
      <c r="A679" s="92">
        <f>Accounts!A679</f>
        <v/>
      </c>
      <c r="B679" s="12" t="b">
        <v>0</v>
      </c>
      <c r="C679" s="93">
        <f>Accounts!N679</f>
        <v/>
      </c>
      <c r="D679" s="94" t="n"/>
      <c r="E679" s="93">
        <f>Accounts!F679</f>
        <v/>
      </c>
      <c r="F679" s="94">
        <f>Accounts!Q679</f>
        <v/>
      </c>
      <c r="G679" s="94">
        <f>Accounts!R679</f>
        <v/>
      </c>
      <c r="H679" s="94">
        <f>Accounts!I679</f>
        <v/>
      </c>
      <c r="I679" s="94">
        <f>Accounts!J679</f>
        <v/>
      </c>
      <c r="J679" s="93">
        <f>Accounts!S679</f>
        <v/>
      </c>
      <c r="K679" s="88" t="n"/>
      <c r="L679" s="95" t="n"/>
      <c r="M679" s="55" t="b">
        <v>0</v>
      </c>
      <c r="N679" s="96" t="b">
        <v>0</v>
      </c>
      <c r="O679" s="55" t="b">
        <v>0</v>
      </c>
      <c r="P679" s="55" t="b">
        <v>0</v>
      </c>
      <c r="Q679" s="55" t="b">
        <v>0</v>
      </c>
      <c r="R679" s="55" t="b">
        <v>0</v>
      </c>
      <c r="S679" s="55" t="b">
        <v>0</v>
      </c>
      <c r="T679" s="55" t="b">
        <v>0</v>
      </c>
      <c r="U679" s="55" t="b">
        <v>0</v>
      </c>
      <c r="V679" s="55" t="b">
        <v>0</v>
      </c>
    </row>
    <row r="680" ht="69" customHeight="1" s="211">
      <c r="A680" s="92">
        <f>Accounts!A680</f>
        <v/>
      </c>
      <c r="B680" s="12" t="b">
        <v>0</v>
      </c>
      <c r="C680" s="93">
        <f>Accounts!N680</f>
        <v/>
      </c>
      <c r="D680" s="94" t="n"/>
      <c r="E680" s="93">
        <f>Accounts!F680</f>
        <v/>
      </c>
      <c r="F680" s="94">
        <f>Accounts!Q680</f>
        <v/>
      </c>
      <c r="G680" s="94">
        <f>Accounts!R680</f>
        <v/>
      </c>
      <c r="H680" s="94">
        <f>Accounts!I680</f>
        <v/>
      </c>
      <c r="I680" s="94">
        <f>Accounts!J680</f>
        <v/>
      </c>
      <c r="J680" s="93">
        <f>Accounts!S680</f>
        <v/>
      </c>
      <c r="K680" s="88" t="n"/>
      <c r="L680" s="95" t="n"/>
      <c r="M680" s="55" t="b">
        <v>0</v>
      </c>
      <c r="N680" s="96" t="b">
        <v>0</v>
      </c>
      <c r="O680" s="55" t="b">
        <v>0</v>
      </c>
      <c r="P680" s="55" t="b">
        <v>0</v>
      </c>
      <c r="Q680" s="55" t="b">
        <v>0</v>
      </c>
      <c r="R680" s="55" t="b">
        <v>0</v>
      </c>
      <c r="S680" s="55" t="b">
        <v>0</v>
      </c>
      <c r="T680" s="55" t="b">
        <v>0</v>
      </c>
      <c r="U680" s="55" t="b">
        <v>0</v>
      </c>
      <c r="V680" s="55" t="b">
        <v>0</v>
      </c>
    </row>
    <row r="681" ht="69" customHeight="1" s="211">
      <c r="A681" s="92">
        <f>Accounts!A681</f>
        <v/>
      </c>
      <c r="B681" s="12" t="b">
        <v>0</v>
      </c>
      <c r="C681" s="93">
        <f>Accounts!N681</f>
        <v/>
      </c>
      <c r="D681" s="94" t="n"/>
      <c r="E681" s="93">
        <f>Accounts!F681</f>
        <v/>
      </c>
      <c r="F681" s="94">
        <f>Accounts!Q681</f>
        <v/>
      </c>
      <c r="G681" s="94">
        <f>Accounts!R681</f>
        <v/>
      </c>
      <c r="H681" s="94">
        <f>Accounts!I681</f>
        <v/>
      </c>
      <c r="I681" s="94">
        <f>Accounts!J681</f>
        <v/>
      </c>
      <c r="J681" s="93">
        <f>Accounts!S681</f>
        <v/>
      </c>
      <c r="K681" s="88" t="n"/>
      <c r="L681" s="95" t="n"/>
      <c r="M681" s="55" t="b">
        <v>0</v>
      </c>
      <c r="N681" s="96" t="b">
        <v>0</v>
      </c>
      <c r="O681" s="55" t="b">
        <v>0</v>
      </c>
      <c r="P681" s="55" t="b">
        <v>0</v>
      </c>
      <c r="Q681" s="55" t="b">
        <v>0</v>
      </c>
      <c r="R681" s="55" t="b">
        <v>0</v>
      </c>
      <c r="S681" s="55" t="b">
        <v>0</v>
      </c>
      <c r="T681" s="55" t="b">
        <v>0</v>
      </c>
      <c r="U681" s="55" t="b">
        <v>0</v>
      </c>
      <c r="V681" s="55" t="b">
        <v>0</v>
      </c>
    </row>
    <row r="682" ht="69" customHeight="1" s="211">
      <c r="A682" s="92">
        <f>Accounts!A682</f>
        <v/>
      </c>
      <c r="B682" s="12" t="b">
        <v>0</v>
      </c>
      <c r="C682" s="93">
        <f>Accounts!N682</f>
        <v/>
      </c>
      <c r="D682" s="94" t="n"/>
      <c r="E682" s="93">
        <f>Accounts!F682</f>
        <v/>
      </c>
      <c r="F682" s="94">
        <f>Accounts!Q682</f>
        <v/>
      </c>
      <c r="G682" s="94">
        <f>Accounts!R682</f>
        <v/>
      </c>
      <c r="H682" s="94">
        <f>Accounts!I682</f>
        <v/>
      </c>
      <c r="I682" s="94">
        <f>Accounts!J682</f>
        <v/>
      </c>
      <c r="J682" s="93">
        <f>Accounts!S682</f>
        <v/>
      </c>
      <c r="K682" s="88" t="n"/>
      <c r="L682" s="95" t="n"/>
      <c r="M682" s="55" t="b">
        <v>0</v>
      </c>
      <c r="N682" s="96" t="b">
        <v>0</v>
      </c>
      <c r="O682" s="55" t="b">
        <v>0</v>
      </c>
      <c r="P682" s="55" t="b">
        <v>0</v>
      </c>
      <c r="Q682" s="55" t="b">
        <v>0</v>
      </c>
      <c r="R682" s="55" t="b">
        <v>0</v>
      </c>
      <c r="S682" s="55" t="b">
        <v>0</v>
      </c>
      <c r="T682" s="55" t="b">
        <v>0</v>
      </c>
      <c r="U682" s="55" t="b">
        <v>0</v>
      </c>
      <c r="V682" s="55" t="b">
        <v>0</v>
      </c>
    </row>
    <row r="683" ht="69" customHeight="1" s="211">
      <c r="A683" s="92">
        <f>Accounts!A683</f>
        <v/>
      </c>
      <c r="B683" s="12" t="b">
        <v>0</v>
      </c>
      <c r="C683" s="93">
        <f>Accounts!N683</f>
        <v/>
      </c>
      <c r="D683" s="94" t="n"/>
      <c r="E683" s="93">
        <f>Accounts!F683</f>
        <v/>
      </c>
      <c r="F683" s="94">
        <f>Accounts!Q683</f>
        <v/>
      </c>
      <c r="G683" s="94">
        <f>Accounts!R683</f>
        <v/>
      </c>
      <c r="H683" s="94">
        <f>Accounts!I683</f>
        <v/>
      </c>
      <c r="I683" s="94">
        <f>Accounts!J683</f>
        <v/>
      </c>
      <c r="J683" s="93">
        <f>Accounts!S683</f>
        <v/>
      </c>
      <c r="K683" s="88" t="n"/>
      <c r="L683" s="95" t="n"/>
      <c r="M683" s="55" t="b">
        <v>0</v>
      </c>
      <c r="N683" s="96" t="b">
        <v>0</v>
      </c>
      <c r="O683" s="55" t="b">
        <v>0</v>
      </c>
      <c r="P683" s="55" t="b">
        <v>0</v>
      </c>
      <c r="Q683" s="55" t="b">
        <v>0</v>
      </c>
      <c r="R683" s="55" t="b">
        <v>0</v>
      </c>
      <c r="S683" s="55" t="b">
        <v>0</v>
      </c>
      <c r="T683" s="55" t="b">
        <v>0</v>
      </c>
      <c r="U683" s="55" t="b">
        <v>0</v>
      </c>
      <c r="V683" s="55" t="b">
        <v>0</v>
      </c>
    </row>
    <row r="684" ht="69" customHeight="1" s="211">
      <c r="A684" s="92">
        <f>Accounts!A684</f>
        <v/>
      </c>
      <c r="B684" s="12" t="b">
        <v>0</v>
      </c>
      <c r="C684" s="93">
        <f>Accounts!N684</f>
        <v/>
      </c>
      <c r="D684" s="94" t="n"/>
      <c r="E684" s="93">
        <f>Accounts!F684</f>
        <v/>
      </c>
      <c r="F684" s="94">
        <f>Accounts!Q684</f>
        <v/>
      </c>
      <c r="G684" s="94">
        <f>Accounts!R684</f>
        <v/>
      </c>
      <c r="H684" s="94">
        <f>Accounts!I684</f>
        <v/>
      </c>
      <c r="I684" s="94">
        <f>Accounts!J684</f>
        <v/>
      </c>
      <c r="J684" s="93">
        <f>Accounts!S684</f>
        <v/>
      </c>
      <c r="K684" s="88" t="n"/>
      <c r="L684" s="95" t="n"/>
      <c r="M684" s="55" t="b">
        <v>0</v>
      </c>
      <c r="N684" s="96" t="b">
        <v>0</v>
      </c>
      <c r="O684" s="55" t="b">
        <v>0</v>
      </c>
      <c r="P684" s="55" t="b">
        <v>0</v>
      </c>
      <c r="Q684" s="55" t="b">
        <v>0</v>
      </c>
      <c r="R684" s="55" t="b">
        <v>0</v>
      </c>
      <c r="S684" s="55" t="b">
        <v>0</v>
      </c>
      <c r="T684" s="55" t="b">
        <v>0</v>
      </c>
      <c r="U684" s="55" t="b">
        <v>0</v>
      </c>
      <c r="V684" s="55" t="b">
        <v>0</v>
      </c>
    </row>
    <row r="685" ht="69" customHeight="1" s="211">
      <c r="A685" s="92">
        <f>Accounts!A685</f>
        <v/>
      </c>
      <c r="B685" s="12" t="b">
        <v>0</v>
      </c>
      <c r="C685" s="93">
        <f>Accounts!N685</f>
        <v/>
      </c>
      <c r="D685" s="94" t="n"/>
      <c r="E685" s="93">
        <f>Accounts!F685</f>
        <v/>
      </c>
      <c r="F685" s="94">
        <f>Accounts!Q685</f>
        <v/>
      </c>
      <c r="G685" s="94">
        <f>Accounts!R685</f>
        <v/>
      </c>
      <c r="H685" s="94">
        <f>Accounts!I685</f>
        <v/>
      </c>
      <c r="I685" s="94">
        <f>Accounts!J685</f>
        <v/>
      </c>
      <c r="J685" s="93">
        <f>Accounts!S685</f>
        <v/>
      </c>
      <c r="K685" s="88" t="n"/>
      <c r="L685" s="95" t="n"/>
      <c r="M685" s="55" t="b">
        <v>0</v>
      </c>
      <c r="N685" s="96" t="b">
        <v>0</v>
      </c>
      <c r="O685" s="55" t="b">
        <v>0</v>
      </c>
      <c r="P685" s="55" t="b">
        <v>0</v>
      </c>
      <c r="Q685" s="55" t="b">
        <v>0</v>
      </c>
      <c r="R685" s="55" t="b">
        <v>0</v>
      </c>
      <c r="S685" s="55" t="b">
        <v>0</v>
      </c>
      <c r="T685" s="55" t="b">
        <v>0</v>
      </c>
      <c r="U685" s="55" t="b">
        <v>0</v>
      </c>
      <c r="V685" s="55" t="b">
        <v>0</v>
      </c>
    </row>
    <row r="686" ht="69" customHeight="1" s="211">
      <c r="A686" s="92">
        <f>Accounts!A686</f>
        <v/>
      </c>
      <c r="B686" s="12" t="b">
        <v>0</v>
      </c>
      <c r="C686" s="93">
        <f>Accounts!N686</f>
        <v/>
      </c>
      <c r="D686" s="94" t="n"/>
      <c r="E686" s="93">
        <f>Accounts!F686</f>
        <v/>
      </c>
      <c r="F686" s="94">
        <f>Accounts!Q686</f>
        <v/>
      </c>
      <c r="G686" s="94">
        <f>Accounts!R686</f>
        <v/>
      </c>
      <c r="H686" s="94">
        <f>Accounts!I686</f>
        <v/>
      </c>
      <c r="I686" s="94">
        <f>Accounts!J686</f>
        <v/>
      </c>
      <c r="J686" s="93">
        <f>Accounts!S686</f>
        <v/>
      </c>
      <c r="K686" s="88" t="n"/>
      <c r="L686" s="95" t="n"/>
      <c r="M686" s="55" t="b">
        <v>0</v>
      </c>
      <c r="N686" s="96" t="b">
        <v>0</v>
      </c>
      <c r="O686" s="55" t="b">
        <v>0</v>
      </c>
      <c r="P686" s="55" t="b">
        <v>0</v>
      </c>
      <c r="Q686" s="55" t="b">
        <v>0</v>
      </c>
      <c r="R686" s="55" t="b">
        <v>0</v>
      </c>
      <c r="S686" s="55" t="b">
        <v>0</v>
      </c>
      <c r="T686" s="55" t="b">
        <v>0</v>
      </c>
      <c r="U686" s="55" t="b">
        <v>0</v>
      </c>
      <c r="V686" s="55" t="b">
        <v>0</v>
      </c>
    </row>
    <row r="687" ht="69" customHeight="1" s="211">
      <c r="A687" s="92">
        <f>Accounts!A687</f>
        <v/>
      </c>
      <c r="B687" s="12" t="b">
        <v>0</v>
      </c>
      <c r="C687" s="93">
        <f>Accounts!N687</f>
        <v/>
      </c>
      <c r="D687" s="94" t="n"/>
      <c r="E687" s="93">
        <f>Accounts!F687</f>
        <v/>
      </c>
      <c r="F687" s="94">
        <f>Accounts!Q687</f>
        <v/>
      </c>
      <c r="G687" s="94">
        <f>Accounts!R687</f>
        <v/>
      </c>
      <c r="H687" s="94">
        <f>Accounts!I687</f>
        <v/>
      </c>
      <c r="I687" s="94">
        <f>Accounts!J687</f>
        <v/>
      </c>
      <c r="J687" s="93">
        <f>Accounts!S687</f>
        <v/>
      </c>
      <c r="K687" s="88" t="n"/>
      <c r="L687" s="95" t="n"/>
      <c r="M687" s="55" t="b">
        <v>0</v>
      </c>
      <c r="N687" s="96" t="b">
        <v>0</v>
      </c>
      <c r="O687" s="55" t="b">
        <v>0</v>
      </c>
      <c r="P687" s="55" t="b">
        <v>0</v>
      </c>
      <c r="Q687" s="55" t="b">
        <v>0</v>
      </c>
      <c r="R687" s="55" t="b">
        <v>0</v>
      </c>
      <c r="S687" s="55" t="b">
        <v>0</v>
      </c>
      <c r="T687" s="55" t="b">
        <v>0</v>
      </c>
      <c r="U687" s="55" t="b">
        <v>0</v>
      </c>
      <c r="V687" s="55" t="b">
        <v>0</v>
      </c>
    </row>
    <row r="688" ht="69" customHeight="1" s="211">
      <c r="A688" s="92">
        <f>Accounts!A688</f>
        <v/>
      </c>
      <c r="B688" s="12" t="b">
        <v>0</v>
      </c>
      <c r="C688" s="93">
        <f>Accounts!N688</f>
        <v/>
      </c>
      <c r="D688" s="94" t="n"/>
      <c r="E688" s="93">
        <f>Accounts!F688</f>
        <v/>
      </c>
      <c r="F688" s="94">
        <f>Accounts!Q688</f>
        <v/>
      </c>
      <c r="G688" s="94">
        <f>Accounts!R688</f>
        <v/>
      </c>
      <c r="H688" s="94">
        <f>Accounts!I688</f>
        <v/>
      </c>
      <c r="I688" s="94">
        <f>Accounts!J688</f>
        <v/>
      </c>
      <c r="J688" s="93">
        <f>Accounts!S688</f>
        <v/>
      </c>
      <c r="K688" s="88" t="n"/>
      <c r="L688" s="95" t="n"/>
      <c r="M688" s="55" t="b">
        <v>0</v>
      </c>
      <c r="N688" s="96" t="b">
        <v>0</v>
      </c>
      <c r="O688" s="55" t="b">
        <v>0</v>
      </c>
      <c r="P688" s="55" t="b">
        <v>0</v>
      </c>
      <c r="Q688" s="55" t="b">
        <v>0</v>
      </c>
      <c r="R688" s="55" t="b">
        <v>0</v>
      </c>
      <c r="S688" s="55" t="b">
        <v>0</v>
      </c>
      <c r="T688" s="55" t="b">
        <v>0</v>
      </c>
      <c r="U688" s="55" t="b">
        <v>0</v>
      </c>
      <c r="V688" s="55" t="b">
        <v>0</v>
      </c>
    </row>
    <row r="689" ht="69" customHeight="1" s="211">
      <c r="A689" s="92">
        <f>Accounts!A689</f>
        <v/>
      </c>
      <c r="B689" s="12" t="b">
        <v>0</v>
      </c>
      <c r="C689" s="93">
        <f>Accounts!N689</f>
        <v/>
      </c>
      <c r="D689" s="94" t="n"/>
      <c r="E689" s="93">
        <f>Accounts!F689</f>
        <v/>
      </c>
      <c r="F689" s="94">
        <f>Accounts!Q689</f>
        <v/>
      </c>
      <c r="G689" s="94">
        <f>Accounts!R689</f>
        <v/>
      </c>
      <c r="H689" s="94">
        <f>Accounts!I689</f>
        <v/>
      </c>
      <c r="I689" s="94">
        <f>Accounts!J689</f>
        <v/>
      </c>
      <c r="J689" s="93">
        <f>Accounts!S689</f>
        <v/>
      </c>
      <c r="K689" s="88" t="n"/>
      <c r="L689" s="95" t="n"/>
      <c r="M689" s="55" t="b">
        <v>0</v>
      </c>
      <c r="N689" s="96" t="b">
        <v>0</v>
      </c>
      <c r="O689" s="55" t="b">
        <v>0</v>
      </c>
      <c r="P689" s="55" t="b">
        <v>0</v>
      </c>
      <c r="Q689" s="55" t="b">
        <v>0</v>
      </c>
      <c r="R689" s="55" t="b">
        <v>0</v>
      </c>
      <c r="S689" s="55" t="b">
        <v>0</v>
      </c>
      <c r="T689" s="55" t="b">
        <v>0</v>
      </c>
      <c r="U689" s="55" t="b">
        <v>0</v>
      </c>
      <c r="V689" s="55" t="b">
        <v>0</v>
      </c>
    </row>
    <row r="690" ht="69" customHeight="1" s="211">
      <c r="A690" s="92">
        <f>Accounts!A690</f>
        <v/>
      </c>
      <c r="B690" s="12" t="b">
        <v>0</v>
      </c>
      <c r="C690" s="93">
        <f>Accounts!N690</f>
        <v/>
      </c>
      <c r="D690" s="94" t="n"/>
      <c r="E690" s="93">
        <f>Accounts!F690</f>
        <v/>
      </c>
      <c r="F690" s="94">
        <f>Accounts!Q690</f>
        <v/>
      </c>
      <c r="G690" s="94">
        <f>Accounts!R690</f>
        <v/>
      </c>
      <c r="H690" s="94">
        <f>Accounts!I690</f>
        <v/>
      </c>
      <c r="I690" s="94">
        <f>Accounts!J690</f>
        <v/>
      </c>
      <c r="J690" s="93">
        <f>Accounts!S690</f>
        <v/>
      </c>
      <c r="K690" s="88" t="n"/>
      <c r="L690" s="95" t="n"/>
      <c r="M690" s="55" t="b">
        <v>0</v>
      </c>
      <c r="N690" s="96" t="b">
        <v>0</v>
      </c>
      <c r="O690" s="55" t="b">
        <v>0</v>
      </c>
      <c r="P690" s="55" t="b">
        <v>0</v>
      </c>
      <c r="Q690" s="55" t="b">
        <v>0</v>
      </c>
      <c r="R690" s="55" t="b">
        <v>0</v>
      </c>
      <c r="S690" s="55" t="b">
        <v>0</v>
      </c>
      <c r="T690" s="55" t="b">
        <v>0</v>
      </c>
      <c r="U690" s="55" t="b">
        <v>0</v>
      </c>
      <c r="V690" s="55" t="b">
        <v>0</v>
      </c>
    </row>
    <row r="691" ht="69" customHeight="1" s="211">
      <c r="A691" s="92">
        <f>Accounts!A691</f>
        <v/>
      </c>
      <c r="B691" s="12" t="b">
        <v>0</v>
      </c>
      <c r="C691" s="93">
        <f>Accounts!N691</f>
        <v/>
      </c>
      <c r="D691" s="94" t="n"/>
      <c r="E691" s="93">
        <f>Accounts!F691</f>
        <v/>
      </c>
      <c r="F691" s="94">
        <f>Accounts!Q691</f>
        <v/>
      </c>
      <c r="G691" s="94">
        <f>Accounts!R691</f>
        <v/>
      </c>
      <c r="H691" s="94">
        <f>Accounts!I691</f>
        <v/>
      </c>
      <c r="I691" s="94">
        <f>Accounts!J691</f>
        <v/>
      </c>
      <c r="J691" s="93">
        <f>Accounts!S691</f>
        <v/>
      </c>
      <c r="K691" s="88" t="n"/>
      <c r="L691" s="95" t="n"/>
      <c r="M691" s="55" t="b">
        <v>0</v>
      </c>
      <c r="N691" s="96" t="b">
        <v>0</v>
      </c>
      <c r="O691" s="55" t="b">
        <v>0</v>
      </c>
      <c r="P691" s="55" t="b">
        <v>0</v>
      </c>
      <c r="Q691" s="55" t="b">
        <v>0</v>
      </c>
      <c r="R691" s="55" t="b">
        <v>0</v>
      </c>
      <c r="S691" s="55" t="b">
        <v>0</v>
      </c>
      <c r="T691" s="55" t="b">
        <v>0</v>
      </c>
      <c r="U691" s="55" t="b">
        <v>0</v>
      </c>
      <c r="V691" s="55" t="b">
        <v>0</v>
      </c>
    </row>
    <row r="692" ht="69" customHeight="1" s="211">
      <c r="A692" s="92">
        <f>Accounts!A692</f>
        <v/>
      </c>
      <c r="B692" s="12" t="b">
        <v>0</v>
      </c>
      <c r="C692" s="93">
        <f>Accounts!N692</f>
        <v/>
      </c>
      <c r="D692" s="94" t="n"/>
      <c r="E692" s="93">
        <f>Accounts!F692</f>
        <v/>
      </c>
      <c r="F692" s="94">
        <f>Accounts!Q692</f>
        <v/>
      </c>
      <c r="G692" s="94">
        <f>Accounts!R692</f>
        <v/>
      </c>
      <c r="H692" s="94">
        <f>Accounts!I692</f>
        <v/>
      </c>
      <c r="I692" s="94">
        <f>Accounts!J692</f>
        <v/>
      </c>
      <c r="J692" s="93">
        <f>Accounts!S692</f>
        <v/>
      </c>
      <c r="K692" s="88" t="n"/>
      <c r="L692" s="95" t="n"/>
      <c r="M692" s="55" t="b">
        <v>0</v>
      </c>
      <c r="N692" s="96" t="b">
        <v>0</v>
      </c>
      <c r="O692" s="55" t="b">
        <v>0</v>
      </c>
      <c r="P692" s="55" t="b">
        <v>0</v>
      </c>
      <c r="Q692" s="55" t="b">
        <v>0</v>
      </c>
      <c r="R692" s="55" t="b">
        <v>0</v>
      </c>
      <c r="S692" s="55" t="b">
        <v>0</v>
      </c>
      <c r="T692" s="55" t="b">
        <v>0</v>
      </c>
      <c r="U692" s="55" t="b">
        <v>0</v>
      </c>
      <c r="V692" s="55" t="b">
        <v>0</v>
      </c>
    </row>
    <row r="693" ht="69" customHeight="1" s="211">
      <c r="A693" s="92">
        <f>Accounts!A693</f>
        <v/>
      </c>
      <c r="B693" s="12" t="b">
        <v>0</v>
      </c>
      <c r="C693" s="93">
        <f>Accounts!N693</f>
        <v/>
      </c>
      <c r="D693" s="94" t="n"/>
      <c r="E693" s="93">
        <f>Accounts!F693</f>
        <v/>
      </c>
      <c r="F693" s="94">
        <f>Accounts!Q693</f>
        <v/>
      </c>
      <c r="G693" s="94">
        <f>Accounts!R693</f>
        <v/>
      </c>
      <c r="H693" s="94">
        <f>Accounts!I693</f>
        <v/>
      </c>
      <c r="I693" s="94">
        <f>Accounts!J693</f>
        <v/>
      </c>
      <c r="J693" s="93">
        <f>Accounts!S693</f>
        <v/>
      </c>
      <c r="K693" s="88" t="n"/>
      <c r="L693" s="95" t="n"/>
      <c r="M693" s="55" t="b">
        <v>0</v>
      </c>
      <c r="N693" s="96" t="b">
        <v>0</v>
      </c>
      <c r="O693" s="55" t="b">
        <v>0</v>
      </c>
      <c r="P693" s="55" t="b">
        <v>0</v>
      </c>
      <c r="Q693" s="55" t="b">
        <v>0</v>
      </c>
      <c r="R693" s="55" t="b">
        <v>0</v>
      </c>
      <c r="S693" s="55" t="b">
        <v>0</v>
      </c>
      <c r="T693" s="55" t="b">
        <v>0</v>
      </c>
      <c r="U693" s="55" t="b">
        <v>0</v>
      </c>
      <c r="V693" s="55" t="b">
        <v>0</v>
      </c>
    </row>
    <row r="694" ht="69" customHeight="1" s="211">
      <c r="A694" s="92">
        <f>Accounts!A694</f>
        <v/>
      </c>
      <c r="B694" s="12" t="b">
        <v>0</v>
      </c>
      <c r="C694" s="93">
        <f>Accounts!N694</f>
        <v/>
      </c>
      <c r="D694" s="94" t="n"/>
      <c r="E694" s="93">
        <f>Accounts!F694</f>
        <v/>
      </c>
      <c r="F694" s="94">
        <f>Accounts!Q694</f>
        <v/>
      </c>
      <c r="G694" s="94">
        <f>Accounts!R694</f>
        <v/>
      </c>
      <c r="H694" s="94">
        <f>Accounts!I694</f>
        <v/>
      </c>
      <c r="I694" s="94">
        <f>Accounts!J694</f>
        <v/>
      </c>
      <c r="J694" s="93">
        <f>Accounts!S694</f>
        <v/>
      </c>
      <c r="K694" s="88" t="n"/>
      <c r="L694" s="95" t="n"/>
      <c r="M694" s="55" t="b">
        <v>0</v>
      </c>
      <c r="N694" s="96" t="b">
        <v>0</v>
      </c>
      <c r="O694" s="55" t="b">
        <v>0</v>
      </c>
      <c r="P694" s="55" t="b">
        <v>0</v>
      </c>
      <c r="Q694" s="55" t="b">
        <v>0</v>
      </c>
      <c r="R694" s="55" t="b">
        <v>0</v>
      </c>
      <c r="S694" s="55" t="b">
        <v>0</v>
      </c>
      <c r="T694" s="55" t="b">
        <v>0</v>
      </c>
      <c r="U694" s="55" t="b">
        <v>0</v>
      </c>
      <c r="V694" s="55" t="b">
        <v>0</v>
      </c>
    </row>
    <row r="695" ht="69" customHeight="1" s="211">
      <c r="A695" s="92">
        <f>Accounts!A695</f>
        <v/>
      </c>
      <c r="B695" s="12" t="b">
        <v>0</v>
      </c>
      <c r="C695" s="93">
        <f>Accounts!N695</f>
        <v/>
      </c>
      <c r="D695" s="94" t="n"/>
      <c r="E695" s="93">
        <f>Accounts!F695</f>
        <v/>
      </c>
      <c r="F695" s="94">
        <f>Accounts!Q695</f>
        <v/>
      </c>
      <c r="G695" s="94">
        <f>Accounts!R695</f>
        <v/>
      </c>
      <c r="H695" s="94">
        <f>Accounts!I695</f>
        <v/>
      </c>
      <c r="I695" s="94">
        <f>Accounts!J695</f>
        <v/>
      </c>
      <c r="J695" s="93">
        <f>Accounts!S695</f>
        <v/>
      </c>
      <c r="K695" s="88" t="n"/>
      <c r="L695" s="95" t="n"/>
      <c r="M695" s="55" t="b">
        <v>0</v>
      </c>
      <c r="N695" s="96" t="b">
        <v>0</v>
      </c>
      <c r="O695" s="55" t="b">
        <v>0</v>
      </c>
      <c r="P695" s="55" t="b">
        <v>0</v>
      </c>
      <c r="Q695" s="55" t="b">
        <v>0</v>
      </c>
      <c r="R695" s="55" t="b">
        <v>0</v>
      </c>
      <c r="S695" s="55" t="b">
        <v>0</v>
      </c>
      <c r="T695" s="55" t="b">
        <v>0</v>
      </c>
      <c r="U695" s="55" t="b">
        <v>0</v>
      </c>
      <c r="V695" s="55" t="b">
        <v>0</v>
      </c>
    </row>
    <row r="696" ht="69" customHeight="1" s="211">
      <c r="A696" s="92">
        <f>Accounts!A696</f>
        <v/>
      </c>
      <c r="B696" s="12" t="b">
        <v>0</v>
      </c>
      <c r="C696" s="93">
        <f>Accounts!N696</f>
        <v/>
      </c>
      <c r="D696" s="94" t="n"/>
      <c r="E696" s="93">
        <f>Accounts!F696</f>
        <v/>
      </c>
      <c r="F696" s="94">
        <f>Accounts!Q696</f>
        <v/>
      </c>
      <c r="G696" s="94">
        <f>Accounts!R696</f>
        <v/>
      </c>
      <c r="H696" s="94">
        <f>Accounts!I696</f>
        <v/>
      </c>
      <c r="I696" s="94">
        <f>Accounts!J696</f>
        <v/>
      </c>
      <c r="J696" s="93">
        <f>Accounts!S696</f>
        <v/>
      </c>
      <c r="K696" s="88" t="n"/>
      <c r="L696" s="95" t="n"/>
      <c r="M696" s="55" t="b">
        <v>0</v>
      </c>
      <c r="N696" s="96" t="b">
        <v>0</v>
      </c>
      <c r="O696" s="55" t="b">
        <v>0</v>
      </c>
      <c r="P696" s="55" t="b">
        <v>0</v>
      </c>
      <c r="Q696" s="55" t="b">
        <v>0</v>
      </c>
      <c r="R696" s="55" t="b">
        <v>0</v>
      </c>
      <c r="S696" s="55" t="b">
        <v>0</v>
      </c>
      <c r="T696" s="55" t="b">
        <v>0</v>
      </c>
      <c r="U696" s="55" t="b">
        <v>0</v>
      </c>
      <c r="V696" s="55" t="b">
        <v>0</v>
      </c>
    </row>
    <row r="697" ht="69" customHeight="1" s="211">
      <c r="A697" s="92">
        <f>Accounts!A697</f>
        <v/>
      </c>
      <c r="B697" s="12" t="b">
        <v>0</v>
      </c>
      <c r="C697" s="93">
        <f>Accounts!N697</f>
        <v/>
      </c>
      <c r="D697" s="94" t="n"/>
      <c r="E697" s="93">
        <f>Accounts!F697</f>
        <v/>
      </c>
      <c r="F697" s="94">
        <f>Accounts!Q697</f>
        <v/>
      </c>
      <c r="G697" s="94">
        <f>Accounts!R697</f>
        <v/>
      </c>
      <c r="H697" s="94">
        <f>Accounts!I697</f>
        <v/>
      </c>
      <c r="I697" s="94">
        <f>Accounts!J697</f>
        <v/>
      </c>
      <c r="J697" s="93">
        <f>Accounts!S697</f>
        <v/>
      </c>
      <c r="K697" s="88" t="n"/>
      <c r="L697" s="95" t="n"/>
      <c r="M697" s="55" t="b">
        <v>0</v>
      </c>
      <c r="N697" s="96" t="b">
        <v>0</v>
      </c>
      <c r="O697" s="55" t="b">
        <v>0</v>
      </c>
      <c r="P697" s="55" t="b">
        <v>0</v>
      </c>
      <c r="Q697" s="55" t="b">
        <v>0</v>
      </c>
      <c r="R697" s="55" t="b">
        <v>0</v>
      </c>
      <c r="S697" s="55" t="b">
        <v>0</v>
      </c>
      <c r="T697" s="55" t="b">
        <v>0</v>
      </c>
      <c r="U697" s="55" t="b">
        <v>0</v>
      </c>
      <c r="V697" s="55" t="b">
        <v>0</v>
      </c>
    </row>
    <row r="698" ht="69" customHeight="1" s="211">
      <c r="A698" s="92">
        <f>Accounts!A698</f>
        <v/>
      </c>
      <c r="B698" s="12" t="b">
        <v>0</v>
      </c>
      <c r="C698" s="93">
        <f>Accounts!N698</f>
        <v/>
      </c>
      <c r="D698" s="94" t="n"/>
      <c r="E698" s="93">
        <f>Accounts!F698</f>
        <v/>
      </c>
      <c r="F698" s="94">
        <f>Accounts!Q698</f>
        <v/>
      </c>
      <c r="G698" s="94">
        <f>Accounts!R698</f>
        <v/>
      </c>
      <c r="H698" s="94">
        <f>Accounts!I698</f>
        <v/>
      </c>
      <c r="I698" s="94">
        <f>Accounts!J698</f>
        <v/>
      </c>
      <c r="J698" s="93">
        <f>Accounts!S698</f>
        <v/>
      </c>
      <c r="K698" s="88" t="n"/>
      <c r="L698" s="95" t="n"/>
      <c r="M698" s="55" t="b">
        <v>0</v>
      </c>
      <c r="N698" s="96" t="b">
        <v>0</v>
      </c>
      <c r="O698" s="55" t="b">
        <v>0</v>
      </c>
      <c r="P698" s="55" t="b">
        <v>0</v>
      </c>
      <c r="Q698" s="55" t="b">
        <v>0</v>
      </c>
      <c r="R698" s="55" t="b">
        <v>0</v>
      </c>
      <c r="S698" s="55" t="b">
        <v>0</v>
      </c>
      <c r="T698" s="55" t="b">
        <v>0</v>
      </c>
      <c r="U698" s="55" t="b">
        <v>0</v>
      </c>
      <c r="V698" s="55" t="b">
        <v>0</v>
      </c>
    </row>
    <row r="699" ht="69" customHeight="1" s="211">
      <c r="A699" s="92">
        <f>Accounts!A699</f>
        <v/>
      </c>
      <c r="B699" s="12" t="b">
        <v>0</v>
      </c>
      <c r="C699" s="93">
        <f>Accounts!N699</f>
        <v/>
      </c>
      <c r="D699" s="94" t="n"/>
      <c r="E699" s="93">
        <f>Accounts!F699</f>
        <v/>
      </c>
      <c r="F699" s="94">
        <f>Accounts!Q699</f>
        <v/>
      </c>
      <c r="G699" s="94">
        <f>Accounts!R699</f>
        <v/>
      </c>
      <c r="H699" s="94">
        <f>Accounts!I699</f>
        <v/>
      </c>
      <c r="I699" s="94">
        <f>Accounts!J699</f>
        <v/>
      </c>
      <c r="J699" s="93">
        <f>Accounts!S699</f>
        <v/>
      </c>
      <c r="K699" s="88" t="n"/>
      <c r="L699" s="95" t="n"/>
      <c r="M699" s="55" t="b">
        <v>0</v>
      </c>
      <c r="N699" s="96" t="b">
        <v>0</v>
      </c>
      <c r="O699" s="55" t="b">
        <v>0</v>
      </c>
      <c r="P699" s="55" t="b">
        <v>0</v>
      </c>
      <c r="Q699" s="55" t="b">
        <v>0</v>
      </c>
      <c r="R699" s="55" t="b">
        <v>0</v>
      </c>
      <c r="S699" s="55" t="b">
        <v>0</v>
      </c>
      <c r="T699" s="55" t="b">
        <v>0</v>
      </c>
      <c r="U699" s="55" t="b">
        <v>0</v>
      </c>
      <c r="V699" s="55" t="b">
        <v>0</v>
      </c>
    </row>
    <row r="700" ht="69" customHeight="1" s="211">
      <c r="A700" s="92">
        <f>Accounts!A700</f>
        <v/>
      </c>
      <c r="B700" s="12" t="b">
        <v>0</v>
      </c>
      <c r="C700" s="93">
        <f>Accounts!N700</f>
        <v/>
      </c>
      <c r="D700" s="94" t="n"/>
      <c r="E700" s="93">
        <f>Accounts!F700</f>
        <v/>
      </c>
      <c r="F700" s="94">
        <f>Accounts!Q700</f>
        <v/>
      </c>
      <c r="G700" s="94">
        <f>Accounts!R700</f>
        <v/>
      </c>
      <c r="H700" s="94">
        <f>Accounts!I700</f>
        <v/>
      </c>
      <c r="I700" s="94">
        <f>Accounts!J700</f>
        <v/>
      </c>
      <c r="J700" s="93">
        <f>Accounts!S700</f>
        <v/>
      </c>
      <c r="K700" s="88" t="n"/>
      <c r="L700" s="95" t="n"/>
      <c r="M700" s="55" t="b">
        <v>0</v>
      </c>
      <c r="N700" s="96" t="b">
        <v>0</v>
      </c>
      <c r="O700" s="55" t="b">
        <v>0</v>
      </c>
      <c r="P700" s="55" t="b">
        <v>0</v>
      </c>
      <c r="Q700" s="55" t="b">
        <v>0</v>
      </c>
      <c r="R700" s="55" t="b">
        <v>0</v>
      </c>
      <c r="S700" s="55" t="b">
        <v>0</v>
      </c>
      <c r="T700" s="55" t="b">
        <v>0</v>
      </c>
      <c r="U700" s="55" t="b">
        <v>0</v>
      </c>
      <c r="V700" s="55" t="b">
        <v>0</v>
      </c>
    </row>
    <row r="701" ht="69" customHeight="1" s="211">
      <c r="A701" s="92">
        <f>Accounts!A701</f>
        <v/>
      </c>
      <c r="B701" s="12" t="b">
        <v>0</v>
      </c>
      <c r="C701" s="93">
        <f>Accounts!N701</f>
        <v/>
      </c>
      <c r="D701" s="94" t="n"/>
      <c r="E701" s="93">
        <f>Accounts!F701</f>
        <v/>
      </c>
      <c r="F701" s="94">
        <f>Accounts!Q701</f>
        <v/>
      </c>
      <c r="G701" s="94">
        <f>Accounts!R701</f>
        <v/>
      </c>
      <c r="H701" s="94">
        <f>Accounts!I701</f>
        <v/>
      </c>
      <c r="I701" s="94">
        <f>Accounts!J701</f>
        <v/>
      </c>
      <c r="J701" s="93">
        <f>Accounts!S701</f>
        <v/>
      </c>
      <c r="K701" s="88" t="n"/>
      <c r="L701" s="95" t="n"/>
      <c r="M701" s="55" t="b">
        <v>0</v>
      </c>
      <c r="N701" s="96" t="b">
        <v>0</v>
      </c>
      <c r="O701" s="55" t="b">
        <v>0</v>
      </c>
      <c r="P701" s="55" t="b">
        <v>0</v>
      </c>
      <c r="Q701" s="55" t="b">
        <v>0</v>
      </c>
      <c r="R701" s="55" t="b">
        <v>0</v>
      </c>
      <c r="S701" s="55" t="b">
        <v>0</v>
      </c>
      <c r="T701" s="55" t="b">
        <v>0</v>
      </c>
      <c r="U701" s="55" t="b">
        <v>0</v>
      </c>
      <c r="V701" s="55" t="b">
        <v>0</v>
      </c>
    </row>
    <row r="702" ht="69" customHeight="1" s="211">
      <c r="A702" s="92">
        <f>Accounts!A702</f>
        <v/>
      </c>
      <c r="B702" s="12" t="b">
        <v>0</v>
      </c>
      <c r="C702" s="93">
        <f>Accounts!N702</f>
        <v/>
      </c>
      <c r="D702" s="94" t="n"/>
      <c r="E702" s="93">
        <f>Accounts!F702</f>
        <v/>
      </c>
      <c r="F702" s="94">
        <f>Accounts!Q702</f>
        <v/>
      </c>
      <c r="G702" s="94">
        <f>Accounts!R702</f>
        <v/>
      </c>
      <c r="H702" s="94">
        <f>Accounts!I702</f>
        <v/>
      </c>
      <c r="I702" s="94">
        <f>Accounts!J702</f>
        <v/>
      </c>
      <c r="J702" s="93">
        <f>Accounts!S702</f>
        <v/>
      </c>
      <c r="K702" s="88" t="n"/>
      <c r="L702" s="95" t="n"/>
      <c r="M702" s="55" t="b">
        <v>0</v>
      </c>
      <c r="N702" s="96" t="b">
        <v>0</v>
      </c>
      <c r="O702" s="55" t="b">
        <v>0</v>
      </c>
      <c r="P702" s="55" t="b">
        <v>0</v>
      </c>
      <c r="Q702" s="55" t="b">
        <v>0</v>
      </c>
      <c r="R702" s="55" t="b">
        <v>0</v>
      </c>
      <c r="S702" s="55" t="b">
        <v>0</v>
      </c>
      <c r="T702" s="55" t="b">
        <v>0</v>
      </c>
      <c r="U702" s="55" t="b">
        <v>0</v>
      </c>
      <c r="V702" s="55" t="b">
        <v>0</v>
      </c>
    </row>
    <row r="703" ht="69" customHeight="1" s="211">
      <c r="A703" s="92">
        <f>Accounts!A703</f>
        <v/>
      </c>
      <c r="B703" s="12" t="b">
        <v>0</v>
      </c>
      <c r="C703" s="93">
        <f>Accounts!N703</f>
        <v/>
      </c>
      <c r="D703" s="94" t="n"/>
      <c r="E703" s="93">
        <f>Accounts!F703</f>
        <v/>
      </c>
      <c r="F703" s="94">
        <f>Accounts!Q703</f>
        <v/>
      </c>
      <c r="G703" s="94">
        <f>Accounts!R703</f>
        <v/>
      </c>
      <c r="H703" s="94">
        <f>Accounts!I703</f>
        <v/>
      </c>
      <c r="I703" s="94">
        <f>Accounts!J703</f>
        <v/>
      </c>
      <c r="J703" s="93">
        <f>Accounts!S703</f>
        <v/>
      </c>
      <c r="K703" s="88" t="n"/>
      <c r="L703" s="95" t="n"/>
      <c r="M703" s="55" t="b">
        <v>0</v>
      </c>
      <c r="N703" s="96" t="b">
        <v>0</v>
      </c>
      <c r="O703" s="55" t="b">
        <v>0</v>
      </c>
      <c r="P703" s="55" t="b">
        <v>0</v>
      </c>
      <c r="Q703" s="55" t="b">
        <v>0</v>
      </c>
      <c r="R703" s="55" t="b">
        <v>0</v>
      </c>
      <c r="S703" s="55" t="b">
        <v>0</v>
      </c>
      <c r="T703" s="55" t="b">
        <v>0</v>
      </c>
      <c r="U703" s="55" t="b">
        <v>0</v>
      </c>
      <c r="V703" s="55" t="b">
        <v>0</v>
      </c>
    </row>
    <row r="704" ht="69" customHeight="1" s="211">
      <c r="A704" s="92">
        <f>Accounts!A704</f>
        <v/>
      </c>
      <c r="B704" s="12" t="b">
        <v>0</v>
      </c>
      <c r="C704" s="93">
        <f>Accounts!N704</f>
        <v/>
      </c>
      <c r="D704" s="94" t="n"/>
      <c r="E704" s="93">
        <f>Accounts!F704</f>
        <v/>
      </c>
      <c r="F704" s="94">
        <f>Accounts!Q704</f>
        <v/>
      </c>
      <c r="G704" s="94">
        <f>Accounts!R704</f>
        <v/>
      </c>
      <c r="H704" s="94">
        <f>Accounts!I704</f>
        <v/>
      </c>
      <c r="I704" s="94">
        <f>Accounts!J704</f>
        <v/>
      </c>
      <c r="J704" s="93">
        <f>Accounts!S704</f>
        <v/>
      </c>
      <c r="K704" s="88" t="n"/>
      <c r="L704" s="95" t="n"/>
      <c r="M704" s="55" t="b">
        <v>0</v>
      </c>
      <c r="N704" s="96" t="b">
        <v>0</v>
      </c>
      <c r="O704" s="55" t="b">
        <v>0</v>
      </c>
      <c r="P704" s="55" t="b">
        <v>0</v>
      </c>
      <c r="Q704" s="55" t="b">
        <v>0</v>
      </c>
      <c r="R704" s="55" t="b">
        <v>0</v>
      </c>
      <c r="S704" s="55" t="b">
        <v>0</v>
      </c>
      <c r="T704" s="55" t="b">
        <v>0</v>
      </c>
      <c r="U704" s="55" t="b">
        <v>0</v>
      </c>
      <c r="V704" s="55" t="b">
        <v>0</v>
      </c>
    </row>
    <row r="705" ht="69" customHeight="1" s="211">
      <c r="A705" s="92">
        <f>Accounts!A705</f>
        <v/>
      </c>
      <c r="B705" s="12" t="b">
        <v>0</v>
      </c>
      <c r="C705" s="93">
        <f>Accounts!N705</f>
        <v/>
      </c>
      <c r="D705" s="94" t="n"/>
      <c r="E705" s="93">
        <f>Accounts!F705</f>
        <v/>
      </c>
      <c r="F705" s="94">
        <f>Accounts!Q705</f>
        <v/>
      </c>
      <c r="G705" s="94">
        <f>Accounts!R705</f>
        <v/>
      </c>
      <c r="H705" s="94">
        <f>Accounts!I705</f>
        <v/>
      </c>
      <c r="I705" s="94">
        <f>Accounts!J705</f>
        <v/>
      </c>
      <c r="J705" s="93">
        <f>Accounts!S705</f>
        <v/>
      </c>
      <c r="K705" s="88" t="n"/>
      <c r="L705" s="95" t="n"/>
      <c r="M705" s="55" t="b">
        <v>0</v>
      </c>
      <c r="N705" s="96" t="b">
        <v>0</v>
      </c>
      <c r="O705" s="55" t="b">
        <v>0</v>
      </c>
      <c r="P705" s="55" t="b">
        <v>0</v>
      </c>
      <c r="Q705" s="55" t="b">
        <v>0</v>
      </c>
      <c r="R705" s="55" t="b">
        <v>0</v>
      </c>
      <c r="S705" s="55" t="b">
        <v>0</v>
      </c>
      <c r="T705" s="55" t="b">
        <v>0</v>
      </c>
      <c r="U705" s="55" t="b">
        <v>0</v>
      </c>
      <c r="V705" s="55" t="b">
        <v>0</v>
      </c>
    </row>
    <row r="706" ht="69" customHeight="1" s="211">
      <c r="A706" s="92">
        <f>Accounts!A706</f>
        <v/>
      </c>
      <c r="B706" s="12" t="b">
        <v>0</v>
      </c>
      <c r="C706" s="93">
        <f>Accounts!N706</f>
        <v/>
      </c>
      <c r="D706" s="94" t="n"/>
      <c r="E706" s="93">
        <f>Accounts!F706</f>
        <v/>
      </c>
      <c r="F706" s="94">
        <f>Accounts!Q706</f>
        <v/>
      </c>
      <c r="G706" s="94">
        <f>Accounts!R706</f>
        <v/>
      </c>
      <c r="H706" s="94">
        <f>Accounts!I706</f>
        <v/>
      </c>
      <c r="I706" s="94">
        <f>Accounts!J706</f>
        <v/>
      </c>
      <c r="J706" s="93">
        <f>Accounts!S706</f>
        <v/>
      </c>
      <c r="K706" s="88" t="n"/>
      <c r="L706" s="95" t="n"/>
      <c r="M706" s="55" t="b">
        <v>0</v>
      </c>
      <c r="N706" s="96" t="b">
        <v>0</v>
      </c>
      <c r="O706" s="55" t="b">
        <v>0</v>
      </c>
      <c r="P706" s="55" t="b">
        <v>0</v>
      </c>
      <c r="Q706" s="55" t="b">
        <v>0</v>
      </c>
      <c r="R706" s="55" t="b">
        <v>0</v>
      </c>
      <c r="S706" s="55" t="b">
        <v>0</v>
      </c>
      <c r="T706" s="55" t="b">
        <v>0</v>
      </c>
      <c r="U706" s="55" t="b">
        <v>0</v>
      </c>
      <c r="V706" s="55" t="b">
        <v>0</v>
      </c>
    </row>
    <row r="707" ht="69" customHeight="1" s="211">
      <c r="A707" s="92">
        <f>Accounts!A707</f>
        <v/>
      </c>
      <c r="B707" s="12" t="b">
        <v>0</v>
      </c>
      <c r="C707" s="93">
        <f>Accounts!N707</f>
        <v/>
      </c>
      <c r="D707" s="94" t="n"/>
      <c r="E707" s="93">
        <f>Accounts!F707</f>
        <v/>
      </c>
      <c r="F707" s="94">
        <f>Accounts!Q707</f>
        <v/>
      </c>
      <c r="G707" s="94">
        <f>Accounts!R707</f>
        <v/>
      </c>
      <c r="H707" s="94">
        <f>Accounts!I707</f>
        <v/>
      </c>
      <c r="I707" s="94">
        <f>Accounts!J707</f>
        <v/>
      </c>
      <c r="J707" s="93">
        <f>Accounts!S707</f>
        <v/>
      </c>
      <c r="K707" s="88" t="n"/>
      <c r="L707" s="95" t="n"/>
      <c r="M707" s="55" t="b">
        <v>0</v>
      </c>
      <c r="N707" s="96" t="b">
        <v>0</v>
      </c>
      <c r="O707" s="55" t="b">
        <v>0</v>
      </c>
      <c r="P707" s="55" t="b">
        <v>0</v>
      </c>
      <c r="Q707" s="55" t="b">
        <v>0</v>
      </c>
      <c r="R707" s="55" t="b">
        <v>0</v>
      </c>
      <c r="S707" s="55" t="b">
        <v>0</v>
      </c>
      <c r="T707" s="55" t="b">
        <v>0</v>
      </c>
      <c r="U707" s="55" t="b">
        <v>0</v>
      </c>
      <c r="V707" s="55" t="b">
        <v>0</v>
      </c>
    </row>
    <row r="708" ht="69" customHeight="1" s="211">
      <c r="A708" s="92">
        <f>Accounts!A708</f>
        <v/>
      </c>
      <c r="B708" s="12" t="b">
        <v>0</v>
      </c>
      <c r="C708" s="93">
        <f>Accounts!N708</f>
        <v/>
      </c>
      <c r="D708" s="94" t="n"/>
      <c r="E708" s="93">
        <f>Accounts!F708</f>
        <v/>
      </c>
      <c r="F708" s="94">
        <f>Accounts!Q708</f>
        <v/>
      </c>
      <c r="G708" s="94">
        <f>Accounts!R708</f>
        <v/>
      </c>
      <c r="H708" s="94">
        <f>Accounts!I708</f>
        <v/>
      </c>
      <c r="I708" s="94">
        <f>Accounts!J708</f>
        <v/>
      </c>
      <c r="J708" s="93">
        <f>Accounts!S708</f>
        <v/>
      </c>
      <c r="K708" s="88" t="n"/>
      <c r="L708" s="95" t="n"/>
      <c r="M708" s="55" t="b">
        <v>0</v>
      </c>
      <c r="N708" s="96" t="b">
        <v>0</v>
      </c>
      <c r="O708" s="55" t="b">
        <v>0</v>
      </c>
      <c r="P708" s="55" t="b">
        <v>0</v>
      </c>
      <c r="Q708" s="55" t="b">
        <v>0</v>
      </c>
      <c r="R708" s="55" t="b">
        <v>0</v>
      </c>
      <c r="S708" s="55" t="b">
        <v>0</v>
      </c>
      <c r="T708" s="55" t="b">
        <v>0</v>
      </c>
      <c r="U708" s="55" t="b">
        <v>0</v>
      </c>
      <c r="V708" s="55" t="b">
        <v>0</v>
      </c>
    </row>
    <row r="709" ht="69" customHeight="1" s="211">
      <c r="A709" s="92">
        <f>Accounts!A709</f>
        <v/>
      </c>
      <c r="B709" s="12" t="b">
        <v>0</v>
      </c>
      <c r="C709" s="93">
        <f>Accounts!N709</f>
        <v/>
      </c>
      <c r="D709" s="94" t="n"/>
      <c r="E709" s="93">
        <f>Accounts!F709</f>
        <v/>
      </c>
      <c r="F709" s="94">
        <f>Accounts!Q709</f>
        <v/>
      </c>
      <c r="G709" s="94">
        <f>Accounts!R709</f>
        <v/>
      </c>
      <c r="H709" s="94">
        <f>Accounts!I709</f>
        <v/>
      </c>
      <c r="I709" s="94">
        <f>Accounts!J709</f>
        <v/>
      </c>
      <c r="J709" s="93">
        <f>Accounts!S709</f>
        <v/>
      </c>
      <c r="K709" s="88" t="n"/>
      <c r="L709" s="95" t="n"/>
      <c r="M709" s="55" t="b">
        <v>0</v>
      </c>
      <c r="N709" s="96" t="b">
        <v>0</v>
      </c>
      <c r="O709" s="55" t="b">
        <v>0</v>
      </c>
      <c r="P709" s="55" t="b">
        <v>0</v>
      </c>
      <c r="Q709" s="55" t="b">
        <v>0</v>
      </c>
      <c r="R709" s="55" t="b">
        <v>0</v>
      </c>
      <c r="S709" s="55" t="b">
        <v>0</v>
      </c>
      <c r="T709" s="55" t="b">
        <v>0</v>
      </c>
      <c r="U709" s="55" t="b">
        <v>0</v>
      </c>
      <c r="V709" s="55" t="b">
        <v>0</v>
      </c>
    </row>
    <row r="710" ht="69" customHeight="1" s="211">
      <c r="A710" s="92">
        <f>Accounts!A710</f>
        <v/>
      </c>
      <c r="B710" s="12" t="b">
        <v>0</v>
      </c>
      <c r="C710" s="93">
        <f>Accounts!N710</f>
        <v/>
      </c>
      <c r="D710" s="94" t="n"/>
      <c r="E710" s="93">
        <f>Accounts!F710</f>
        <v/>
      </c>
      <c r="F710" s="94">
        <f>Accounts!Q710</f>
        <v/>
      </c>
      <c r="G710" s="94">
        <f>Accounts!R710</f>
        <v/>
      </c>
      <c r="H710" s="94">
        <f>Accounts!I710</f>
        <v/>
      </c>
      <c r="I710" s="94">
        <f>Accounts!J710</f>
        <v/>
      </c>
      <c r="J710" s="93">
        <f>Accounts!S710</f>
        <v/>
      </c>
      <c r="K710" s="88" t="n"/>
      <c r="L710" s="95" t="n"/>
      <c r="M710" s="55" t="b">
        <v>0</v>
      </c>
      <c r="N710" s="96" t="b">
        <v>0</v>
      </c>
      <c r="O710" s="55" t="b">
        <v>0</v>
      </c>
      <c r="P710" s="55" t="b">
        <v>0</v>
      </c>
      <c r="Q710" s="55" t="b">
        <v>0</v>
      </c>
      <c r="R710" s="55" t="b">
        <v>0</v>
      </c>
      <c r="S710" s="55" t="b">
        <v>0</v>
      </c>
      <c r="T710" s="55" t="b">
        <v>0</v>
      </c>
      <c r="U710" s="55" t="b">
        <v>0</v>
      </c>
      <c r="V710" s="55" t="b">
        <v>0</v>
      </c>
    </row>
    <row r="711" ht="69" customHeight="1" s="211">
      <c r="A711" s="92">
        <f>Accounts!A711</f>
        <v/>
      </c>
      <c r="B711" s="12" t="b">
        <v>0</v>
      </c>
      <c r="C711" s="93">
        <f>Accounts!N711</f>
        <v/>
      </c>
      <c r="D711" s="94" t="n"/>
      <c r="E711" s="93">
        <f>Accounts!F711</f>
        <v/>
      </c>
      <c r="F711" s="94">
        <f>Accounts!Q711</f>
        <v/>
      </c>
      <c r="G711" s="94">
        <f>Accounts!R711</f>
        <v/>
      </c>
      <c r="H711" s="94">
        <f>Accounts!I711</f>
        <v/>
      </c>
      <c r="I711" s="94">
        <f>Accounts!J711</f>
        <v/>
      </c>
      <c r="J711" s="93">
        <f>Accounts!S711</f>
        <v/>
      </c>
      <c r="K711" s="88" t="n"/>
      <c r="L711" s="95" t="n"/>
      <c r="M711" s="55" t="b">
        <v>0</v>
      </c>
      <c r="N711" s="96" t="b">
        <v>0</v>
      </c>
      <c r="O711" s="55" t="b">
        <v>0</v>
      </c>
      <c r="P711" s="55" t="b">
        <v>0</v>
      </c>
      <c r="Q711" s="55" t="b">
        <v>0</v>
      </c>
      <c r="R711" s="55" t="b">
        <v>0</v>
      </c>
      <c r="S711" s="55" t="b">
        <v>0</v>
      </c>
      <c r="T711" s="55" t="b">
        <v>0</v>
      </c>
      <c r="U711" s="55" t="b">
        <v>0</v>
      </c>
      <c r="V711" s="55" t="b">
        <v>0</v>
      </c>
    </row>
    <row r="712" ht="69" customHeight="1" s="211">
      <c r="A712" s="92">
        <f>Accounts!A712</f>
        <v/>
      </c>
      <c r="B712" s="12" t="b">
        <v>0</v>
      </c>
      <c r="C712" s="93">
        <f>Accounts!N712</f>
        <v/>
      </c>
      <c r="D712" s="94" t="n"/>
      <c r="E712" s="93">
        <f>Accounts!F712</f>
        <v/>
      </c>
      <c r="F712" s="94">
        <f>Accounts!Q712</f>
        <v/>
      </c>
      <c r="G712" s="94">
        <f>Accounts!R712</f>
        <v/>
      </c>
      <c r="H712" s="94">
        <f>Accounts!I712</f>
        <v/>
      </c>
      <c r="I712" s="94">
        <f>Accounts!J712</f>
        <v/>
      </c>
      <c r="J712" s="93">
        <f>Accounts!S712</f>
        <v/>
      </c>
      <c r="K712" s="88" t="n"/>
      <c r="L712" s="95" t="n"/>
      <c r="M712" s="55" t="b">
        <v>0</v>
      </c>
      <c r="N712" s="96" t="b">
        <v>0</v>
      </c>
      <c r="O712" s="55" t="b">
        <v>0</v>
      </c>
      <c r="P712" s="55" t="b">
        <v>0</v>
      </c>
      <c r="Q712" s="55" t="b">
        <v>0</v>
      </c>
      <c r="R712" s="55" t="b">
        <v>0</v>
      </c>
      <c r="S712" s="55" t="b">
        <v>0</v>
      </c>
      <c r="T712" s="55" t="b">
        <v>0</v>
      </c>
      <c r="U712" s="55" t="b">
        <v>0</v>
      </c>
      <c r="V712" s="55" t="b">
        <v>0</v>
      </c>
    </row>
    <row r="713" ht="69" customHeight="1" s="211">
      <c r="A713" s="92">
        <f>Accounts!A713</f>
        <v/>
      </c>
      <c r="B713" s="12" t="b">
        <v>0</v>
      </c>
      <c r="C713" s="93">
        <f>Accounts!N713</f>
        <v/>
      </c>
      <c r="D713" s="94" t="n"/>
      <c r="E713" s="93">
        <f>Accounts!F713</f>
        <v/>
      </c>
      <c r="F713" s="94">
        <f>Accounts!Q713</f>
        <v/>
      </c>
      <c r="G713" s="94">
        <f>Accounts!R713</f>
        <v/>
      </c>
      <c r="H713" s="94">
        <f>Accounts!I713</f>
        <v/>
      </c>
      <c r="I713" s="94">
        <f>Accounts!J713</f>
        <v/>
      </c>
      <c r="J713" s="93">
        <f>Accounts!S713</f>
        <v/>
      </c>
      <c r="K713" s="88" t="n"/>
      <c r="L713" s="95" t="n"/>
      <c r="M713" s="55" t="b">
        <v>0</v>
      </c>
      <c r="N713" s="96" t="b">
        <v>0</v>
      </c>
      <c r="O713" s="55" t="b">
        <v>0</v>
      </c>
      <c r="P713" s="55" t="b">
        <v>0</v>
      </c>
      <c r="Q713" s="55" t="b">
        <v>0</v>
      </c>
      <c r="R713" s="55" t="b">
        <v>0</v>
      </c>
      <c r="S713" s="55" t="b">
        <v>0</v>
      </c>
      <c r="T713" s="55" t="b">
        <v>0</v>
      </c>
      <c r="U713" s="55" t="b">
        <v>0</v>
      </c>
      <c r="V713" s="55" t="b">
        <v>0</v>
      </c>
    </row>
    <row r="714" ht="69" customHeight="1" s="211">
      <c r="A714" s="92">
        <f>Accounts!A714</f>
        <v/>
      </c>
      <c r="B714" s="12" t="b">
        <v>0</v>
      </c>
      <c r="C714" s="93">
        <f>Accounts!N714</f>
        <v/>
      </c>
      <c r="D714" s="94" t="n"/>
      <c r="E714" s="93">
        <f>Accounts!F714</f>
        <v/>
      </c>
      <c r="F714" s="94">
        <f>Accounts!Q714</f>
        <v/>
      </c>
      <c r="G714" s="94">
        <f>Accounts!R714</f>
        <v/>
      </c>
      <c r="H714" s="94">
        <f>Accounts!I714</f>
        <v/>
      </c>
      <c r="I714" s="94">
        <f>Accounts!J714</f>
        <v/>
      </c>
      <c r="J714" s="93">
        <f>Accounts!S714</f>
        <v/>
      </c>
      <c r="K714" s="88" t="n"/>
      <c r="L714" s="95" t="n"/>
      <c r="M714" s="55" t="b">
        <v>0</v>
      </c>
      <c r="N714" s="96" t="b">
        <v>0</v>
      </c>
      <c r="O714" s="55" t="b">
        <v>0</v>
      </c>
      <c r="P714" s="55" t="b">
        <v>0</v>
      </c>
      <c r="Q714" s="55" t="b">
        <v>0</v>
      </c>
      <c r="R714" s="55" t="b">
        <v>0</v>
      </c>
      <c r="S714" s="55" t="b">
        <v>0</v>
      </c>
      <c r="T714" s="55" t="b">
        <v>0</v>
      </c>
      <c r="U714" s="55" t="b">
        <v>0</v>
      </c>
      <c r="V714" s="55" t="b">
        <v>0</v>
      </c>
    </row>
    <row r="715" ht="69" customHeight="1" s="211">
      <c r="A715" s="92">
        <f>Accounts!A715</f>
        <v/>
      </c>
      <c r="B715" s="12" t="b">
        <v>0</v>
      </c>
      <c r="C715" s="93">
        <f>Accounts!N715</f>
        <v/>
      </c>
      <c r="D715" s="94" t="n"/>
      <c r="E715" s="93">
        <f>Accounts!F715</f>
        <v/>
      </c>
      <c r="F715" s="94">
        <f>Accounts!Q715</f>
        <v/>
      </c>
      <c r="G715" s="94">
        <f>Accounts!R715</f>
        <v/>
      </c>
      <c r="H715" s="94">
        <f>Accounts!I715</f>
        <v/>
      </c>
      <c r="I715" s="94">
        <f>Accounts!J715</f>
        <v/>
      </c>
      <c r="J715" s="93">
        <f>Accounts!S715</f>
        <v/>
      </c>
      <c r="K715" s="88" t="n"/>
      <c r="L715" s="95" t="n"/>
      <c r="M715" s="55" t="b">
        <v>0</v>
      </c>
      <c r="N715" s="96" t="b">
        <v>0</v>
      </c>
      <c r="O715" s="55" t="b">
        <v>0</v>
      </c>
      <c r="P715" s="55" t="b">
        <v>0</v>
      </c>
      <c r="Q715" s="55" t="b">
        <v>0</v>
      </c>
      <c r="R715" s="55" t="b">
        <v>0</v>
      </c>
      <c r="S715" s="55" t="b">
        <v>0</v>
      </c>
      <c r="T715" s="55" t="b">
        <v>0</v>
      </c>
      <c r="U715" s="55" t="b">
        <v>0</v>
      </c>
      <c r="V715" s="55" t="b">
        <v>0</v>
      </c>
    </row>
    <row r="716" ht="69" customHeight="1" s="211">
      <c r="A716" s="92">
        <f>Accounts!A716</f>
        <v/>
      </c>
      <c r="B716" s="12" t="b">
        <v>0</v>
      </c>
      <c r="C716" s="93">
        <f>Accounts!N716</f>
        <v/>
      </c>
      <c r="D716" s="94" t="n"/>
      <c r="E716" s="93">
        <f>Accounts!F716</f>
        <v/>
      </c>
      <c r="F716" s="94">
        <f>Accounts!Q716</f>
        <v/>
      </c>
      <c r="G716" s="94">
        <f>Accounts!R716</f>
        <v/>
      </c>
      <c r="H716" s="94">
        <f>Accounts!I716</f>
        <v/>
      </c>
      <c r="I716" s="94">
        <f>Accounts!J716</f>
        <v/>
      </c>
      <c r="J716" s="93">
        <f>Accounts!S716</f>
        <v/>
      </c>
      <c r="K716" s="88" t="n"/>
      <c r="L716" s="95" t="n"/>
      <c r="M716" s="55" t="b">
        <v>0</v>
      </c>
      <c r="N716" s="96" t="b">
        <v>0</v>
      </c>
      <c r="O716" s="55" t="b">
        <v>0</v>
      </c>
      <c r="P716" s="55" t="b">
        <v>0</v>
      </c>
      <c r="Q716" s="55" t="b">
        <v>0</v>
      </c>
      <c r="R716" s="55" t="b">
        <v>0</v>
      </c>
      <c r="S716" s="55" t="b">
        <v>0</v>
      </c>
      <c r="T716" s="55" t="b">
        <v>0</v>
      </c>
      <c r="U716" s="55" t="b">
        <v>0</v>
      </c>
      <c r="V716" s="55" t="b">
        <v>0</v>
      </c>
    </row>
    <row r="717" ht="69" customHeight="1" s="211">
      <c r="A717" s="92">
        <f>Accounts!A717</f>
        <v/>
      </c>
      <c r="B717" s="12" t="b">
        <v>0</v>
      </c>
      <c r="C717" s="93">
        <f>Accounts!N717</f>
        <v/>
      </c>
      <c r="D717" s="94" t="n"/>
      <c r="E717" s="93">
        <f>Accounts!F717</f>
        <v/>
      </c>
      <c r="F717" s="94">
        <f>Accounts!Q717</f>
        <v/>
      </c>
      <c r="G717" s="94">
        <f>Accounts!R717</f>
        <v/>
      </c>
      <c r="H717" s="94">
        <f>Accounts!I717</f>
        <v/>
      </c>
      <c r="I717" s="94">
        <f>Accounts!J717</f>
        <v/>
      </c>
      <c r="J717" s="93">
        <f>Accounts!S717</f>
        <v/>
      </c>
      <c r="K717" s="88" t="n"/>
      <c r="L717" s="95" t="n"/>
      <c r="M717" s="55" t="b">
        <v>0</v>
      </c>
      <c r="N717" s="96" t="b">
        <v>0</v>
      </c>
      <c r="O717" s="55" t="b">
        <v>0</v>
      </c>
      <c r="P717" s="55" t="b">
        <v>0</v>
      </c>
      <c r="Q717" s="55" t="b">
        <v>0</v>
      </c>
      <c r="R717" s="55" t="b">
        <v>0</v>
      </c>
      <c r="S717" s="55" t="b">
        <v>0</v>
      </c>
      <c r="T717" s="55" t="b">
        <v>0</v>
      </c>
      <c r="U717" s="55" t="b">
        <v>0</v>
      </c>
      <c r="V717" s="55" t="b">
        <v>0</v>
      </c>
    </row>
    <row r="718" ht="69" customHeight="1" s="211">
      <c r="A718" s="92">
        <f>Accounts!A718</f>
        <v/>
      </c>
      <c r="B718" s="12" t="b">
        <v>0</v>
      </c>
      <c r="C718" s="93">
        <f>Accounts!N718</f>
        <v/>
      </c>
      <c r="D718" s="94" t="n"/>
      <c r="E718" s="93">
        <f>Accounts!F718</f>
        <v/>
      </c>
      <c r="F718" s="94">
        <f>Accounts!Q718</f>
        <v/>
      </c>
      <c r="G718" s="94">
        <f>Accounts!R718</f>
        <v/>
      </c>
      <c r="H718" s="94">
        <f>Accounts!I718</f>
        <v/>
      </c>
      <c r="I718" s="94">
        <f>Accounts!J718</f>
        <v/>
      </c>
      <c r="J718" s="93">
        <f>Accounts!S718</f>
        <v/>
      </c>
      <c r="K718" s="88" t="n"/>
      <c r="L718" s="95" t="n"/>
      <c r="M718" s="55" t="b">
        <v>0</v>
      </c>
      <c r="N718" s="96" t="b">
        <v>0</v>
      </c>
      <c r="O718" s="55" t="b">
        <v>0</v>
      </c>
      <c r="P718" s="55" t="b">
        <v>0</v>
      </c>
      <c r="Q718" s="55" t="b">
        <v>0</v>
      </c>
      <c r="R718" s="55" t="b">
        <v>0</v>
      </c>
      <c r="S718" s="55" t="b">
        <v>0</v>
      </c>
      <c r="T718" s="55" t="b">
        <v>0</v>
      </c>
      <c r="U718" s="55" t="b">
        <v>0</v>
      </c>
      <c r="V718" s="55" t="b">
        <v>0</v>
      </c>
    </row>
    <row r="719" ht="69" customHeight="1" s="211">
      <c r="A719" s="92">
        <f>Accounts!A719</f>
        <v/>
      </c>
      <c r="B719" s="12" t="b">
        <v>0</v>
      </c>
      <c r="C719" s="93">
        <f>Accounts!N719</f>
        <v/>
      </c>
      <c r="D719" s="94" t="n"/>
      <c r="E719" s="93">
        <f>Accounts!F719</f>
        <v/>
      </c>
      <c r="F719" s="94">
        <f>Accounts!Q719</f>
        <v/>
      </c>
      <c r="G719" s="94">
        <f>Accounts!R719</f>
        <v/>
      </c>
      <c r="H719" s="94">
        <f>Accounts!I719</f>
        <v/>
      </c>
      <c r="I719" s="94">
        <f>Accounts!J719</f>
        <v/>
      </c>
      <c r="J719" s="93">
        <f>Accounts!S719</f>
        <v/>
      </c>
      <c r="K719" s="88" t="n"/>
      <c r="L719" s="95" t="n"/>
      <c r="M719" s="55" t="b">
        <v>0</v>
      </c>
      <c r="N719" s="96" t="b">
        <v>0</v>
      </c>
      <c r="O719" s="55" t="b">
        <v>0</v>
      </c>
      <c r="P719" s="55" t="b">
        <v>0</v>
      </c>
      <c r="Q719" s="55" t="b">
        <v>0</v>
      </c>
      <c r="R719" s="55" t="b">
        <v>0</v>
      </c>
      <c r="S719" s="55" t="b">
        <v>0</v>
      </c>
      <c r="T719" s="55" t="b">
        <v>0</v>
      </c>
      <c r="U719" s="55" t="b">
        <v>0</v>
      </c>
      <c r="V719" s="55" t="b">
        <v>0</v>
      </c>
    </row>
    <row r="720" ht="69" customHeight="1" s="211">
      <c r="A720" s="92">
        <f>Accounts!A720</f>
        <v/>
      </c>
      <c r="B720" s="12" t="b">
        <v>0</v>
      </c>
      <c r="C720" s="93">
        <f>Accounts!N720</f>
        <v/>
      </c>
      <c r="D720" s="94" t="n"/>
      <c r="E720" s="93">
        <f>Accounts!F720</f>
        <v/>
      </c>
      <c r="F720" s="94">
        <f>Accounts!Q720</f>
        <v/>
      </c>
      <c r="G720" s="94">
        <f>Accounts!R720</f>
        <v/>
      </c>
      <c r="H720" s="94">
        <f>Accounts!I720</f>
        <v/>
      </c>
      <c r="I720" s="94">
        <f>Accounts!J720</f>
        <v/>
      </c>
      <c r="J720" s="93">
        <f>Accounts!S720</f>
        <v/>
      </c>
      <c r="K720" s="88" t="n"/>
      <c r="L720" s="95" t="n"/>
      <c r="M720" s="55" t="b">
        <v>0</v>
      </c>
      <c r="N720" s="96" t="b">
        <v>0</v>
      </c>
      <c r="O720" s="55" t="b">
        <v>0</v>
      </c>
      <c r="P720" s="55" t="b">
        <v>0</v>
      </c>
      <c r="Q720" s="55" t="b">
        <v>0</v>
      </c>
      <c r="R720" s="55" t="b">
        <v>0</v>
      </c>
      <c r="S720" s="55" t="b">
        <v>0</v>
      </c>
      <c r="T720" s="55" t="b">
        <v>0</v>
      </c>
      <c r="U720" s="55" t="b">
        <v>0</v>
      </c>
      <c r="V720" s="55" t="b">
        <v>0</v>
      </c>
    </row>
    <row r="721" ht="69" customHeight="1" s="211">
      <c r="A721" s="92">
        <f>Accounts!A721</f>
        <v/>
      </c>
      <c r="B721" s="12" t="b">
        <v>0</v>
      </c>
      <c r="C721" s="93">
        <f>Accounts!N721</f>
        <v/>
      </c>
      <c r="D721" s="94" t="n"/>
      <c r="E721" s="93">
        <f>Accounts!F721</f>
        <v/>
      </c>
      <c r="F721" s="94">
        <f>Accounts!Q721</f>
        <v/>
      </c>
      <c r="G721" s="94">
        <f>Accounts!R721</f>
        <v/>
      </c>
      <c r="H721" s="94">
        <f>Accounts!I721</f>
        <v/>
      </c>
      <c r="I721" s="94">
        <f>Accounts!J721</f>
        <v/>
      </c>
      <c r="J721" s="93">
        <f>Accounts!S721</f>
        <v/>
      </c>
      <c r="K721" s="88" t="n"/>
      <c r="L721" s="95" t="n"/>
      <c r="M721" s="55" t="b">
        <v>0</v>
      </c>
      <c r="N721" s="96" t="b">
        <v>0</v>
      </c>
      <c r="O721" s="55" t="b">
        <v>0</v>
      </c>
      <c r="P721" s="55" t="b">
        <v>0</v>
      </c>
      <c r="Q721" s="55" t="b">
        <v>0</v>
      </c>
      <c r="R721" s="55" t="b">
        <v>0</v>
      </c>
      <c r="S721" s="55" t="b">
        <v>0</v>
      </c>
      <c r="T721" s="55" t="b">
        <v>0</v>
      </c>
      <c r="U721" s="55" t="b">
        <v>0</v>
      </c>
      <c r="V721" s="55" t="b">
        <v>0</v>
      </c>
    </row>
    <row r="722" ht="69" customHeight="1" s="211">
      <c r="A722" s="92">
        <f>Accounts!A722</f>
        <v/>
      </c>
      <c r="B722" s="12" t="b">
        <v>0</v>
      </c>
      <c r="C722" s="93">
        <f>Accounts!N722</f>
        <v/>
      </c>
      <c r="D722" s="94" t="n"/>
      <c r="E722" s="93">
        <f>Accounts!F722</f>
        <v/>
      </c>
      <c r="F722" s="94">
        <f>Accounts!Q722</f>
        <v/>
      </c>
      <c r="G722" s="94">
        <f>Accounts!R722</f>
        <v/>
      </c>
      <c r="H722" s="94">
        <f>Accounts!I722</f>
        <v/>
      </c>
      <c r="I722" s="94">
        <f>Accounts!J722</f>
        <v/>
      </c>
      <c r="J722" s="93">
        <f>Accounts!S722</f>
        <v/>
      </c>
      <c r="K722" s="88" t="n"/>
      <c r="L722" s="95" t="n"/>
      <c r="M722" s="55" t="b">
        <v>0</v>
      </c>
      <c r="N722" s="96" t="b">
        <v>0</v>
      </c>
      <c r="O722" s="55" t="b">
        <v>0</v>
      </c>
      <c r="P722" s="55" t="b">
        <v>0</v>
      </c>
      <c r="Q722" s="55" t="b">
        <v>0</v>
      </c>
      <c r="R722" s="55" t="b">
        <v>0</v>
      </c>
      <c r="S722" s="55" t="b">
        <v>0</v>
      </c>
      <c r="T722" s="55" t="b">
        <v>0</v>
      </c>
      <c r="U722" s="55" t="b">
        <v>0</v>
      </c>
      <c r="V722" s="55" t="b">
        <v>0</v>
      </c>
    </row>
    <row r="723" ht="69" customHeight="1" s="211">
      <c r="A723" s="92">
        <f>Accounts!A723</f>
        <v/>
      </c>
      <c r="B723" s="12" t="b">
        <v>0</v>
      </c>
      <c r="C723" s="93">
        <f>Accounts!N723</f>
        <v/>
      </c>
      <c r="D723" s="94" t="n"/>
      <c r="E723" s="93">
        <f>Accounts!F723</f>
        <v/>
      </c>
      <c r="F723" s="94">
        <f>Accounts!Q723</f>
        <v/>
      </c>
      <c r="G723" s="94">
        <f>Accounts!R723</f>
        <v/>
      </c>
      <c r="H723" s="94">
        <f>Accounts!I723</f>
        <v/>
      </c>
      <c r="I723" s="94">
        <f>Accounts!J723</f>
        <v/>
      </c>
      <c r="J723" s="93">
        <f>Accounts!S723</f>
        <v/>
      </c>
      <c r="K723" s="88" t="n"/>
      <c r="L723" s="95" t="n"/>
      <c r="M723" s="55" t="b">
        <v>0</v>
      </c>
      <c r="N723" s="96" t="b">
        <v>0</v>
      </c>
      <c r="O723" s="55" t="b">
        <v>0</v>
      </c>
      <c r="P723" s="55" t="b">
        <v>0</v>
      </c>
      <c r="Q723" s="55" t="b">
        <v>0</v>
      </c>
      <c r="R723" s="55" t="b">
        <v>0</v>
      </c>
      <c r="S723" s="55" t="b">
        <v>0</v>
      </c>
      <c r="T723" s="55" t="b">
        <v>0</v>
      </c>
      <c r="U723" s="55" t="b">
        <v>0</v>
      </c>
      <c r="V723" s="55" t="b">
        <v>0</v>
      </c>
    </row>
    <row r="724" ht="69" customHeight="1" s="211">
      <c r="A724" s="92">
        <f>Accounts!A724</f>
        <v/>
      </c>
      <c r="B724" s="12" t="b">
        <v>0</v>
      </c>
      <c r="C724" s="93">
        <f>Accounts!N724</f>
        <v/>
      </c>
      <c r="D724" s="94" t="n"/>
      <c r="E724" s="93">
        <f>Accounts!F724</f>
        <v/>
      </c>
      <c r="F724" s="94">
        <f>Accounts!Q724</f>
        <v/>
      </c>
      <c r="G724" s="94">
        <f>Accounts!R724</f>
        <v/>
      </c>
      <c r="H724" s="94">
        <f>Accounts!I724</f>
        <v/>
      </c>
      <c r="I724" s="94">
        <f>Accounts!J724</f>
        <v/>
      </c>
      <c r="J724" s="93">
        <f>Accounts!S724</f>
        <v/>
      </c>
      <c r="K724" s="88" t="n"/>
      <c r="L724" s="95" t="n"/>
      <c r="M724" s="55" t="b">
        <v>0</v>
      </c>
      <c r="N724" s="96" t="b">
        <v>0</v>
      </c>
      <c r="O724" s="55" t="b">
        <v>0</v>
      </c>
      <c r="P724" s="55" t="b">
        <v>0</v>
      </c>
      <c r="Q724" s="55" t="b">
        <v>0</v>
      </c>
      <c r="R724" s="55" t="b">
        <v>0</v>
      </c>
      <c r="S724" s="55" t="b">
        <v>0</v>
      </c>
      <c r="T724" s="55" t="b">
        <v>0</v>
      </c>
      <c r="U724" s="55" t="b">
        <v>0</v>
      </c>
      <c r="V724" s="55" t="b">
        <v>0</v>
      </c>
    </row>
    <row r="725" ht="69" customHeight="1" s="211">
      <c r="A725" s="92">
        <f>Accounts!A725</f>
        <v/>
      </c>
      <c r="B725" s="12" t="b">
        <v>0</v>
      </c>
      <c r="C725" s="93">
        <f>Accounts!N725</f>
        <v/>
      </c>
      <c r="D725" s="94" t="n"/>
      <c r="E725" s="93">
        <f>Accounts!F725</f>
        <v/>
      </c>
      <c r="F725" s="94">
        <f>Accounts!Q725</f>
        <v/>
      </c>
      <c r="G725" s="94">
        <f>Accounts!R725</f>
        <v/>
      </c>
      <c r="H725" s="94">
        <f>Accounts!I725</f>
        <v/>
      </c>
      <c r="I725" s="94">
        <f>Accounts!J725</f>
        <v/>
      </c>
      <c r="J725" s="93">
        <f>Accounts!S725</f>
        <v/>
      </c>
      <c r="K725" s="88" t="n"/>
      <c r="L725" s="95" t="n"/>
      <c r="M725" s="55" t="b">
        <v>0</v>
      </c>
      <c r="N725" s="96" t="b">
        <v>0</v>
      </c>
      <c r="O725" s="55" t="b">
        <v>0</v>
      </c>
      <c r="P725" s="55" t="b">
        <v>0</v>
      </c>
      <c r="Q725" s="55" t="b">
        <v>0</v>
      </c>
      <c r="R725" s="55" t="b">
        <v>0</v>
      </c>
      <c r="S725" s="55" t="b">
        <v>0</v>
      </c>
      <c r="T725" s="55" t="b">
        <v>0</v>
      </c>
      <c r="U725" s="55" t="b">
        <v>0</v>
      </c>
      <c r="V725" s="55" t="b">
        <v>0</v>
      </c>
    </row>
    <row r="726" ht="69" customHeight="1" s="211">
      <c r="A726" s="92">
        <f>Accounts!A726</f>
        <v/>
      </c>
      <c r="B726" s="12" t="b">
        <v>0</v>
      </c>
      <c r="C726" s="93">
        <f>Accounts!N726</f>
        <v/>
      </c>
      <c r="D726" s="94" t="n"/>
      <c r="E726" s="93">
        <f>Accounts!F726</f>
        <v/>
      </c>
      <c r="F726" s="94">
        <f>Accounts!Q726</f>
        <v/>
      </c>
      <c r="G726" s="94">
        <f>Accounts!R726</f>
        <v/>
      </c>
      <c r="H726" s="94">
        <f>Accounts!I726</f>
        <v/>
      </c>
      <c r="I726" s="94">
        <f>Accounts!J726</f>
        <v/>
      </c>
      <c r="J726" s="93">
        <f>Accounts!S726</f>
        <v/>
      </c>
      <c r="K726" s="88" t="n"/>
      <c r="L726" s="95" t="n"/>
      <c r="M726" s="55" t="b">
        <v>0</v>
      </c>
      <c r="N726" s="96" t="b">
        <v>0</v>
      </c>
      <c r="O726" s="55" t="b">
        <v>0</v>
      </c>
      <c r="P726" s="55" t="b">
        <v>0</v>
      </c>
      <c r="Q726" s="55" t="b">
        <v>0</v>
      </c>
      <c r="R726" s="55" t="b">
        <v>0</v>
      </c>
      <c r="S726" s="55" t="b">
        <v>0</v>
      </c>
      <c r="T726" s="55" t="b">
        <v>0</v>
      </c>
      <c r="U726" s="55" t="b">
        <v>0</v>
      </c>
      <c r="V726" s="55" t="b">
        <v>0</v>
      </c>
    </row>
    <row r="727" ht="69" customHeight="1" s="211">
      <c r="A727" s="92">
        <f>Accounts!A727</f>
        <v/>
      </c>
      <c r="B727" s="12" t="b">
        <v>0</v>
      </c>
      <c r="C727" s="93">
        <f>Accounts!N727</f>
        <v/>
      </c>
      <c r="D727" s="94" t="n"/>
      <c r="E727" s="93">
        <f>Accounts!F727</f>
        <v/>
      </c>
      <c r="F727" s="94">
        <f>Accounts!Q727</f>
        <v/>
      </c>
      <c r="G727" s="94">
        <f>Accounts!R727</f>
        <v/>
      </c>
      <c r="H727" s="94">
        <f>Accounts!I727</f>
        <v/>
      </c>
      <c r="I727" s="94">
        <f>Accounts!J727</f>
        <v/>
      </c>
      <c r="J727" s="93">
        <f>Accounts!S727</f>
        <v/>
      </c>
      <c r="K727" s="88" t="n"/>
      <c r="L727" s="95" t="n"/>
      <c r="M727" s="55" t="b">
        <v>0</v>
      </c>
      <c r="N727" s="96" t="b">
        <v>0</v>
      </c>
      <c r="O727" s="55" t="b">
        <v>0</v>
      </c>
      <c r="P727" s="55" t="b">
        <v>0</v>
      </c>
      <c r="Q727" s="55" t="b">
        <v>0</v>
      </c>
      <c r="R727" s="55" t="b">
        <v>0</v>
      </c>
      <c r="S727" s="55" t="b">
        <v>0</v>
      </c>
      <c r="T727" s="55" t="b">
        <v>0</v>
      </c>
      <c r="U727" s="55" t="b">
        <v>0</v>
      </c>
      <c r="V727" s="55" t="b">
        <v>0</v>
      </c>
    </row>
    <row r="728" ht="69" customHeight="1" s="211">
      <c r="A728" s="92">
        <f>Accounts!A728</f>
        <v/>
      </c>
      <c r="B728" s="12" t="b">
        <v>0</v>
      </c>
      <c r="C728" s="93">
        <f>Accounts!N728</f>
        <v/>
      </c>
      <c r="D728" s="94" t="n"/>
      <c r="E728" s="93">
        <f>Accounts!F728</f>
        <v/>
      </c>
      <c r="F728" s="94">
        <f>Accounts!Q728</f>
        <v/>
      </c>
      <c r="G728" s="94">
        <f>Accounts!R728</f>
        <v/>
      </c>
      <c r="H728" s="94">
        <f>Accounts!I728</f>
        <v/>
      </c>
      <c r="I728" s="94">
        <f>Accounts!J728</f>
        <v/>
      </c>
      <c r="J728" s="93">
        <f>Accounts!S728</f>
        <v/>
      </c>
      <c r="K728" s="88" t="n"/>
      <c r="L728" s="95" t="n"/>
      <c r="M728" s="55" t="b">
        <v>0</v>
      </c>
      <c r="N728" s="96" t="b">
        <v>0</v>
      </c>
      <c r="O728" s="55" t="b">
        <v>0</v>
      </c>
      <c r="P728" s="55" t="b">
        <v>0</v>
      </c>
      <c r="Q728" s="55" t="b">
        <v>0</v>
      </c>
      <c r="R728" s="55" t="b">
        <v>0</v>
      </c>
      <c r="S728" s="55" t="b">
        <v>0</v>
      </c>
      <c r="T728" s="55" t="b">
        <v>0</v>
      </c>
      <c r="U728" s="55" t="b">
        <v>0</v>
      </c>
      <c r="V728" s="55" t="b">
        <v>0</v>
      </c>
    </row>
    <row r="729" ht="69" customHeight="1" s="211">
      <c r="A729" s="92">
        <f>Accounts!A729</f>
        <v/>
      </c>
      <c r="B729" s="12" t="b">
        <v>0</v>
      </c>
      <c r="C729" s="93">
        <f>Accounts!N729</f>
        <v/>
      </c>
      <c r="D729" s="94" t="n"/>
      <c r="E729" s="93">
        <f>Accounts!F729</f>
        <v/>
      </c>
      <c r="F729" s="94">
        <f>Accounts!Q729</f>
        <v/>
      </c>
      <c r="G729" s="94">
        <f>Accounts!R729</f>
        <v/>
      </c>
      <c r="H729" s="94">
        <f>Accounts!I729</f>
        <v/>
      </c>
      <c r="I729" s="94">
        <f>Accounts!J729</f>
        <v/>
      </c>
      <c r="J729" s="93">
        <f>Accounts!S729</f>
        <v/>
      </c>
      <c r="K729" s="88" t="n"/>
      <c r="L729" s="95" t="n"/>
      <c r="M729" s="55" t="b">
        <v>0</v>
      </c>
      <c r="N729" s="96" t="b">
        <v>0</v>
      </c>
      <c r="O729" s="55" t="b">
        <v>0</v>
      </c>
      <c r="P729" s="55" t="b">
        <v>0</v>
      </c>
      <c r="Q729" s="55" t="b">
        <v>0</v>
      </c>
      <c r="R729" s="55" t="b">
        <v>0</v>
      </c>
      <c r="S729" s="55" t="b">
        <v>0</v>
      </c>
      <c r="T729" s="55" t="b">
        <v>0</v>
      </c>
      <c r="U729" s="55" t="b">
        <v>0</v>
      </c>
      <c r="V729" s="55" t="b">
        <v>0</v>
      </c>
    </row>
    <row r="730" ht="69" customHeight="1" s="211">
      <c r="A730" s="92">
        <f>Accounts!A730</f>
        <v/>
      </c>
      <c r="B730" s="12" t="b">
        <v>0</v>
      </c>
      <c r="C730" s="93">
        <f>Accounts!N730</f>
        <v/>
      </c>
      <c r="D730" s="94" t="n"/>
      <c r="E730" s="93">
        <f>Accounts!F730</f>
        <v/>
      </c>
      <c r="F730" s="94">
        <f>Accounts!Q730</f>
        <v/>
      </c>
      <c r="G730" s="94">
        <f>Accounts!R730</f>
        <v/>
      </c>
      <c r="H730" s="94">
        <f>Accounts!I730</f>
        <v/>
      </c>
      <c r="I730" s="94">
        <f>Accounts!J730</f>
        <v/>
      </c>
      <c r="J730" s="93">
        <f>Accounts!S730</f>
        <v/>
      </c>
      <c r="K730" s="88" t="n"/>
      <c r="L730" s="95" t="n"/>
      <c r="M730" s="55" t="b">
        <v>0</v>
      </c>
      <c r="N730" s="96" t="b">
        <v>0</v>
      </c>
      <c r="O730" s="55" t="b">
        <v>0</v>
      </c>
      <c r="P730" s="55" t="b">
        <v>0</v>
      </c>
      <c r="Q730" s="55" t="b">
        <v>0</v>
      </c>
      <c r="R730" s="55" t="b">
        <v>0</v>
      </c>
      <c r="S730" s="55" t="b">
        <v>0</v>
      </c>
      <c r="T730" s="55" t="b">
        <v>0</v>
      </c>
      <c r="U730" s="55" t="b">
        <v>0</v>
      </c>
      <c r="V730" s="55" t="b">
        <v>0</v>
      </c>
    </row>
    <row r="731" ht="69" customHeight="1" s="211">
      <c r="A731" s="92">
        <f>Accounts!A731</f>
        <v/>
      </c>
      <c r="B731" s="12" t="b">
        <v>0</v>
      </c>
      <c r="C731" s="93">
        <f>Accounts!N731</f>
        <v/>
      </c>
      <c r="D731" s="94" t="n"/>
      <c r="E731" s="93">
        <f>Accounts!F731</f>
        <v/>
      </c>
      <c r="F731" s="94">
        <f>Accounts!Q731</f>
        <v/>
      </c>
      <c r="G731" s="94">
        <f>Accounts!R731</f>
        <v/>
      </c>
      <c r="H731" s="94">
        <f>Accounts!I731</f>
        <v/>
      </c>
      <c r="I731" s="94">
        <f>Accounts!J731</f>
        <v/>
      </c>
      <c r="J731" s="93">
        <f>Accounts!S731</f>
        <v/>
      </c>
      <c r="K731" s="88" t="n"/>
      <c r="L731" s="95" t="n"/>
      <c r="M731" s="55" t="b">
        <v>0</v>
      </c>
      <c r="N731" s="96" t="b">
        <v>0</v>
      </c>
      <c r="O731" s="55" t="b">
        <v>0</v>
      </c>
      <c r="P731" s="55" t="b">
        <v>0</v>
      </c>
      <c r="Q731" s="55" t="b">
        <v>0</v>
      </c>
      <c r="R731" s="55" t="b">
        <v>0</v>
      </c>
      <c r="S731" s="55" t="b">
        <v>0</v>
      </c>
      <c r="T731" s="55" t="b">
        <v>0</v>
      </c>
      <c r="U731" s="55" t="b">
        <v>0</v>
      </c>
      <c r="V731" s="55" t="b">
        <v>0</v>
      </c>
    </row>
    <row r="732" ht="69" customHeight="1" s="211">
      <c r="A732" s="92">
        <f>Accounts!A732</f>
        <v/>
      </c>
      <c r="B732" s="12" t="b">
        <v>0</v>
      </c>
      <c r="C732" s="93">
        <f>Accounts!N732</f>
        <v/>
      </c>
      <c r="D732" s="94" t="n"/>
      <c r="E732" s="93">
        <f>Accounts!F732</f>
        <v/>
      </c>
      <c r="F732" s="94">
        <f>Accounts!Q732</f>
        <v/>
      </c>
      <c r="G732" s="94">
        <f>Accounts!R732</f>
        <v/>
      </c>
      <c r="H732" s="94">
        <f>Accounts!I732</f>
        <v/>
      </c>
      <c r="I732" s="94">
        <f>Accounts!J732</f>
        <v/>
      </c>
      <c r="J732" s="93">
        <f>Accounts!S732</f>
        <v/>
      </c>
      <c r="K732" s="88" t="n"/>
      <c r="L732" s="95" t="n"/>
      <c r="M732" s="55" t="b">
        <v>0</v>
      </c>
      <c r="N732" s="96" t="b">
        <v>0</v>
      </c>
      <c r="O732" s="55" t="b">
        <v>0</v>
      </c>
      <c r="P732" s="55" t="b">
        <v>0</v>
      </c>
      <c r="Q732" s="55" t="b">
        <v>0</v>
      </c>
      <c r="R732" s="55" t="b">
        <v>0</v>
      </c>
      <c r="S732" s="55" t="b">
        <v>0</v>
      </c>
      <c r="T732" s="55" t="b">
        <v>0</v>
      </c>
      <c r="U732" s="55" t="b">
        <v>0</v>
      </c>
      <c r="V732" s="55" t="b">
        <v>0</v>
      </c>
    </row>
    <row r="733" ht="69" customHeight="1" s="211">
      <c r="A733" s="92">
        <f>Accounts!A733</f>
        <v/>
      </c>
      <c r="B733" s="12" t="b">
        <v>0</v>
      </c>
      <c r="C733" s="93">
        <f>Accounts!N733</f>
        <v/>
      </c>
      <c r="D733" s="94" t="n"/>
      <c r="E733" s="93">
        <f>Accounts!F733</f>
        <v/>
      </c>
      <c r="F733" s="94">
        <f>Accounts!Q733</f>
        <v/>
      </c>
      <c r="G733" s="94">
        <f>Accounts!R733</f>
        <v/>
      </c>
      <c r="H733" s="94">
        <f>Accounts!I733</f>
        <v/>
      </c>
      <c r="I733" s="94">
        <f>Accounts!J733</f>
        <v/>
      </c>
      <c r="J733" s="93">
        <f>Accounts!S733</f>
        <v/>
      </c>
      <c r="K733" s="88" t="n"/>
      <c r="L733" s="95" t="n"/>
      <c r="M733" s="55" t="b">
        <v>0</v>
      </c>
      <c r="N733" s="96" t="b">
        <v>0</v>
      </c>
      <c r="O733" s="55" t="b">
        <v>0</v>
      </c>
      <c r="P733" s="55" t="b">
        <v>0</v>
      </c>
      <c r="Q733" s="55" t="b">
        <v>0</v>
      </c>
      <c r="R733" s="55" t="b">
        <v>0</v>
      </c>
      <c r="S733" s="55" t="b">
        <v>0</v>
      </c>
      <c r="T733" s="55" t="b">
        <v>0</v>
      </c>
      <c r="U733" s="55" t="b">
        <v>0</v>
      </c>
      <c r="V733" s="55" t="b">
        <v>0</v>
      </c>
    </row>
    <row r="734" ht="69" customHeight="1" s="211">
      <c r="A734" s="92">
        <f>Accounts!A734</f>
        <v/>
      </c>
      <c r="B734" s="12" t="b">
        <v>0</v>
      </c>
      <c r="C734" s="93">
        <f>Accounts!N734</f>
        <v/>
      </c>
      <c r="D734" s="94" t="n"/>
      <c r="E734" s="93">
        <f>Accounts!F734</f>
        <v/>
      </c>
      <c r="F734" s="94">
        <f>Accounts!Q734</f>
        <v/>
      </c>
      <c r="G734" s="94">
        <f>Accounts!R734</f>
        <v/>
      </c>
      <c r="H734" s="94">
        <f>Accounts!I734</f>
        <v/>
      </c>
      <c r="I734" s="94">
        <f>Accounts!J734</f>
        <v/>
      </c>
      <c r="J734" s="93">
        <f>Accounts!S734</f>
        <v/>
      </c>
      <c r="K734" s="88" t="n"/>
      <c r="L734" s="95" t="n"/>
      <c r="M734" s="55" t="b">
        <v>0</v>
      </c>
      <c r="N734" s="96" t="b">
        <v>0</v>
      </c>
      <c r="O734" s="55" t="b">
        <v>0</v>
      </c>
      <c r="P734" s="55" t="b">
        <v>0</v>
      </c>
      <c r="Q734" s="55" t="b">
        <v>0</v>
      </c>
      <c r="R734" s="55" t="b">
        <v>0</v>
      </c>
      <c r="S734" s="55" t="b">
        <v>0</v>
      </c>
      <c r="T734" s="55" t="b">
        <v>0</v>
      </c>
      <c r="U734" s="55" t="b">
        <v>0</v>
      </c>
      <c r="V734" s="55" t="b">
        <v>0</v>
      </c>
    </row>
    <row r="735" ht="69" customHeight="1" s="211">
      <c r="A735" s="92">
        <f>Accounts!A735</f>
        <v/>
      </c>
      <c r="B735" s="12" t="b">
        <v>0</v>
      </c>
      <c r="C735" s="93">
        <f>Accounts!N735</f>
        <v/>
      </c>
      <c r="D735" s="94" t="n"/>
      <c r="E735" s="93">
        <f>Accounts!F735</f>
        <v/>
      </c>
      <c r="F735" s="94">
        <f>Accounts!Q735</f>
        <v/>
      </c>
      <c r="G735" s="94">
        <f>Accounts!R735</f>
        <v/>
      </c>
      <c r="H735" s="94">
        <f>Accounts!I735</f>
        <v/>
      </c>
      <c r="I735" s="94">
        <f>Accounts!J735</f>
        <v/>
      </c>
      <c r="J735" s="93">
        <f>Accounts!S735</f>
        <v/>
      </c>
      <c r="K735" s="88" t="n"/>
      <c r="L735" s="95" t="n"/>
      <c r="M735" s="55" t="b">
        <v>0</v>
      </c>
      <c r="N735" s="96" t="b">
        <v>0</v>
      </c>
      <c r="O735" s="55" t="b">
        <v>0</v>
      </c>
      <c r="P735" s="55" t="b">
        <v>0</v>
      </c>
      <c r="Q735" s="55" t="b">
        <v>0</v>
      </c>
      <c r="R735" s="55" t="b">
        <v>0</v>
      </c>
      <c r="S735" s="55" t="b">
        <v>0</v>
      </c>
      <c r="T735" s="55" t="b">
        <v>0</v>
      </c>
      <c r="U735" s="55" t="b">
        <v>0</v>
      </c>
      <c r="V735" s="55" t="b">
        <v>0</v>
      </c>
    </row>
    <row r="736" ht="69" customHeight="1" s="211">
      <c r="A736" s="92">
        <f>Accounts!A736</f>
        <v/>
      </c>
      <c r="B736" s="12" t="b">
        <v>0</v>
      </c>
      <c r="C736" s="93">
        <f>Accounts!N736</f>
        <v/>
      </c>
      <c r="D736" s="94" t="n"/>
      <c r="E736" s="93">
        <f>Accounts!F736</f>
        <v/>
      </c>
      <c r="F736" s="94">
        <f>Accounts!Q736</f>
        <v/>
      </c>
      <c r="G736" s="94">
        <f>Accounts!R736</f>
        <v/>
      </c>
      <c r="H736" s="94">
        <f>Accounts!I736</f>
        <v/>
      </c>
      <c r="I736" s="94">
        <f>Accounts!J736</f>
        <v/>
      </c>
      <c r="J736" s="93">
        <f>Accounts!S736</f>
        <v/>
      </c>
      <c r="K736" s="88" t="n"/>
      <c r="L736" s="95" t="n"/>
      <c r="M736" s="55" t="b">
        <v>0</v>
      </c>
      <c r="N736" s="96" t="b">
        <v>0</v>
      </c>
      <c r="O736" s="55" t="b">
        <v>0</v>
      </c>
      <c r="P736" s="55" t="b">
        <v>0</v>
      </c>
      <c r="Q736" s="55" t="b">
        <v>0</v>
      </c>
      <c r="R736" s="55" t="b">
        <v>0</v>
      </c>
      <c r="S736" s="55" t="b">
        <v>0</v>
      </c>
      <c r="T736" s="55" t="b">
        <v>0</v>
      </c>
      <c r="U736" s="55" t="b">
        <v>0</v>
      </c>
      <c r="V736" s="55" t="b">
        <v>0</v>
      </c>
    </row>
    <row r="737" ht="69" customHeight="1" s="211">
      <c r="A737" s="92">
        <f>Accounts!A737</f>
        <v/>
      </c>
      <c r="B737" s="12" t="b">
        <v>0</v>
      </c>
      <c r="C737" s="93">
        <f>Accounts!N737</f>
        <v/>
      </c>
      <c r="D737" s="94" t="n"/>
      <c r="E737" s="93">
        <f>Accounts!F737</f>
        <v/>
      </c>
      <c r="F737" s="94">
        <f>Accounts!Q737</f>
        <v/>
      </c>
      <c r="G737" s="94">
        <f>Accounts!R737</f>
        <v/>
      </c>
      <c r="H737" s="94">
        <f>Accounts!I737</f>
        <v/>
      </c>
      <c r="I737" s="94">
        <f>Accounts!J737</f>
        <v/>
      </c>
      <c r="J737" s="93">
        <f>Accounts!S737</f>
        <v/>
      </c>
      <c r="K737" s="88" t="n"/>
      <c r="L737" s="95" t="n"/>
      <c r="M737" s="55" t="b">
        <v>0</v>
      </c>
      <c r="N737" s="96" t="b">
        <v>0</v>
      </c>
      <c r="O737" s="55" t="b">
        <v>0</v>
      </c>
      <c r="P737" s="55" t="b">
        <v>0</v>
      </c>
      <c r="Q737" s="55" t="b">
        <v>0</v>
      </c>
      <c r="R737" s="55" t="b">
        <v>0</v>
      </c>
      <c r="S737" s="55" t="b">
        <v>0</v>
      </c>
      <c r="T737" s="55" t="b">
        <v>0</v>
      </c>
      <c r="U737" s="55" t="b">
        <v>0</v>
      </c>
      <c r="V737" s="55" t="b">
        <v>0</v>
      </c>
    </row>
    <row r="738" ht="69" customHeight="1" s="211">
      <c r="A738" s="92">
        <f>Accounts!A738</f>
        <v/>
      </c>
      <c r="B738" s="12" t="b">
        <v>0</v>
      </c>
      <c r="C738" s="93">
        <f>Accounts!N738</f>
        <v/>
      </c>
      <c r="D738" s="94" t="n"/>
      <c r="E738" s="93">
        <f>Accounts!F738</f>
        <v/>
      </c>
      <c r="F738" s="94">
        <f>Accounts!Q738</f>
        <v/>
      </c>
      <c r="G738" s="94">
        <f>Accounts!R738</f>
        <v/>
      </c>
      <c r="H738" s="94">
        <f>Accounts!I738</f>
        <v/>
      </c>
      <c r="I738" s="94">
        <f>Accounts!J738</f>
        <v/>
      </c>
      <c r="J738" s="93">
        <f>Accounts!S738</f>
        <v/>
      </c>
      <c r="K738" s="88" t="n"/>
      <c r="L738" s="95" t="n"/>
      <c r="M738" s="55" t="b">
        <v>0</v>
      </c>
      <c r="N738" s="96" t="b">
        <v>0</v>
      </c>
      <c r="O738" s="55" t="b">
        <v>0</v>
      </c>
      <c r="P738" s="55" t="b">
        <v>0</v>
      </c>
      <c r="Q738" s="55" t="b">
        <v>0</v>
      </c>
      <c r="R738" s="55" t="b">
        <v>0</v>
      </c>
      <c r="S738" s="55" t="b">
        <v>0</v>
      </c>
      <c r="T738" s="55" t="b">
        <v>0</v>
      </c>
      <c r="U738" s="55" t="b">
        <v>0</v>
      </c>
      <c r="V738" s="55" t="b">
        <v>0</v>
      </c>
    </row>
    <row r="739" ht="69" customHeight="1" s="211">
      <c r="A739" s="92">
        <f>Accounts!A739</f>
        <v/>
      </c>
      <c r="B739" s="12" t="b">
        <v>0</v>
      </c>
      <c r="C739" s="93">
        <f>Accounts!N739</f>
        <v/>
      </c>
      <c r="D739" s="94" t="n"/>
      <c r="E739" s="93">
        <f>Accounts!F739</f>
        <v/>
      </c>
      <c r="F739" s="94">
        <f>Accounts!Q739</f>
        <v/>
      </c>
      <c r="G739" s="94">
        <f>Accounts!R739</f>
        <v/>
      </c>
      <c r="H739" s="94">
        <f>Accounts!I739</f>
        <v/>
      </c>
      <c r="I739" s="94">
        <f>Accounts!J739</f>
        <v/>
      </c>
      <c r="J739" s="93">
        <f>Accounts!S739</f>
        <v/>
      </c>
      <c r="K739" s="88" t="n"/>
      <c r="L739" s="95" t="n"/>
      <c r="M739" s="55" t="b">
        <v>0</v>
      </c>
      <c r="N739" s="96" t="b">
        <v>0</v>
      </c>
      <c r="O739" s="55" t="b">
        <v>0</v>
      </c>
      <c r="P739" s="55" t="b">
        <v>0</v>
      </c>
      <c r="Q739" s="55" t="b">
        <v>0</v>
      </c>
      <c r="R739" s="55" t="b">
        <v>0</v>
      </c>
      <c r="S739" s="55" t="b">
        <v>0</v>
      </c>
      <c r="T739" s="55" t="b">
        <v>0</v>
      </c>
      <c r="U739" s="55" t="b">
        <v>0</v>
      </c>
      <c r="V739" s="55" t="b">
        <v>0</v>
      </c>
    </row>
    <row r="740" ht="69" customHeight="1" s="211">
      <c r="A740" s="92">
        <f>Accounts!A740</f>
        <v/>
      </c>
      <c r="B740" s="12" t="b">
        <v>0</v>
      </c>
      <c r="C740" s="93">
        <f>Accounts!N740</f>
        <v/>
      </c>
      <c r="D740" s="94" t="n"/>
      <c r="E740" s="93">
        <f>Accounts!F740</f>
        <v/>
      </c>
      <c r="F740" s="94">
        <f>Accounts!Q740</f>
        <v/>
      </c>
      <c r="G740" s="94">
        <f>Accounts!R740</f>
        <v/>
      </c>
      <c r="H740" s="94">
        <f>Accounts!I740</f>
        <v/>
      </c>
      <c r="I740" s="94">
        <f>Accounts!J740</f>
        <v/>
      </c>
      <c r="J740" s="93">
        <f>Accounts!S740</f>
        <v/>
      </c>
      <c r="K740" s="88" t="n"/>
      <c r="L740" s="95" t="n"/>
      <c r="M740" s="55" t="b">
        <v>0</v>
      </c>
      <c r="N740" s="96" t="b">
        <v>0</v>
      </c>
      <c r="O740" s="55" t="b">
        <v>0</v>
      </c>
      <c r="P740" s="55" t="b">
        <v>0</v>
      </c>
      <c r="Q740" s="55" t="b">
        <v>0</v>
      </c>
      <c r="R740" s="55" t="b">
        <v>0</v>
      </c>
      <c r="S740" s="55" t="b">
        <v>0</v>
      </c>
      <c r="T740" s="55" t="b">
        <v>0</v>
      </c>
      <c r="U740" s="55" t="b">
        <v>0</v>
      </c>
      <c r="V740" s="55" t="b">
        <v>0</v>
      </c>
    </row>
    <row r="741" ht="69" customHeight="1" s="211">
      <c r="A741" s="92">
        <f>Accounts!A741</f>
        <v/>
      </c>
      <c r="B741" s="12" t="b">
        <v>0</v>
      </c>
      <c r="C741" s="93">
        <f>Accounts!N741</f>
        <v/>
      </c>
      <c r="D741" s="94" t="n"/>
      <c r="E741" s="93">
        <f>Accounts!F741</f>
        <v/>
      </c>
      <c r="F741" s="94">
        <f>Accounts!Q741</f>
        <v/>
      </c>
      <c r="G741" s="94">
        <f>Accounts!R741</f>
        <v/>
      </c>
      <c r="H741" s="94">
        <f>Accounts!I741</f>
        <v/>
      </c>
      <c r="I741" s="94">
        <f>Accounts!J741</f>
        <v/>
      </c>
      <c r="J741" s="93">
        <f>Accounts!S741</f>
        <v/>
      </c>
      <c r="K741" s="88" t="n"/>
      <c r="L741" s="95" t="n"/>
      <c r="M741" s="55" t="b">
        <v>0</v>
      </c>
      <c r="N741" s="96" t="b">
        <v>0</v>
      </c>
      <c r="O741" s="55" t="b">
        <v>0</v>
      </c>
      <c r="P741" s="55" t="b">
        <v>0</v>
      </c>
      <c r="Q741" s="55" t="b">
        <v>0</v>
      </c>
      <c r="R741" s="55" t="b">
        <v>0</v>
      </c>
      <c r="S741" s="55" t="b">
        <v>0</v>
      </c>
      <c r="T741" s="55" t="b">
        <v>0</v>
      </c>
      <c r="U741" s="55" t="b">
        <v>0</v>
      </c>
      <c r="V741" s="55" t="b">
        <v>0</v>
      </c>
    </row>
    <row r="742" ht="69" customHeight="1" s="211">
      <c r="A742" s="92">
        <f>Accounts!A742</f>
        <v/>
      </c>
      <c r="B742" s="12" t="b">
        <v>0</v>
      </c>
      <c r="C742" s="93">
        <f>Accounts!N742</f>
        <v/>
      </c>
      <c r="D742" s="94" t="n"/>
      <c r="E742" s="93">
        <f>Accounts!F742</f>
        <v/>
      </c>
      <c r="F742" s="94">
        <f>Accounts!Q742</f>
        <v/>
      </c>
      <c r="G742" s="94">
        <f>Accounts!R742</f>
        <v/>
      </c>
      <c r="H742" s="94">
        <f>Accounts!I742</f>
        <v/>
      </c>
      <c r="I742" s="94">
        <f>Accounts!J742</f>
        <v/>
      </c>
      <c r="J742" s="93">
        <f>Accounts!S742</f>
        <v/>
      </c>
      <c r="K742" s="88" t="n"/>
      <c r="L742" s="95" t="n"/>
      <c r="M742" s="55" t="b">
        <v>0</v>
      </c>
      <c r="N742" s="96" t="b">
        <v>0</v>
      </c>
      <c r="O742" s="55" t="b">
        <v>0</v>
      </c>
      <c r="P742" s="55" t="b">
        <v>0</v>
      </c>
      <c r="Q742" s="55" t="b">
        <v>0</v>
      </c>
      <c r="R742" s="55" t="b">
        <v>0</v>
      </c>
      <c r="S742" s="55" t="b">
        <v>0</v>
      </c>
      <c r="T742" s="55" t="b">
        <v>0</v>
      </c>
      <c r="U742" s="55" t="b">
        <v>0</v>
      </c>
      <c r="V742" s="55" t="b">
        <v>0</v>
      </c>
    </row>
    <row r="743" ht="69" customHeight="1" s="211">
      <c r="A743" s="92">
        <f>Accounts!A743</f>
        <v/>
      </c>
      <c r="B743" s="12" t="b">
        <v>0</v>
      </c>
      <c r="C743" s="93">
        <f>Accounts!N743</f>
        <v/>
      </c>
      <c r="D743" s="94" t="n"/>
      <c r="E743" s="93">
        <f>Accounts!F743</f>
        <v/>
      </c>
      <c r="F743" s="94">
        <f>Accounts!Q743</f>
        <v/>
      </c>
      <c r="G743" s="94">
        <f>Accounts!R743</f>
        <v/>
      </c>
      <c r="H743" s="94">
        <f>Accounts!I743</f>
        <v/>
      </c>
      <c r="I743" s="94">
        <f>Accounts!J743</f>
        <v/>
      </c>
      <c r="J743" s="93">
        <f>Accounts!S743</f>
        <v/>
      </c>
      <c r="K743" s="88" t="n"/>
      <c r="L743" s="95" t="n"/>
      <c r="M743" s="55" t="b">
        <v>0</v>
      </c>
      <c r="N743" s="96" t="b">
        <v>0</v>
      </c>
      <c r="O743" s="55" t="b">
        <v>0</v>
      </c>
      <c r="P743" s="55" t="b">
        <v>0</v>
      </c>
      <c r="Q743" s="55" t="b">
        <v>0</v>
      </c>
      <c r="R743" s="55" t="b">
        <v>0</v>
      </c>
      <c r="S743" s="55" t="b">
        <v>0</v>
      </c>
      <c r="T743" s="55" t="b">
        <v>0</v>
      </c>
      <c r="U743" s="55" t="b">
        <v>0</v>
      </c>
      <c r="V743" s="55" t="b">
        <v>0</v>
      </c>
    </row>
    <row r="744" ht="69" customHeight="1" s="211">
      <c r="A744" s="92">
        <f>Accounts!A744</f>
        <v/>
      </c>
      <c r="B744" s="12" t="b">
        <v>0</v>
      </c>
      <c r="C744" s="93">
        <f>Accounts!N744</f>
        <v/>
      </c>
      <c r="D744" s="94" t="n"/>
      <c r="E744" s="93">
        <f>Accounts!F744</f>
        <v/>
      </c>
      <c r="F744" s="94">
        <f>Accounts!Q744</f>
        <v/>
      </c>
      <c r="G744" s="94">
        <f>Accounts!R744</f>
        <v/>
      </c>
      <c r="H744" s="94">
        <f>Accounts!I744</f>
        <v/>
      </c>
      <c r="I744" s="94">
        <f>Accounts!J744</f>
        <v/>
      </c>
      <c r="J744" s="93">
        <f>Accounts!S744</f>
        <v/>
      </c>
      <c r="K744" s="88" t="n"/>
      <c r="L744" s="95" t="n"/>
      <c r="M744" s="55" t="b">
        <v>0</v>
      </c>
      <c r="N744" s="96" t="b">
        <v>0</v>
      </c>
      <c r="O744" s="55" t="b">
        <v>0</v>
      </c>
      <c r="P744" s="55" t="b">
        <v>0</v>
      </c>
      <c r="Q744" s="55" t="b">
        <v>0</v>
      </c>
      <c r="R744" s="55" t="b">
        <v>0</v>
      </c>
      <c r="S744" s="55" t="b">
        <v>0</v>
      </c>
      <c r="T744" s="55" t="b">
        <v>0</v>
      </c>
      <c r="U744" s="55" t="b">
        <v>0</v>
      </c>
      <c r="V744" s="55" t="b">
        <v>0</v>
      </c>
    </row>
    <row r="745" ht="69" customHeight="1" s="211">
      <c r="A745" s="92">
        <f>Accounts!A745</f>
        <v/>
      </c>
      <c r="B745" s="12" t="b">
        <v>0</v>
      </c>
      <c r="C745" s="93">
        <f>Accounts!N745</f>
        <v/>
      </c>
      <c r="D745" s="94" t="n"/>
      <c r="E745" s="93">
        <f>Accounts!F745</f>
        <v/>
      </c>
      <c r="F745" s="94">
        <f>Accounts!Q745</f>
        <v/>
      </c>
      <c r="G745" s="94">
        <f>Accounts!R745</f>
        <v/>
      </c>
      <c r="H745" s="94">
        <f>Accounts!I745</f>
        <v/>
      </c>
      <c r="I745" s="94">
        <f>Accounts!J745</f>
        <v/>
      </c>
      <c r="J745" s="93">
        <f>Accounts!S745</f>
        <v/>
      </c>
      <c r="K745" s="88" t="n"/>
      <c r="L745" s="95" t="n"/>
      <c r="M745" s="55" t="b">
        <v>0</v>
      </c>
      <c r="N745" s="96" t="b">
        <v>0</v>
      </c>
      <c r="O745" s="55" t="b">
        <v>0</v>
      </c>
      <c r="P745" s="55" t="b">
        <v>0</v>
      </c>
      <c r="Q745" s="55" t="b">
        <v>0</v>
      </c>
      <c r="R745" s="55" t="b">
        <v>0</v>
      </c>
      <c r="S745" s="55" t="b">
        <v>0</v>
      </c>
      <c r="T745" s="55" t="b">
        <v>0</v>
      </c>
      <c r="U745" s="55" t="b">
        <v>0</v>
      </c>
      <c r="V745" s="55" t="b">
        <v>0</v>
      </c>
    </row>
    <row r="746" ht="69" customHeight="1" s="211">
      <c r="A746" s="92">
        <f>Accounts!A746</f>
        <v/>
      </c>
      <c r="B746" s="12" t="b">
        <v>0</v>
      </c>
      <c r="C746" s="93">
        <f>Accounts!N746</f>
        <v/>
      </c>
      <c r="D746" s="94" t="n"/>
      <c r="E746" s="93">
        <f>Accounts!F746</f>
        <v/>
      </c>
      <c r="F746" s="94">
        <f>Accounts!Q746</f>
        <v/>
      </c>
      <c r="G746" s="94">
        <f>Accounts!R746</f>
        <v/>
      </c>
      <c r="H746" s="94">
        <f>Accounts!I746</f>
        <v/>
      </c>
      <c r="I746" s="94">
        <f>Accounts!J746</f>
        <v/>
      </c>
      <c r="J746" s="93">
        <f>Accounts!S746</f>
        <v/>
      </c>
      <c r="K746" s="88" t="n"/>
      <c r="L746" s="95" t="n"/>
      <c r="M746" s="55" t="b">
        <v>0</v>
      </c>
      <c r="N746" s="96" t="b">
        <v>0</v>
      </c>
      <c r="O746" s="55" t="b">
        <v>0</v>
      </c>
      <c r="P746" s="55" t="b">
        <v>0</v>
      </c>
      <c r="Q746" s="55" t="b">
        <v>0</v>
      </c>
      <c r="R746" s="55" t="b">
        <v>0</v>
      </c>
      <c r="S746" s="55" t="b">
        <v>0</v>
      </c>
      <c r="T746" s="55" t="b">
        <v>0</v>
      </c>
      <c r="U746" s="55" t="b">
        <v>0</v>
      </c>
      <c r="V746" s="55" t="b">
        <v>0</v>
      </c>
    </row>
    <row r="747" ht="69" customHeight="1" s="211">
      <c r="A747" s="92">
        <f>Accounts!A747</f>
        <v/>
      </c>
      <c r="B747" s="12" t="b">
        <v>0</v>
      </c>
      <c r="C747" s="93">
        <f>Accounts!N747</f>
        <v/>
      </c>
      <c r="D747" s="94" t="n"/>
      <c r="E747" s="93">
        <f>Accounts!F747</f>
        <v/>
      </c>
      <c r="F747" s="94">
        <f>Accounts!Q747</f>
        <v/>
      </c>
      <c r="G747" s="94">
        <f>Accounts!R747</f>
        <v/>
      </c>
      <c r="H747" s="94">
        <f>Accounts!I747</f>
        <v/>
      </c>
      <c r="I747" s="94">
        <f>Accounts!J747</f>
        <v/>
      </c>
      <c r="J747" s="93">
        <f>Accounts!S747</f>
        <v/>
      </c>
      <c r="K747" s="88" t="n"/>
      <c r="L747" s="95" t="n"/>
      <c r="M747" s="55" t="b">
        <v>0</v>
      </c>
      <c r="N747" s="96" t="b">
        <v>0</v>
      </c>
      <c r="O747" s="55" t="b">
        <v>0</v>
      </c>
      <c r="P747" s="55" t="b">
        <v>0</v>
      </c>
      <c r="Q747" s="55" t="b">
        <v>0</v>
      </c>
      <c r="R747" s="55" t="b">
        <v>0</v>
      </c>
      <c r="S747" s="55" t="b">
        <v>0</v>
      </c>
      <c r="T747" s="55" t="b">
        <v>0</v>
      </c>
      <c r="U747" s="55" t="b">
        <v>0</v>
      </c>
      <c r="V747" s="55" t="b">
        <v>0</v>
      </c>
    </row>
    <row r="748" ht="69" customHeight="1" s="211">
      <c r="A748" s="92">
        <f>Accounts!A748</f>
        <v/>
      </c>
      <c r="B748" s="12" t="b">
        <v>0</v>
      </c>
      <c r="C748" s="93">
        <f>Accounts!N748</f>
        <v/>
      </c>
      <c r="D748" s="94" t="n"/>
      <c r="E748" s="93">
        <f>Accounts!F748</f>
        <v/>
      </c>
      <c r="F748" s="94">
        <f>Accounts!Q748</f>
        <v/>
      </c>
      <c r="G748" s="94">
        <f>Accounts!R748</f>
        <v/>
      </c>
      <c r="H748" s="94">
        <f>Accounts!I748</f>
        <v/>
      </c>
      <c r="I748" s="94">
        <f>Accounts!J748</f>
        <v/>
      </c>
      <c r="J748" s="93">
        <f>Accounts!S748</f>
        <v/>
      </c>
      <c r="K748" s="88" t="n"/>
      <c r="L748" s="95" t="n"/>
      <c r="M748" s="55" t="b">
        <v>0</v>
      </c>
      <c r="N748" s="96" t="b">
        <v>0</v>
      </c>
      <c r="O748" s="55" t="b">
        <v>0</v>
      </c>
      <c r="P748" s="55" t="b">
        <v>0</v>
      </c>
      <c r="Q748" s="55" t="b">
        <v>0</v>
      </c>
      <c r="R748" s="55" t="b">
        <v>0</v>
      </c>
      <c r="S748" s="55" t="b">
        <v>0</v>
      </c>
      <c r="T748" s="55" t="b">
        <v>0</v>
      </c>
      <c r="U748" s="55" t="b">
        <v>0</v>
      </c>
      <c r="V748" s="55" t="b">
        <v>0</v>
      </c>
    </row>
    <row r="749" ht="69" customHeight="1" s="211">
      <c r="A749" s="92">
        <f>Accounts!A749</f>
        <v/>
      </c>
      <c r="B749" s="12" t="b">
        <v>0</v>
      </c>
      <c r="C749" s="93">
        <f>Accounts!N749</f>
        <v/>
      </c>
      <c r="D749" s="94" t="n"/>
      <c r="E749" s="93">
        <f>Accounts!F749</f>
        <v/>
      </c>
      <c r="F749" s="94">
        <f>Accounts!Q749</f>
        <v/>
      </c>
      <c r="G749" s="94">
        <f>Accounts!R749</f>
        <v/>
      </c>
      <c r="H749" s="94">
        <f>Accounts!I749</f>
        <v/>
      </c>
      <c r="I749" s="94">
        <f>Accounts!J749</f>
        <v/>
      </c>
      <c r="J749" s="93">
        <f>Accounts!S749</f>
        <v/>
      </c>
      <c r="K749" s="88" t="n"/>
      <c r="L749" s="95" t="n"/>
      <c r="M749" s="55" t="b">
        <v>0</v>
      </c>
      <c r="N749" s="96" t="b">
        <v>0</v>
      </c>
      <c r="O749" s="55" t="b">
        <v>0</v>
      </c>
      <c r="P749" s="55" t="b">
        <v>0</v>
      </c>
      <c r="Q749" s="55" t="b">
        <v>0</v>
      </c>
      <c r="R749" s="55" t="b">
        <v>0</v>
      </c>
      <c r="S749" s="55" t="b">
        <v>0</v>
      </c>
      <c r="T749" s="55" t="b">
        <v>0</v>
      </c>
      <c r="U749" s="55" t="b">
        <v>0</v>
      </c>
      <c r="V749" s="55" t="b">
        <v>0</v>
      </c>
    </row>
    <row r="750" ht="69" customHeight="1" s="211">
      <c r="A750" s="92">
        <f>Accounts!A750</f>
        <v/>
      </c>
      <c r="B750" s="12" t="b">
        <v>0</v>
      </c>
      <c r="C750" s="93">
        <f>Accounts!N750</f>
        <v/>
      </c>
      <c r="D750" s="94" t="n"/>
      <c r="E750" s="93">
        <f>Accounts!F750</f>
        <v/>
      </c>
      <c r="F750" s="94">
        <f>Accounts!Q750</f>
        <v/>
      </c>
      <c r="G750" s="94">
        <f>Accounts!R750</f>
        <v/>
      </c>
      <c r="H750" s="94">
        <f>Accounts!I750</f>
        <v/>
      </c>
      <c r="I750" s="94">
        <f>Accounts!J750</f>
        <v/>
      </c>
      <c r="J750" s="93">
        <f>Accounts!S750</f>
        <v/>
      </c>
      <c r="K750" s="88" t="n"/>
      <c r="L750" s="95" t="n"/>
      <c r="M750" s="55" t="b">
        <v>0</v>
      </c>
      <c r="N750" s="96" t="b">
        <v>0</v>
      </c>
      <c r="O750" s="55" t="b">
        <v>0</v>
      </c>
      <c r="P750" s="55" t="b">
        <v>0</v>
      </c>
      <c r="Q750" s="55" t="b">
        <v>0</v>
      </c>
      <c r="R750" s="55" t="b">
        <v>0</v>
      </c>
      <c r="S750" s="55" t="b">
        <v>0</v>
      </c>
      <c r="T750" s="55" t="b">
        <v>0</v>
      </c>
      <c r="U750" s="55" t="b">
        <v>0</v>
      </c>
      <c r="V750" s="55" t="b">
        <v>0</v>
      </c>
    </row>
    <row r="751" ht="69" customHeight="1" s="211">
      <c r="A751" s="92">
        <f>Accounts!A751</f>
        <v/>
      </c>
      <c r="B751" s="12" t="b">
        <v>0</v>
      </c>
      <c r="C751" s="93">
        <f>Accounts!N751</f>
        <v/>
      </c>
      <c r="D751" s="94" t="n"/>
      <c r="E751" s="93">
        <f>Accounts!F751</f>
        <v/>
      </c>
      <c r="F751" s="94">
        <f>Accounts!Q751</f>
        <v/>
      </c>
      <c r="G751" s="94">
        <f>Accounts!R751</f>
        <v/>
      </c>
      <c r="H751" s="94">
        <f>Accounts!I751</f>
        <v/>
      </c>
      <c r="I751" s="94">
        <f>Accounts!J751</f>
        <v/>
      </c>
      <c r="J751" s="93">
        <f>Accounts!S751</f>
        <v/>
      </c>
      <c r="K751" s="88" t="n"/>
      <c r="L751" s="95" t="n"/>
      <c r="M751" s="55" t="b">
        <v>0</v>
      </c>
      <c r="N751" s="96" t="b">
        <v>0</v>
      </c>
      <c r="O751" s="55" t="b">
        <v>0</v>
      </c>
      <c r="P751" s="55" t="b">
        <v>0</v>
      </c>
      <c r="Q751" s="55" t="b">
        <v>0</v>
      </c>
      <c r="R751" s="55" t="b">
        <v>0</v>
      </c>
      <c r="S751" s="55" t="b">
        <v>0</v>
      </c>
      <c r="T751" s="55" t="b">
        <v>0</v>
      </c>
      <c r="U751" s="55" t="b">
        <v>0</v>
      </c>
      <c r="V751" s="55" t="b">
        <v>0</v>
      </c>
    </row>
    <row r="752" ht="69" customHeight="1" s="211">
      <c r="A752" s="92">
        <f>Accounts!A752</f>
        <v/>
      </c>
      <c r="B752" s="12" t="b">
        <v>0</v>
      </c>
      <c r="C752" s="93">
        <f>Accounts!N752</f>
        <v/>
      </c>
      <c r="D752" s="94" t="n"/>
      <c r="E752" s="93">
        <f>Accounts!F752</f>
        <v/>
      </c>
      <c r="F752" s="94">
        <f>Accounts!Q752</f>
        <v/>
      </c>
      <c r="G752" s="94">
        <f>Accounts!R752</f>
        <v/>
      </c>
      <c r="H752" s="94">
        <f>Accounts!I752</f>
        <v/>
      </c>
      <c r="I752" s="94">
        <f>Accounts!J752</f>
        <v/>
      </c>
      <c r="J752" s="93">
        <f>Accounts!S752</f>
        <v/>
      </c>
      <c r="K752" s="88" t="n"/>
      <c r="L752" s="95" t="n"/>
      <c r="M752" s="55" t="b">
        <v>0</v>
      </c>
      <c r="N752" s="96" t="b">
        <v>0</v>
      </c>
      <c r="O752" s="55" t="b">
        <v>0</v>
      </c>
      <c r="P752" s="55" t="b">
        <v>0</v>
      </c>
      <c r="Q752" s="55" t="b">
        <v>0</v>
      </c>
      <c r="R752" s="55" t="b">
        <v>0</v>
      </c>
      <c r="S752" s="55" t="b">
        <v>0</v>
      </c>
      <c r="T752" s="55" t="b">
        <v>0</v>
      </c>
      <c r="U752" s="55" t="b">
        <v>0</v>
      </c>
      <c r="V752" s="55" t="b">
        <v>0</v>
      </c>
    </row>
    <row r="753" ht="69" customHeight="1" s="211">
      <c r="A753" s="92">
        <f>Accounts!A753</f>
        <v/>
      </c>
      <c r="B753" s="12" t="b">
        <v>0</v>
      </c>
      <c r="C753" s="93">
        <f>Accounts!N753</f>
        <v/>
      </c>
      <c r="D753" s="94" t="n"/>
      <c r="E753" s="93">
        <f>Accounts!F753</f>
        <v/>
      </c>
      <c r="F753" s="94">
        <f>Accounts!Q753</f>
        <v/>
      </c>
      <c r="G753" s="94">
        <f>Accounts!R753</f>
        <v/>
      </c>
      <c r="H753" s="94">
        <f>Accounts!I753</f>
        <v/>
      </c>
      <c r="I753" s="94">
        <f>Accounts!J753</f>
        <v/>
      </c>
      <c r="J753" s="93">
        <f>Accounts!S753</f>
        <v/>
      </c>
      <c r="K753" s="88" t="n"/>
      <c r="L753" s="95" t="n"/>
      <c r="M753" s="55" t="b">
        <v>0</v>
      </c>
      <c r="N753" s="96" t="b">
        <v>0</v>
      </c>
      <c r="O753" s="55" t="b">
        <v>0</v>
      </c>
      <c r="P753" s="55" t="b">
        <v>0</v>
      </c>
      <c r="Q753" s="55" t="b">
        <v>0</v>
      </c>
      <c r="R753" s="55" t="b">
        <v>0</v>
      </c>
      <c r="S753" s="55" t="b">
        <v>0</v>
      </c>
      <c r="T753" s="55" t="b">
        <v>0</v>
      </c>
      <c r="U753" s="55" t="b">
        <v>0</v>
      </c>
      <c r="V753" s="55" t="b">
        <v>0</v>
      </c>
    </row>
    <row r="754" ht="69" customHeight="1" s="211">
      <c r="A754" s="92">
        <f>Accounts!A754</f>
        <v/>
      </c>
      <c r="B754" s="12" t="b">
        <v>0</v>
      </c>
      <c r="C754" s="93">
        <f>Accounts!N754</f>
        <v/>
      </c>
      <c r="D754" s="94" t="n"/>
      <c r="E754" s="93">
        <f>Accounts!F754</f>
        <v/>
      </c>
      <c r="F754" s="94">
        <f>Accounts!Q754</f>
        <v/>
      </c>
      <c r="G754" s="94">
        <f>Accounts!R754</f>
        <v/>
      </c>
      <c r="H754" s="94">
        <f>Accounts!I754</f>
        <v/>
      </c>
      <c r="I754" s="94">
        <f>Accounts!J754</f>
        <v/>
      </c>
      <c r="J754" s="93">
        <f>Accounts!S754</f>
        <v/>
      </c>
      <c r="K754" s="88" t="n"/>
      <c r="L754" s="95" t="n"/>
      <c r="M754" s="55" t="b">
        <v>0</v>
      </c>
      <c r="N754" s="96" t="b">
        <v>0</v>
      </c>
      <c r="O754" s="55" t="b">
        <v>0</v>
      </c>
      <c r="P754" s="55" t="b">
        <v>0</v>
      </c>
      <c r="Q754" s="55" t="b">
        <v>0</v>
      </c>
      <c r="R754" s="55" t="b">
        <v>0</v>
      </c>
      <c r="S754" s="55" t="b">
        <v>0</v>
      </c>
      <c r="T754" s="55" t="b">
        <v>0</v>
      </c>
      <c r="U754" s="55" t="b">
        <v>0</v>
      </c>
      <c r="V754" s="55" t="b">
        <v>0</v>
      </c>
    </row>
    <row r="755" ht="69" customHeight="1" s="211">
      <c r="A755" s="92">
        <f>Accounts!A755</f>
        <v/>
      </c>
      <c r="B755" s="12" t="b">
        <v>0</v>
      </c>
      <c r="C755" s="93">
        <f>Accounts!N755</f>
        <v/>
      </c>
      <c r="D755" s="94" t="n"/>
      <c r="E755" s="93">
        <f>Accounts!F755</f>
        <v/>
      </c>
      <c r="F755" s="94">
        <f>Accounts!Q755</f>
        <v/>
      </c>
      <c r="G755" s="94">
        <f>Accounts!R755</f>
        <v/>
      </c>
      <c r="H755" s="94">
        <f>Accounts!I755</f>
        <v/>
      </c>
      <c r="I755" s="94">
        <f>Accounts!J755</f>
        <v/>
      </c>
      <c r="J755" s="93">
        <f>Accounts!S755</f>
        <v/>
      </c>
      <c r="K755" s="88" t="n"/>
      <c r="L755" s="95" t="n"/>
      <c r="M755" s="55" t="b">
        <v>0</v>
      </c>
      <c r="N755" s="96" t="b">
        <v>0</v>
      </c>
      <c r="O755" s="55" t="b">
        <v>0</v>
      </c>
      <c r="P755" s="55" t="b">
        <v>0</v>
      </c>
      <c r="Q755" s="55" t="b">
        <v>0</v>
      </c>
      <c r="R755" s="55" t="b">
        <v>0</v>
      </c>
      <c r="S755" s="55" t="b">
        <v>0</v>
      </c>
      <c r="T755" s="55" t="b">
        <v>0</v>
      </c>
      <c r="U755" s="55" t="b">
        <v>0</v>
      </c>
      <c r="V755" s="55" t="b">
        <v>0</v>
      </c>
    </row>
    <row r="756" ht="69" customHeight="1" s="211">
      <c r="A756" s="92">
        <f>Accounts!A756</f>
        <v/>
      </c>
      <c r="B756" s="12" t="b">
        <v>0</v>
      </c>
      <c r="C756" s="93">
        <f>Accounts!N756</f>
        <v/>
      </c>
      <c r="D756" s="94" t="n"/>
      <c r="E756" s="93">
        <f>Accounts!F756</f>
        <v/>
      </c>
      <c r="F756" s="94">
        <f>Accounts!Q756</f>
        <v/>
      </c>
      <c r="G756" s="94">
        <f>Accounts!R756</f>
        <v/>
      </c>
      <c r="H756" s="94">
        <f>Accounts!I756</f>
        <v/>
      </c>
      <c r="I756" s="94">
        <f>Accounts!J756</f>
        <v/>
      </c>
      <c r="J756" s="93">
        <f>Accounts!S756</f>
        <v/>
      </c>
      <c r="K756" s="88" t="n"/>
      <c r="L756" s="95" t="n"/>
      <c r="M756" s="55" t="b">
        <v>0</v>
      </c>
      <c r="N756" s="96" t="b">
        <v>0</v>
      </c>
      <c r="O756" s="55" t="b">
        <v>0</v>
      </c>
      <c r="P756" s="55" t="b">
        <v>0</v>
      </c>
      <c r="Q756" s="55" t="b">
        <v>0</v>
      </c>
      <c r="R756" s="55" t="b">
        <v>0</v>
      </c>
      <c r="S756" s="55" t="b">
        <v>0</v>
      </c>
      <c r="T756" s="55" t="b">
        <v>0</v>
      </c>
      <c r="U756" s="55" t="b">
        <v>0</v>
      </c>
      <c r="V756" s="55" t="b">
        <v>0</v>
      </c>
    </row>
    <row r="757" ht="69" customHeight="1" s="211">
      <c r="A757" s="92">
        <f>Accounts!A757</f>
        <v/>
      </c>
      <c r="B757" s="12" t="b">
        <v>0</v>
      </c>
      <c r="C757" s="93">
        <f>Accounts!N757</f>
        <v/>
      </c>
      <c r="D757" s="94" t="n"/>
      <c r="E757" s="93">
        <f>Accounts!F757</f>
        <v/>
      </c>
      <c r="F757" s="94">
        <f>Accounts!Q757</f>
        <v/>
      </c>
      <c r="G757" s="94">
        <f>Accounts!R757</f>
        <v/>
      </c>
      <c r="H757" s="94">
        <f>Accounts!I757</f>
        <v/>
      </c>
      <c r="I757" s="94">
        <f>Accounts!J757</f>
        <v/>
      </c>
      <c r="J757" s="93">
        <f>Accounts!S757</f>
        <v/>
      </c>
      <c r="K757" s="88" t="n"/>
      <c r="L757" s="95" t="n"/>
      <c r="M757" s="55" t="b">
        <v>0</v>
      </c>
      <c r="N757" s="96" t="b">
        <v>0</v>
      </c>
      <c r="O757" s="55" t="b">
        <v>0</v>
      </c>
      <c r="P757" s="55" t="b">
        <v>0</v>
      </c>
      <c r="Q757" s="55" t="b">
        <v>0</v>
      </c>
      <c r="R757" s="55" t="b">
        <v>0</v>
      </c>
      <c r="S757" s="55" t="b">
        <v>0</v>
      </c>
      <c r="T757" s="55" t="b">
        <v>0</v>
      </c>
      <c r="U757" s="55" t="b">
        <v>0</v>
      </c>
      <c r="V757" s="55" t="b">
        <v>0</v>
      </c>
    </row>
    <row r="758" ht="69" customHeight="1" s="211">
      <c r="A758" s="92">
        <f>Accounts!A758</f>
        <v/>
      </c>
      <c r="B758" s="12" t="b">
        <v>0</v>
      </c>
      <c r="C758" s="93">
        <f>Accounts!N758</f>
        <v/>
      </c>
      <c r="D758" s="94" t="n"/>
      <c r="E758" s="93">
        <f>Accounts!F758</f>
        <v/>
      </c>
      <c r="F758" s="94">
        <f>Accounts!Q758</f>
        <v/>
      </c>
      <c r="G758" s="94">
        <f>Accounts!R758</f>
        <v/>
      </c>
      <c r="H758" s="94">
        <f>Accounts!I758</f>
        <v/>
      </c>
      <c r="I758" s="94">
        <f>Accounts!J758</f>
        <v/>
      </c>
      <c r="J758" s="93">
        <f>Accounts!S758</f>
        <v/>
      </c>
      <c r="K758" s="88" t="n"/>
      <c r="L758" s="95" t="n"/>
      <c r="M758" s="55" t="b">
        <v>0</v>
      </c>
      <c r="N758" s="96" t="b">
        <v>0</v>
      </c>
      <c r="O758" s="55" t="b">
        <v>0</v>
      </c>
      <c r="P758" s="55" t="b">
        <v>0</v>
      </c>
      <c r="Q758" s="55" t="b">
        <v>0</v>
      </c>
      <c r="R758" s="55" t="b">
        <v>0</v>
      </c>
      <c r="S758" s="55" t="b">
        <v>0</v>
      </c>
      <c r="T758" s="55" t="b">
        <v>0</v>
      </c>
      <c r="U758" s="55" t="b">
        <v>0</v>
      </c>
      <c r="V758" s="55" t="b">
        <v>0</v>
      </c>
    </row>
    <row r="759" ht="69" customHeight="1" s="211">
      <c r="A759" s="92">
        <f>Accounts!A759</f>
        <v/>
      </c>
      <c r="B759" s="12" t="b">
        <v>0</v>
      </c>
      <c r="C759" s="93">
        <f>Accounts!N759</f>
        <v/>
      </c>
      <c r="D759" s="94" t="n"/>
      <c r="E759" s="93">
        <f>Accounts!F759</f>
        <v/>
      </c>
      <c r="F759" s="94">
        <f>Accounts!Q759</f>
        <v/>
      </c>
      <c r="G759" s="94">
        <f>Accounts!R759</f>
        <v/>
      </c>
      <c r="H759" s="94">
        <f>Accounts!I759</f>
        <v/>
      </c>
      <c r="I759" s="94">
        <f>Accounts!J759</f>
        <v/>
      </c>
      <c r="J759" s="93">
        <f>Accounts!S759</f>
        <v/>
      </c>
      <c r="K759" s="88" t="n"/>
      <c r="L759" s="95" t="n"/>
      <c r="M759" s="55" t="b">
        <v>0</v>
      </c>
      <c r="N759" s="96" t="b">
        <v>0</v>
      </c>
      <c r="O759" s="55" t="b">
        <v>0</v>
      </c>
      <c r="P759" s="55" t="b">
        <v>0</v>
      </c>
      <c r="Q759" s="55" t="b">
        <v>0</v>
      </c>
      <c r="R759" s="55" t="b">
        <v>0</v>
      </c>
      <c r="S759" s="55" t="b">
        <v>0</v>
      </c>
      <c r="T759" s="55" t="b">
        <v>0</v>
      </c>
      <c r="U759" s="55" t="b">
        <v>0</v>
      </c>
      <c r="V759" s="55" t="b">
        <v>0</v>
      </c>
    </row>
    <row r="760" ht="69" customHeight="1" s="211">
      <c r="A760" s="92">
        <f>Accounts!A760</f>
        <v/>
      </c>
      <c r="B760" s="12" t="b">
        <v>0</v>
      </c>
      <c r="C760" s="93">
        <f>Accounts!N760</f>
        <v/>
      </c>
      <c r="D760" s="94" t="n"/>
      <c r="E760" s="93">
        <f>Accounts!F760</f>
        <v/>
      </c>
      <c r="F760" s="94">
        <f>Accounts!Q760</f>
        <v/>
      </c>
      <c r="G760" s="94">
        <f>Accounts!R760</f>
        <v/>
      </c>
      <c r="H760" s="94">
        <f>Accounts!I760</f>
        <v/>
      </c>
      <c r="I760" s="94">
        <f>Accounts!J760</f>
        <v/>
      </c>
      <c r="J760" s="93">
        <f>Accounts!S760</f>
        <v/>
      </c>
      <c r="K760" s="88" t="n"/>
      <c r="L760" s="95" t="n"/>
      <c r="M760" s="55" t="b">
        <v>0</v>
      </c>
      <c r="N760" s="96" t="b">
        <v>0</v>
      </c>
      <c r="O760" s="55" t="b">
        <v>0</v>
      </c>
      <c r="P760" s="55" t="b">
        <v>0</v>
      </c>
      <c r="Q760" s="55" t="b">
        <v>0</v>
      </c>
      <c r="R760" s="55" t="b">
        <v>0</v>
      </c>
      <c r="S760" s="55" t="b">
        <v>0</v>
      </c>
      <c r="T760" s="55" t="b">
        <v>0</v>
      </c>
      <c r="U760" s="55" t="b">
        <v>0</v>
      </c>
      <c r="V760" s="55" t="b">
        <v>0</v>
      </c>
    </row>
    <row r="761" ht="69" customHeight="1" s="211">
      <c r="A761" s="92">
        <f>Accounts!A761</f>
        <v/>
      </c>
      <c r="B761" s="12" t="b">
        <v>0</v>
      </c>
      <c r="C761" s="93">
        <f>Accounts!N761</f>
        <v/>
      </c>
      <c r="D761" s="94" t="n"/>
      <c r="E761" s="93">
        <f>Accounts!F761</f>
        <v/>
      </c>
      <c r="F761" s="94">
        <f>Accounts!Q761</f>
        <v/>
      </c>
      <c r="G761" s="94">
        <f>Accounts!R761</f>
        <v/>
      </c>
      <c r="H761" s="94">
        <f>Accounts!I761</f>
        <v/>
      </c>
      <c r="I761" s="94">
        <f>Accounts!J761</f>
        <v/>
      </c>
      <c r="J761" s="93">
        <f>Accounts!S761</f>
        <v/>
      </c>
      <c r="K761" s="88" t="n"/>
      <c r="L761" s="95" t="n"/>
      <c r="M761" s="55" t="b">
        <v>0</v>
      </c>
      <c r="N761" s="96" t="b">
        <v>0</v>
      </c>
      <c r="O761" s="55" t="b">
        <v>0</v>
      </c>
      <c r="P761" s="55" t="b">
        <v>0</v>
      </c>
      <c r="Q761" s="55" t="b">
        <v>0</v>
      </c>
      <c r="R761" s="55" t="b">
        <v>0</v>
      </c>
      <c r="S761" s="55" t="b">
        <v>0</v>
      </c>
      <c r="T761" s="55" t="b">
        <v>0</v>
      </c>
      <c r="U761" s="55" t="b">
        <v>0</v>
      </c>
      <c r="V761" s="55" t="b">
        <v>0</v>
      </c>
    </row>
    <row r="762" ht="69" customHeight="1" s="211">
      <c r="A762" s="92">
        <f>Accounts!A762</f>
        <v/>
      </c>
      <c r="B762" s="12" t="b">
        <v>0</v>
      </c>
      <c r="C762" s="93">
        <f>Accounts!N762</f>
        <v/>
      </c>
      <c r="D762" s="94" t="n"/>
      <c r="E762" s="93">
        <f>Accounts!F762</f>
        <v/>
      </c>
      <c r="F762" s="94">
        <f>Accounts!Q762</f>
        <v/>
      </c>
      <c r="G762" s="94">
        <f>Accounts!R762</f>
        <v/>
      </c>
      <c r="H762" s="94">
        <f>Accounts!I762</f>
        <v/>
      </c>
      <c r="I762" s="94">
        <f>Accounts!J762</f>
        <v/>
      </c>
      <c r="J762" s="93">
        <f>Accounts!S762</f>
        <v/>
      </c>
      <c r="K762" s="88" t="n"/>
      <c r="L762" s="95" t="n"/>
      <c r="M762" s="55" t="b">
        <v>0</v>
      </c>
      <c r="N762" s="96" t="b">
        <v>0</v>
      </c>
      <c r="O762" s="55" t="b">
        <v>0</v>
      </c>
      <c r="P762" s="55" t="b">
        <v>0</v>
      </c>
      <c r="Q762" s="55" t="b">
        <v>0</v>
      </c>
      <c r="R762" s="55" t="b">
        <v>0</v>
      </c>
      <c r="S762" s="55" t="b">
        <v>0</v>
      </c>
      <c r="T762" s="55" t="b">
        <v>0</v>
      </c>
      <c r="U762" s="55" t="b">
        <v>0</v>
      </c>
      <c r="V762" s="55" t="b">
        <v>0</v>
      </c>
    </row>
    <row r="763" ht="69" customHeight="1" s="211">
      <c r="A763" s="92">
        <f>Accounts!A763</f>
        <v/>
      </c>
      <c r="B763" s="12" t="b">
        <v>0</v>
      </c>
      <c r="C763" s="93">
        <f>Accounts!N763</f>
        <v/>
      </c>
      <c r="D763" s="94" t="n"/>
      <c r="E763" s="93">
        <f>Accounts!F763</f>
        <v/>
      </c>
      <c r="F763" s="94">
        <f>Accounts!Q763</f>
        <v/>
      </c>
      <c r="G763" s="94">
        <f>Accounts!R763</f>
        <v/>
      </c>
      <c r="H763" s="94">
        <f>Accounts!I763</f>
        <v/>
      </c>
      <c r="I763" s="94">
        <f>Accounts!J763</f>
        <v/>
      </c>
      <c r="J763" s="93">
        <f>Accounts!S763</f>
        <v/>
      </c>
      <c r="K763" s="88" t="n"/>
      <c r="L763" s="95" t="n"/>
      <c r="M763" s="55" t="b">
        <v>0</v>
      </c>
      <c r="N763" s="96" t="b">
        <v>0</v>
      </c>
      <c r="O763" s="55" t="b">
        <v>0</v>
      </c>
      <c r="P763" s="55" t="b">
        <v>0</v>
      </c>
      <c r="Q763" s="55" t="b">
        <v>0</v>
      </c>
      <c r="R763" s="55" t="b">
        <v>0</v>
      </c>
      <c r="S763" s="55" t="b">
        <v>0</v>
      </c>
      <c r="T763" s="55" t="b">
        <v>0</v>
      </c>
      <c r="U763" s="55" t="b">
        <v>0</v>
      </c>
      <c r="V763" s="55" t="b">
        <v>0</v>
      </c>
    </row>
    <row r="764" ht="69" customHeight="1" s="211">
      <c r="A764" s="92">
        <f>Accounts!A764</f>
        <v/>
      </c>
      <c r="B764" s="12" t="b">
        <v>0</v>
      </c>
      <c r="C764" s="93">
        <f>Accounts!N764</f>
        <v/>
      </c>
      <c r="D764" s="94" t="n"/>
      <c r="E764" s="93">
        <f>Accounts!F764</f>
        <v/>
      </c>
      <c r="F764" s="94">
        <f>Accounts!Q764</f>
        <v/>
      </c>
      <c r="G764" s="94">
        <f>Accounts!R764</f>
        <v/>
      </c>
      <c r="H764" s="94">
        <f>Accounts!I764</f>
        <v/>
      </c>
      <c r="I764" s="94">
        <f>Accounts!J764</f>
        <v/>
      </c>
      <c r="J764" s="93">
        <f>Accounts!S764</f>
        <v/>
      </c>
      <c r="K764" s="88" t="n"/>
      <c r="L764" s="95" t="n"/>
      <c r="M764" s="55" t="b">
        <v>0</v>
      </c>
      <c r="N764" s="96" t="b">
        <v>0</v>
      </c>
      <c r="O764" s="55" t="b">
        <v>0</v>
      </c>
      <c r="P764" s="55" t="b">
        <v>0</v>
      </c>
      <c r="Q764" s="55" t="b">
        <v>0</v>
      </c>
      <c r="R764" s="55" t="b">
        <v>0</v>
      </c>
      <c r="S764" s="55" t="b">
        <v>0</v>
      </c>
      <c r="T764" s="55" t="b">
        <v>0</v>
      </c>
      <c r="U764" s="55" t="b">
        <v>0</v>
      </c>
      <c r="V764" s="55" t="b">
        <v>0</v>
      </c>
    </row>
    <row r="765" ht="69" customHeight="1" s="211">
      <c r="A765" s="92">
        <f>Accounts!A765</f>
        <v/>
      </c>
      <c r="B765" s="12" t="b">
        <v>0</v>
      </c>
      <c r="C765" s="93">
        <f>Accounts!N765</f>
        <v/>
      </c>
      <c r="D765" s="94" t="n"/>
      <c r="E765" s="93">
        <f>Accounts!F765</f>
        <v/>
      </c>
      <c r="F765" s="94">
        <f>Accounts!Q765</f>
        <v/>
      </c>
      <c r="G765" s="94">
        <f>Accounts!R765</f>
        <v/>
      </c>
      <c r="H765" s="94">
        <f>Accounts!I765</f>
        <v/>
      </c>
      <c r="I765" s="94">
        <f>Accounts!J765</f>
        <v/>
      </c>
      <c r="J765" s="93">
        <f>Accounts!S765</f>
        <v/>
      </c>
      <c r="K765" s="88" t="n"/>
      <c r="L765" s="95" t="n"/>
      <c r="M765" s="55" t="b">
        <v>0</v>
      </c>
      <c r="N765" s="96" t="b">
        <v>0</v>
      </c>
      <c r="O765" s="55" t="b">
        <v>0</v>
      </c>
      <c r="P765" s="55" t="b">
        <v>0</v>
      </c>
      <c r="Q765" s="55" t="b">
        <v>0</v>
      </c>
      <c r="R765" s="55" t="b">
        <v>0</v>
      </c>
      <c r="S765" s="55" t="b">
        <v>0</v>
      </c>
      <c r="T765" s="55" t="b">
        <v>0</v>
      </c>
      <c r="U765" s="55" t="b">
        <v>0</v>
      </c>
      <c r="V765" s="55" t="b">
        <v>0</v>
      </c>
    </row>
    <row r="766" ht="69" customHeight="1" s="211">
      <c r="A766" s="92">
        <f>Accounts!A766</f>
        <v/>
      </c>
      <c r="B766" s="12" t="b">
        <v>0</v>
      </c>
      <c r="C766" s="93">
        <f>Accounts!N766</f>
        <v/>
      </c>
      <c r="D766" s="94" t="n"/>
      <c r="E766" s="93">
        <f>Accounts!F766</f>
        <v/>
      </c>
      <c r="F766" s="94">
        <f>Accounts!Q766</f>
        <v/>
      </c>
      <c r="G766" s="94">
        <f>Accounts!R766</f>
        <v/>
      </c>
      <c r="H766" s="94">
        <f>Accounts!I766</f>
        <v/>
      </c>
      <c r="I766" s="94">
        <f>Accounts!J766</f>
        <v/>
      </c>
      <c r="J766" s="93">
        <f>Accounts!S766</f>
        <v/>
      </c>
      <c r="K766" s="88" t="n"/>
      <c r="L766" s="95" t="n"/>
      <c r="M766" s="55" t="b">
        <v>0</v>
      </c>
      <c r="N766" s="96" t="b">
        <v>0</v>
      </c>
      <c r="O766" s="55" t="b">
        <v>0</v>
      </c>
      <c r="P766" s="55" t="b">
        <v>0</v>
      </c>
      <c r="Q766" s="55" t="b">
        <v>0</v>
      </c>
      <c r="R766" s="55" t="b">
        <v>0</v>
      </c>
      <c r="S766" s="55" t="b">
        <v>0</v>
      </c>
      <c r="T766" s="55" t="b">
        <v>0</v>
      </c>
      <c r="U766" s="55" t="b">
        <v>0</v>
      </c>
      <c r="V766" s="55" t="b">
        <v>0</v>
      </c>
    </row>
    <row r="767" ht="69" customHeight="1" s="211">
      <c r="A767" s="92">
        <f>Accounts!A767</f>
        <v/>
      </c>
      <c r="B767" s="12" t="b">
        <v>0</v>
      </c>
      <c r="C767" s="93">
        <f>Accounts!N767</f>
        <v/>
      </c>
      <c r="D767" s="94" t="n"/>
      <c r="E767" s="93">
        <f>Accounts!F767</f>
        <v/>
      </c>
      <c r="F767" s="94">
        <f>Accounts!Q767</f>
        <v/>
      </c>
      <c r="G767" s="94">
        <f>Accounts!R767</f>
        <v/>
      </c>
      <c r="H767" s="94">
        <f>Accounts!I767</f>
        <v/>
      </c>
      <c r="I767" s="94">
        <f>Accounts!J767</f>
        <v/>
      </c>
      <c r="J767" s="93">
        <f>Accounts!S767</f>
        <v/>
      </c>
      <c r="K767" s="88" t="n"/>
      <c r="L767" s="95" t="n"/>
      <c r="M767" s="55" t="b">
        <v>0</v>
      </c>
      <c r="N767" s="96" t="b">
        <v>0</v>
      </c>
      <c r="O767" s="55" t="b">
        <v>0</v>
      </c>
      <c r="P767" s="55" t="b">
        <v>0</v>
      </c>
      <c r="Q767" s="55" t="b">
        <v>0</v>
      </c>
      <c r="R767" s="55" t="b">
        <v>0</v>
      </c>
      <c r="S767" s="55" t="b">
        <v>0</v>
      </c>
      <c r="T767" s="55" t="b">
        <v>0</v>
      </c>
      <c r="U767" s="55" t="b">
        <v>0</v>
      </c>
      <c r="V767" s="55" t="b">
        <v>0</v>
      </c>
    </row>
    <row r="768" ht="69" customHeight="1" s="211">
      <c r="A768" s="92">
        <f>Accounts!A768</f>
        <v/>
      </c>
      <c r="B768" s="12" t="b">
        <v>0</v>
      </c>
      <c r="C768" s="93">
        <f>Accounts!N768</f>
        <v/>
      </c>
      <c r="D768" s="94" t="n"/>
      <c r="E768" s="93">
        <f>Accounts!F768</f>
        <v/>
      </c>
      <c r="F768" s="94">
        <f>Accounts!Q768</f>
        <v/>
      </c>
      <c r="G768" s="94">
        <f>Accounts!R768</f>
        <v/>
      </c>
      <c r="H768" s="94">
        <f>Accounts!I768</f>
        <v/>
      </c>
      <c r="I768" s="94">
        <f>Accounts!J768</f>
        <v/>
      </c>
      <c r="J768" s="93">
        <f>Accounts!S768</f>
        <v/>
      </c>
      <c r="K768" s="88" t="n"/>
      <c r="L768" s="95" t="n"/>
      <c r="M768" s="55" t="b">
        <v>0</v>
      </c>
      <c r="N768" s="96" t="b">
        <v>0</v>
      </c>
      <c r="O768" s="55" t="b">
        <v>0</v>
      </c>
      <c r="P768" s="55" t="b">
        <v>0</v>
      </c>
      <c r="Q768" s="55" t="b">
        <v>0</v>
      </c>
      <c r="R768" s="55" t="b">
        <v>0</v>
      </c>
      <c r="S768" s="55" t="b">
        <v>0</v>
      </c>
      <c r="T768" s="55" t="b">
        <v>0</v>
      </c>
      <c r="U768" s="55" t="b">
        <v>0</v>
      </c>
      <c r="V768" s="55" t="b">
        <v>0</v>
      </c>
    </row>
    <row r="769" ht="69" customHeight="1" s="211">
      <c r="A769" s="92">
        <f>Accounts!A769</f>
        <v/>
      </c>
      <c r="B769" s="12" t="b">
        <v>0</v>
      </c>
      <c r="C769" s="93">
        <f>Accounts!N769</f>
        <v/>
      </c>
      <c r="D769" s="94" t="n"/>
      <c r="E769" s="93">
        <f>Accounts!F769</f>
        <v/>
      </c>
      <c r="F769" s="94">
        <f>Accounts!Q769</f>
        <v/>
      </c>
      <c r="G769" s="94">
        <f>Accounts!R769</f>
        <v/>
      </c>
      <c r="H769" s="94">
        <f>Accounts!I769</f>
        <v/>
      </c>
      <c r="I769" s="94">
        <f>Accounts!J769</f>
        <v/>
      </c>
      <c r="J769" s="93">
        <f>Accounts!S769</f>
        <v/>
      </c>
      <c r="K769" s="88" t="n"/>
      <c r="L769" s="95" t="n"/>
      <c r="M769" s="55" t="b">
        <v>0</v>
      </c>
      <c r="N769" s="96" t="b">
        <v>0</v>
      </c>
      <c r="O769" s="55" t="b">
        <v>0</v>
      </c>
      <c r="P769" s="55" t="b">
        <v>0</v>
      </c>
      <c r="Q769" s="55" t="b">
        <v>0</v>
      </c>
      <c r="R769" s="55" t="b">
        <v>0</v>
      </c>
      <c r="S769" s="55" t="b">
        <v>0</v>
      </c>
      <c r="T769" s="55" t="b">
        <v>0</v>
      </c>
      <c r="U769" s="55" t="b">
        <v>0</v>
      </c>
      <c r="V769" s="55" t="b">
        <v>0</v>
      </c>
    </row>
    <row r="770" ht="69" customHeight="1" s="211">
      <c r="A770" s="92">
        <f>Accounts!A770</f>
        <v/>
      </c>
      <c r="B770" s="12" t="b">
        <v>0</v>
      </c>
      <c r="C770" s="93">
        <f>Accounts!N770</f>
        <v/>
      </c>
      <c r="D770" s="94" t="n"/>
      <c r="E770" s="93">
        <f>Accounts!F770</f>
        <v/>
      </c>
      <c r="F770" s="94">
        <f>Accounts!Q770</f>
        <v/>
      </c>
      <c r="G770" s="94">
        <f>Accounts!R770</f>
        <v/>
      </c>
      <c r="H770" s="94">
        <f>Accounts!I770</f>
        <v/>
      </c>
      <c r="I770" s="94">
        <f>Accounts!J770</f>
        <v/>
      </c>
      <c r="J770" s="93">
        <f>Accounts!S770</f>
        <v/>
      </c>
      <c r="K770" s="88" t="n"/>
      <c r="L770" s="95" t="n"/>
      <c r="M770" s="55" t="b">
        <v>0</v>
      </c>
      <c r="N770" s="96" t="b">
        <v>0</v>
      </c>
      <c r="O770" s="55" t="b">
        <v>0</v>
      </c>
      <c r="P770" s="55" t="b">
        <v>0</v>
      </c>
      <c r="Q770" s="55" t="b">
        <v>0</v>
      </c>
      <c r="R770" s="55" t="b">
        <v>0</v>
      </c>
      <c r="S770" s="55" t="b">
        <v>0</v>
      </c>
      <c r="T770" s="55" t="b">
        <v>0</v>
      </c>
      <c r="U770" s="55" t="b">
        <v>0</v>
      </c>
      <c r="V770" s="55" t="b">
        <v>0</v>
      </c>
    </row>
    <row r="771" ht="69" customHeight="1" s="211">
      <c r="A771" s="92">
        <f>Accounts!A771</f>
        <v/>
      </c>
      <c r="B771" s="12" t="b">
        <v>0</v>
      </c>
      <c r="C771" s="93">
        <f>Accounts!N771</f>
        <v/>
      </c>
      <c r="D771" s="94" t="n"/>
      <c r="E771" s="93">
        <f>Accounts!F771</f>
        <v/>
      </c>
      <c r="F771" s="94">
        <f>Accounts!Q771</f>
        <v/>
      </c>
      <c r="G771" s="94">
        <f>Accounts!R771</f>
        <v/>
      </c>
      <c r="H771" s="94">
        <f>Accounts!I771</f>
        <v/>
      </c>
      <c r="I771" s="94">
        <f>Accounts!J771</f>
        <v/>
      </c>
      <c r="J771" s="93">
        <f>Accounts!S771</f>
        <v/>
      </c>
      <c r="K771" s="88" t="n"/>
      <c r="L771" s="95" t="n"/>
      <c r="M771" s="55" t="b">
        <v>0</v>
      </c>
      <c r="N771" s="96" t="b">
        <v>0</v>
      </c>
      <c r="O771" s="55" t="b">
        <v>0</v>
      </c>
      <c r="P771" s="55" t="b">
        <v>0</v>
      </c>
      <c r="Q771" s="55" t="b">
        <v>0</v>
      </c>
      <c r="R771" s="55" t="b">
        <v>0</v>
      </c>
      <c r="S771" s="55" t="b">
        <v>0</v>
      </c>
      <c r="T771" s="55" t="b">
        <v>0</v>
      </c>
      <c r="U771" s="55" t="b">
        <v>0</v>
      </c>
      <c r="V771" s="55" t="b">
        <v>0</v>
      </c>
    </row>
    <row r="772" ht="69" customHeight="1" s="211">
      <c r="A772" s="92">
        <f>Accounts!A772</f>
        <v/>
      </c>
      <c r="B772" s="12" t="b">
        <v>0</v>
      </c>
      <c r="C772" s="93">
        <f>Accounts!N772</f>
        <v/>
      </c>
      <c r="D772" s="94" t="n"/>
      <c r="E772" s="93">
        <f>Accounts!F772</f>
        <v/>
      </c>
      <c r="F772" s="94">
        <f>Accounts!Q772</f>
        <v/>
      </c>
      <c r="G772" s="94">
        <f>Accounts!R772</f>
        <v/>
      </c>
      <c r="H772" s="94">
        <f>Accounts!I772</f>
        <v/>
      </c>
      <c r="I772" s="94">
        <f>Accounts!J772</f>
        <v/>
      </c>
      <c r="J772" s="93">
        <f>Accounts!S772</f>
        <v/>
      </c>
      <c r="K772" s="88" t="n"/>
      <c r="L772" s="95" t="n"/>
      <c r="M772" s="55" t="b">
        <v>0</v>
      </c>
      <c r="N772" s="96" t="b">
        <v>0</v>
      </c>
      <c r="O772" s="55" t="b">
        <v>0</v>
      </c>
      <c r="P772" s="55" t="b">
        <v>0</v>
      </c>
      <c r="Q772" s="55" t="b">
        <v>0</v>
      </c>
      <c r="R772" s="55" t="b">
        <v>0</v>
      </c>
      <c r="S772" s="55" t="b">
        <v>0</v>
      </c>
      <c r="T772" s="55" t="b">
        <v>0</v>
      </c>
      <c r="U772" s="55" t="b">
        <v>0</v>
      </c>
      <c r="V772" s="55" t="b">
        <v>0</v>
      </c>
    </row>
    <row r="773" ht="69" customHeight="1" s="211">
      <c r="A773" s="92">
        <f>Accounts!A773</f>
        <v/>
      </c>
      <c r="B773" s="12" t="b">
        <v>0</v>
      </c>
      <c r="C773" s="93">
        <f>Accounts!N773</f>
        <v/>
      </c>
      <c r="D773" s="94" t="n"/>
      <c r="E773" s="93">
        <f>Accounts!F773</f>
        <v/>
      </c>
      <c r="F773" s="94">
        <f>Accounts!Q773</f>
        <v/>
      </c>
      <c r="G773" s="94">
        <f>Accounts!R773</f>
        <v/>
      </c>
      <c r="H773" s="94">
        <f>Accounts!I773</f>
        <v/>
      </c>
      <c r="I773" s="94">
        <f>Accounts!J773</f>
        <v/>
      </c>
      <c r="J773" s="93">
        <f>Accounts!S773</f>
        <v/>
      </c>
      <c r="K773" s="88" t="n"/>
      <c r="L773" s="95" t="n"/>
      <c r="M773" s="55" t="b">
        <v>0</v>
      </c>
      <c r="N773" s="96" t="b">
        <v>0</v>
      </c>
      <c r="O773" s="55" t="b">
        <v>0</v>
      </c>
      <c r="P773" s="55" t="b">
        <v>0</v>
      </c>
      <c r="Q773" s="55" t="b">
        <v>0</v>
      </c>
      <c r="R773" s="55" t="b">
        <v>0</v>
      </c>
      <c r="S773" s="55" t="b">
        <v>0</v>
      </c>
      <c r="T773" s="55" t="b">
        <v>0</v>
      </c>
      <c r="U773" s="55" t="b">
        <v>0</v>
      </c>
      <c r="V773" s="55" t="b">
        <v>0</v>
      </c>
    </row>
    <row r="774" ht="69" customHeight="1" s="211">
      <c r="A774" s="92">
        <f>Accounts!A774</f>
        <v/>
      </c>
      <c r="B774" s="12" t="b">
        <v>0</v>
      </c>
      <c r="C774" s="93">
        <f>Accounts!N774</f>
        <v/>
      </c>
      <c r="D774" s="94" t="n"/>
      <c r="E774" s="93">
        <f>Accounts!F774</f>
        <v/>
      </c>
      <c r="F774" s="94">
        <f>Accounts!Q774</f>
        <v/>
      </c>
      <c r="G774" s="94">
        <f>Accounts!R774</f>
        <v/>
      </c>
      <c r="H774" s="94">
        <f>Accounts!I774</f>
        <v/>
      </c>
      <c r="I774" s="94">
        <f>Accounts!J774</f>
        <v/>
      </c>
      <c r="J774" s="93">
        <f>Accounts!S774</f>
        <v/>
      </c>
      <c r="K774" s="88" t="n"/>
      <c r="L774" s="95" t="n"/>
      <c r="M774" s="55" t="b">
        <v>0</v>
      </c>
      <c r="N774" s="96" t="b">
        <v>0</v>
      </c>
      <c r="O774" s="55" t="b">
        <v>0</v>
      </c>
      <c r="P774" s="55" t="b">
        <v>0</v>
      </c>
      <c r="Q774" s="55" t="b">
        <v>0</v>
      </c>
      <c r="R774" s="55" t="b">
        <v>0</v>
      </c>
      <c r="S774" s="55" t="b">
        <v>0</v>
      </c>
      <c r="T774" s="55" t="b">
        <v>0</v>
      </c>
      <c r="U774" s="55" t="b">
        <v>0</v>
      </c>
      <c r="V774" s="55" t="b">
        <v>0</v>
      </c>
    </row>
    <row r="775" ht="69" customHeight="1" s="211">
      <c r="A775" s="92">
        <f>Accounts!A775</f>
        <v/>
      </c>
      <c r="B775" s="12" t="b">
        <v>0</v>
      </c>
      <c r="C775" s="93">
        <f>Accounts!N775</f>
        <v/>
      </c>
      <c r="D775" s="94" t="n"/>
      <c r="E775" s="93">
        <f>Accounts!F775</f>
        <v/>
      </c>
      <c r="F775" s="94">
        <f>Accounts!Q775</f>
        <v/>
      </c>
      <c r="G775" s="94">
        <f>Accounts!R775</f>
        <v/>
      </c>
      <c r="H775" s="94">
        <f>Accounts!I775</f>
        <v/>
      </c>
      <c r="I775" s="94">
        <f>Accounts!J775</f>
        <v/>
      </c>
      <c r="J775" s="93">
        <f>Accounts!S775</f>
        <v/>
      </c>
      <c r="K775" s="88" t="n"/>
      <c r="L775" s="95" t="n"/>
      <c r="M775" s="55" t="b">
        <v>0</v>
      </c>
      <c r="N775" s="96" t="b">
        <v>0</v>
      </c>
      <c r="O775" s="55" t="b">
        <v>0</v>
      </c>
      <c r="P775" s="55" t="b">
        <v>0</v>
      </c>
      <c r="Q775" s="55" t="b">
        <v>0</v>
      </c>
      <c r="R775" s="55" t="b">
        <v>0</v>
      </c>
      <c r="S775" s="55" t="b">
        <v>0</v>
      </c>
      <c r="T775" s="55" t="b">
        <v>0</v>
      </c>
      <c r="U775" s="55" t="b">
        <v>0</v>
      </c>
      <c r="V775" s="55" t="b">
        <v>0</v>
      </c>
    </row>
    <row r="776" ht="69" customHeight="1" s="211">
      <c r="A776" s="92">
        <f>Accounts!A776</f>
        <v/>
      </c>
      <c r="B776" s="12" t="b">
        <v>0</v>
      </c>
      <c r="C776" s="93">
        <f>Accounts!N776</f>
        <v/>
      </c>
      <c r="D776" s="94" t="n"/>
      <c r="E776" s="93">
        <f>Accounts!F776</f>
        <v/>
      </c>
      <c r="F776" s="94">
        <f>Accounts!Q776</f>
        <v/>
      </c>
      <c r="G776" s="94">
        <f>Accounts!R776</f>
        <v/>
      </c>
      <c r="H776" s="94">
        <f>Accounts!I776</f>
        <v/>
      </c>
      <c r="I776" s="94">
        <f>Accounts!J776</f>
        <v/>
      </c>
      <c r="J776" s="93">
        <f>Accounts!S776</f>
        <v/>
      </c>
      <c r="K776" s="88" t="n"/>
      <c r="L776" s="95" t="n"/>
      <c r="M776" s="55" t="b">
        <v>0</v>
      </c>
      <c r="N776" s="96" t="b">
        <v>0</v>
      </c>
      <c r="O776" s="55" t="b">
        <v>0</v>
      </c>
      <c r="P776" s="55" t="b">
        <v>0</v>
      </c>
      <c r="Q776" s="55" t="b">
        <v>0</v>
      </c>
      <c r="R776" s="55" t="b">
        <v>0</v>
      </c>
      <c r="S776" s="55" t="b">
        <v>0</v>
      </c>
      <c r="T776" s="55" t="b">
        <v>0</v>
      </c>
      <c r="U776" s="55" t="b">
        <v>0</v>
      </c>
      <c r="V776" s="55" t="b">
        <v>0</v>
      </c>
    </row>
    <row r="777" ht="69" customHeight="1" s="211">
      <c r="A777" s="92">
        <f>Accounts!A777</f>
        <v/>
      </c>
      <c r="B777" s="12" t="b">
        <v>0</v>
      </c>
      <c r="C777" s="93">
        <f>Accounts!N777</f>
        <v/>
      </c>
      <c r="D777" s="94" t="n"/>
      <c r="E777" s="93">
        <f>Accounts!F777</f>
        <v/>
      </c>
      <c r="F777" s="94">
        <f>Accounts!Q777</f>
        <v/>
      </c>
      <c r="G777" s="94">
        <f>Accounts!R777</f>
        <v/>
      </c>
      <c r="H777" s="94">
        <f>Accounts!I777</f>
        <v/>
      </c>
      <c r="I777" s="94">
        <f>Accounts!J777</f>
        <v/>
      </c>
      <c r="J777" s="93">
        <f>Accounts!S777</f>
        <v/>
      </c>
      <c r="K777" s="88" t="n"/>
      <c r="L777" s="95" t="n"/>
      <c r="M777" s="55" t="b">
        <v>0</v>
      </c>
      <c r="N777" s="96" t="b">
        <v>0</v>
      </c>
      <c r="O777" s="55" t="b">
        <v>0</v>
      </c>
      <c r="P777" s="55" t="b">
        <v>0</v>
      </c>
      <c r="Q777" s="55" t="b">
        <v>0</v>
      </c>
      <c r="R777" s="55" t="b">
        <v>0</v>
      </c>
      <c r="S777" s="55" t="b">
        <v>0</v>
      </c>
      <c r="T777" s="55" t="b">
        <v>0</v>
      </c>
      <c r="U777" s="55" t="b">
        <v>0</v>
      </c>
      <c r="V777" s="55" t="b">
        <v>0</v>
      </c>
    </row>
    <row r="778" ht="69" customHeight="1" s="211">
      <c r="A778" s="92">
        <f>Accounts!A778</f>
        <v/>
      </c>
      <c r="B778" s="12" t="b">
        <v>0</v>
      </c>
      <c r="C778" s="93">
        <f>Accounts!N778</f>
        <v/>
      </c>
      <c r="D778" s="94" t="n"/>
      <c r="E778" s="93">
        <f>Accounts!F778</f>
        <v/>
      </c>
      <c r="F778" s="94">
        <f>Accounts!Q778</f>
        <v/>
      </c>
      <c r="G778" s="94">
        <f>Accounts!R778</f>
        <v/>
      </c>
      <c r="H778" s="94">
        <f>Accounts!I778</f>
        <v/>
      </c>
      <c r="I778" s="94">
        <f>Accounts!J778</f>
        <v/>
      </c>
      <c r="J778" s="93">
        <f>Accounts!S778</f>
        <v/>
      </c>
      <c r="K778" s="88" t="n"/>
      <c r="L778" s="95" t="n"/>
      <c r="M778" s="55" t="b">
        <v>0</v>
      </c>
      <c r="N778" s="96" t="b">
        <v>0</v>
      </c>
      <c r="O778" s="55" t="b">
        <v>0</v>
      </c>
      <c r="P778" s="55" t="b">
        <v>0</v>
      </c>
      <c r="Q778" s="55" t="b">
        <v>0</v>
      </c>
      <c r="R778" s="55" t="b">
        <v>0</v>
      </c>
      <c r="S778" s="55" t="b">
        <v>0</v>
      </c>
      <c r="T778" s="55" t="b">
        <v>0</v>
      </c>
      <c r="U778" s="55" t="b">
        <v>0</v>
      </c>
      <c r="V778" s="55" t="b">
        <v>0</v>
      </c>
    </row>
    <row r="779" ht="69" customHeight="1" s="211">
      <c r="A779" s="92">
        <f>Accounts!A779</f>
        <v/>
      </c>
      <c r="B779" s="12" t="b">
        <v>0</v>
      </c>
      <c r="C779" s="93">
        <f>Accounts!N779</f>
        <v/>
      </c>
      <c r="D779" s="94" t="n"/>
      <c r="E779" s="93">
        <f>Accounts!F779</f>
        <v/>
      </c>
      <c r="F779" s="94">
        <f>Accounts!Q779</f>
        <v/>
      </c>
      <c r="G779" s="94">
        <f>Accounts!R779</f>
        <v/>
      </c>
      <c r="H779" s="94">
        <f>Accounts!I779</f>
        <v/>
      </c>
      <c r="I779" s="94">
        <f>Accounts!J779</f>
        <v/>
      </c>
      <c r="J779" s="93">
        <f>Accounts!S779</f>
        <v/>
      </c>
      <c r="K779" s="88" t="n"/>
      <c r="L779" s="95" t="n"/>
      <c r="M779" s="55" t="b">
        <v>0</v>
      </c>
      <c r="N779" s="96" t="b">
        <v>0</v>
      </c>
      <c r="O779" s="55" t="b">
        <v>0</v>
      </c>
      <c r="P779" s="55" t="b">
        <v>0</v>
      </c>
      <c r="Q779" s="55" t="b">
        <v>0</v>
      </c>
      <c r="R779" s="55" t="b">
        <v>0</v>
      </c>
      <c r="S779" s="55" t="b">
        <v>0</v>
      </c>
      <c r="T779" s="55" t="b">
        <v>0</v>
      </c>
      <c r="U779" s="55" t="b">
        <v>0</v>
      </c>
      <c r="V779" s="55" t="b">
        <v>0</v>
      </c>
    </row>
    <row r="780" ht="69" customHeight="1" s="211">
      <c r="A780" s="92">
        <f>Accounts!A780</f>
        <v/>
      </c>
      <c r="B780" s="12" t="b">
        <v>0</v>
      </c>
      <c r="C780" s="93">
        <f>Accounts!N780</f>
        <v/>
      </c>
      <c r="D780" s="94" t="n"/>
      <c r="E780" s="93">
        <f>Accounts!F780</f>
        <v/>
      </c>
      <c r="F780" s="94">
        <f>Accounts!Q780</f>
        <v/>
      </c>
      <c r="G780" s="94">
        <f>Accounts!R780</f>
        <v/>
      </c>
      <c r="H780" s="94">
        <f>Accounts!I780</f>
        <v/>
      </c>
      <c r="I780" s="94">
        <f>Accounts!J780</f>
        <v/>
      </c>
      <c r="J780" s="93">
        <f>Accounts!S780</f>
        <v/>
      </c>
      <c r="K780" s="88" t="n"/>
      <c r="L780" s="95" t="n"/>
      <c r="M780" s="55" t="b">
        <v>0</v>
      </c>
      <c r="N780" s="96" t="b">
        <v>0</v>
      </c>
      <c r="O780" s="55" t="b">
        <v>0</v>
      </c>
      <c r="P780" s="55" t="b">
        <v>0</v>
      </c>
      <c r="Q780" s="55" t="b">
        <v>0</v>
      </c>
      <c r="R780" s="55" t="b">
        <v>0</v>
      </c>
      <c r="S780" s="55" t="b">
        <v>0</v>
      </c>
      <c r="T780" s="55" t="b">
        <v>0</v>
      </c>
      <c r="U780" s="55" t="b">
        <v>0</v>
      </c>
      <c r="V780" s="55" t="b">
        <v>0</v>
      </c>
    </row>
    <row r="781" ht="69" customHeight="1" s="211">
      <c r="A781" s="92">
        <f>Accounts!A781</f>
        <v/>
      </c>
      <c r="B781" s="12" t="b">
        <v>0</v>
      </c>
      <c r="C781" s="93">
        <f>Accounts!N781</f>
        <v/>
      </c>
      <c r="D781" s="94" t="n"/>
      <c r="E781" s="93">
        <f>Accounts!F781</f>
        <v/>
      </c>
      <c r="F781" s="94">
        <f>Accounts!Q781</f>
        <v/>
      </c>
      <c r="G781" s="94">
        <f>Accounts!R781</f>
        <v/>
      </c>
      <c r="H781" s="94">
        <f>Accounts!I781</f>
        <v/>
      </c>
      <c r="I781" s="94">
        <f>Accounts!J781</f>
        <v/>
      </c>
      <c r="J781" s="93">
        <f>Accounts!S781</f>
        <v/>
      </c>
      <c r="K781" s="88" t="n"/>
      <c r="L781" s="95" t="n"/>
      <c r="M781" s="55" t="b">
        <v>0</v>
      </c>
      <c r="N781" s="96" t="b">
        <v>0</v>
      </c>
      <c r="O781" s="55" t="b">
        <v>0</v>
      </c>
      <c r="P781" s="55" t="b">
        <v>0</v>
      </c>
      <c r="Q781" s="55" t="b">
        <v>0</v>
      </c>
      <c r="R781" s="55" t="b">
        <v>0</v>
      </c>
      <c r="S781" s="55" t="b">
        <v>0</v>
      </c>
      <c r="T781" s="55" t="b">
        <v>0</v>
      </c>
      <c r="U781" s="55" t="b">
        <v>0</v>
      </c>
      <c r="V781" s="55" t="b">
        <v>0</v>
      </c>
    </row>
    <row r="782" ht="69" customHeight="1" s="211">
      <c r="A782" s="92">
        <f>Accounts!A782</f>
        <v/>
      </c>
      <c r="B782" s="12" t="b">
        <v>0</v>
      </c>
      <c r="C782" s="93">
        <f>Accounts!N782</f>
        <v/>
      </c>
      <c r="D782" s="94" t="n"/>
      <c r="E782" s="93">
        <f>Accounts!F782</f>
        <v/>
      </c>
      <c r="F782" s="94">
        <f>Accounts!Q782</f>
        <v/>
      </c>
      <c r="G782" s="94">
        <f>Accounts!R782</f>
        <v/>
      </c>
      <c r="H782" s="94">
        <f>Accounts!I782</f>
        <v/>
      </c>
      <c r="I782" s="94">
        <f>Accounts!J782</f>
        <v/>
      </c>
      <c r="J782" s="93">
        <f>Accounts!S782</f>
        <v/>
      </c>
      <c r="K782" s="88" t="n"/>
      <c r="L782" s="95" t="n"/>
      <c r="M782" s="55" t="b">
        <v>0</v>
      </c>
      <c r="N782" s="96" t="b">
        <v>0</v>
      </c>
      <c r="O782" s="55" t="b">
        <v>0</v>
      </c>
      <c r="P782" s="55" t="b">
        <v>0</v>
      </c>
      <c r="Q782" s="55" t="b">
        <v>0</v>
      </c>
      <c r="R782" s="55" t="b">
        <v>0</v>
      </c>
      <c r="S782" s="55" t="b">
        <v>0</v>
      </c>
      <c r="T782" s="55" t="b">
        <v>0</v>
      </c>
      <c r="U782" s="55" t="b">
        <v>0</v>
      </c>
      <c r="V782" s="55" t="b">
        <v>0</v>
      </c>
    </row>
    <row r="783" ht="69" customHeight="1" s="211">
      <c r="A783" s="92">
        <f>Accounts!A783</f>
        <v/>
      </c>
      <c r="B783" s="12" t="b">
        <v>0</v>
      </c>
      <c r="C783" s="93">
        <f>Accounts!N783</f>
        <v/>
      </c>
      <c r="D783" s="94" t="n"/>
      <c r="E783" s="93">
        <f>Accounts!F783</f>
        <v/>
      </c>
      <c r="F783" s="94">
        <f>Accounts!Q783</f>
        <v/>
      </c>
      <c r="G783" s="94">
        <f>Accounts!R783</f>
        <v/>
      </c>
      <c r="H783" s="94">
        <f>Accounts!I783</f>
        <v/>
      </c>
      <c r="I783" s="94">
        <f>Accounts!J783</f>
        <v/>
      </c>
      <c r="J783" s="93">
        <f>Accounts!S783</f>
        <v/>
      </c>
      <c r="K783" s="88" t="n"/>
      <c r="L783" s="95" t="n"/>
      <c r="M783" s="55" t="b">
        <v>0</v>
      </c>
      <c r="N783" s="96" t="b">
        <v>0</v>
      </c>
      <c r="O783" s="55" t="b">
        <v>0</v>
      </c>
      <c r="P783" s="55" t="b">
        <v>0</v>
      </c>
      <c r="Q783" s="55" t="b">
        <v>0</v>
      </c>
      <c r="R783" s="55" t="b">
        <v>0</v>
      </c>
      <c r="S783" s="55" t="b">
        <v>0</v>
      </c>
      <c r="T783" s="55" t="b">
        <v>0</v>
      </c>
      <c r="U783" s="55" t="b">
        <v>0</v>
      </c>
      <c r="V783" s="55" t="b">
        <v>0</v>
      </c>
    </row>
    <row r="784" ht="69" customHeight="1" s="211">
      <c r="A784" s="92">
        <f>Accounts!A784</f>
        <v/>
      </c>
      <c r="B784" s="12" t="b">
        <v>0</v>
      </c>
      <c r="C784" s="93">
        <f>Accounts!N784</f>
        <v/>
      </c>
      <c r="D784" s="94" t="n"/>
      <c r="E784" s="93">
        <f>Accounts!F784</f>
        <v/>
      </c>
      <c r="F784" s="94">
        <f>Accounts!Q784</f>
        <v/>
      </c>
      <c r="G784" s="94">
        <f>Accounts!R784</f>
        <v/>
      </c>
      <c r="H784" s="94">
        <f>Accounts!I784</f>
        <v/>
      </c>
      <c r="I784" s="94">
        <f>Accounts!J784</f>
        <v/>
      </c>
      <c r="J784" s="93">
        <f>Accounts!S784</f>
        <v/>
      </c>
      <c r="K784" s="88" t="n"/>
      <c r="L784" s="95" t="n"/>
      <c r="M784" s="55" t="b">
        <v>0</v>
      </c>
      <c r="N784" s="96" t="b">
        <v>0</v>
      </c>
      <c r="O784" s="55" t="b">
        <v>0</v>
      </c>
      <c r="P784" s="55" t="b">
        <v>0</v>
      </c>
      <c r="Q784" s="55" t="b">
        <v>0</v>
      </c>
      <c r="R784" s="55" t="b">
        <v>0</v>
      </c>
      <c r="S784" s="55" t="b">
        <v>0</v>
      </c>
      <c r="T784" s="55" t="b">
        <v>0</v>
      </c>
      <c r="U784" s="55" t="b">
        <v>0</v>
      </c>
      <c r="V784" s="55" t="b">
        <v>0</v>
      </c>
    </row>
    <row r="785" ht="69" customHeight="1" s="211">
      <c r="A785" s="92">
        <f>Accounts!A785</f>
        <v/>
      </c>
      <c r="B785" s="12" t="b">
        <v>0</v>
      </c>
      <c r="C785" s="93">
        <f>Accounts!N785</f>
        <v/>
      </c>
      <c r="D785" s="94" t="n"/>
      <c r="E785" s="93">
        <f>Accounts!F785</f>
        <v/>
      </c>
      <c r="F785" s="94">
        <f>Accounts!Q785</f>
        <v/>
      </c>
      <c r="G785" s="94">
        <f>Accounts!R785</f>
        <v/>
      </c>
      <c r="H785" s="94">
        <f>Accounts!I785</f>
        <v/>
      </c>
      <c r="I785" s="94">
        <f>Accounts!J785</f>
        <v/>
      </c>
      <c r="J785" s="93">
        <f>Accounts!S785</f>
        <v/>
      </c>
      <c r="K785" s="88" t="n"/>
      <c r="L785" s="95" t="n"/>
      <c r="M785" s="55" t="b">
        <v>0</v>
      </c>
      <c r="N785" s="96" t="b">
        <v>0</v>
      </c>
      <c r="O785" s="55" t="b">
        <v>0</v>
      </c>
      <c r="P785" s="55" t="b">
        <v>0</v>
      </c>
      <c r="Q785" s="55" t="b">
        <v>0</v>
      </c>
      <c r="R785" s="55" t="b">
        <v>0</v>
      </c>
      <c r="S785" s="55" t="b">
        <v>0</v>
      </c>
      <c r="T785" s="55" t="b">
        <v>0</v>
      </c>
      <c r="U785" s="55" t="b">
        <v>0</v>
      </c>
      <c r="V785" s="55" t="b">
        <v>0</v>
      </c>
    </row>
    <row r="786" ht="69" customHeight="1" s="211">
      <c r="A786" s="92">
        <f>Accounts!A786</f>
        <v/>
      </c>
      <c r="B786" s="12" t="b">
        <v>0</v>
      </c>
      <c r="C786" s="93">
        <f>Accounts!N786</f>
        <v/>
      </c>
      <c r="D786" s="94" t="n"/>
      <c r="E786" s="93">
        <f>Accounts!F786</f>
        <v/>
      </c>
      <c r="F786" s="94">
        <f>Accounts!Q786</f>
        <v/>
      </c>
      <c r="G786" s="94">
        <f>Accounts!R786</f>
        <v/>
      </c>
      <c r="H786" s="94">
        <f>Accounts!I786</f>
        <v/>
      </c>
      <c r="I786" s="94">
        <f>Accounts!J786</f>
        <v/>
      </c>
      <c r="J786" s="93">
        <f>Accounts!S786</f>
        <v/>
      </c>
      <c r="K786" s="88" t="n"/>
      <c r="L786" s="95" t="n"/>
      <c r="M786" s="55" t="b">
        <v>0</v>
      </c>
      <c r="N786" s="96" t="b">
        <v>0</v>
      </c>
      <c r="O786" s="55" t="b">
        <v>0</v>
      </c>
      <c r="P786" s="55" t="b">
        <v>0</v>
      </c>
      <c r="Q786" s="55" t="b">
        <v>0</v>
      </c>
      <c r="R786" s="55" t="b">
        <v>0</v>
      </c>
      <c r="S786" s="55" t="b">
        <v>0</v>
      </c>
      <c r="T786" s="55" t="b">
        <v>0</v>
      </c>
      <c r="U786" s="55" t="b">
        <v>0</v>
      </c>
      <c r="V786" s="55" t="b">
        <v>0</v>
      </c>
    </row>
    <row r="787" ht="69" customHeight="1" s="211">
      <c r="A787" s="92">
        <f>Accounts!A787</f>
        <v/>
      </c>
      <c r="B787" s="12" t="b">
        <v>0</v>
      </c>
      <c r="C787" s="93">
        <f>Accounts!N787</f>
        <v/>
      </c>
      <c r="D787" s="94" t="n"/>
      <c r="E787" s="93">
        <f>Accounts!F787</f>
        <v/>
      </c>
      <c r="F787" s="94">
        <f>Accounts!Q787</f>
        <v/>
      </c>
      <c r="G787" s="94">
        <f>Accounts!R787</f>
        <v/>
      </c>
      <c r="H787" s="94">
        <f>Accounts!I787</f>
        <v/>
      </c>
      <c r="I787" s="94">
        <f>Accounts!J787</f>
        <v/>
      </c>
      <c r="J787" s="93">
        <f>Accounts!S787</f>
        <v/>
      </c>
      <c r="K787" s="88" t="n"/>
      <c r="L787" s="95" t="n"/>
      <c r="M787" s="55" t="b">
        <v>0</v>
      </c>
      <c r="N787" s="96" t="b">
        <v>0</v>
      </c>
      <c r="O787" s="55" t="b">
        <v>0</v>
      </c>
      <c r="P787" s="55" t="b">
        <v>0</v>
      </c>
      <c r="Q787" s="55" t="b">
        <v>0</v>
      </c>
      <c r="R787" s="55" t="b">
        <v>0</v>
      </c>
      <c r="S787" s="55" t="b">
        <v>0</v>
      </c>
      <c r="T787" s="55" t="b">
        <v>0</v>
      </c>
      <c r="U787" s="55" t="b">
        <v>0</v>
      </c>
      <c r="V787" s="55" t="b">
        <v>0</v>
      </c>
    </row>
    <row r="788" ht="69" customHeight="1" s="211">
      <c r="A788" s="92">
        <f>Accounts!A788</f>
        <v/>
      </c>
      <c r="B788" s="12" t="b">
        <v>0</v>
      </c>
      <c r="C788" s="93">
        <f>Accounts!N788</f>
        <v/>
      </c>
      <c r="D788" s="94" t="n"/>
      <c r="E788" s="93">
        <f>Accounts!F788</f>
        <v/>
      </c>
      <c r="F788" s="94">
        <f>Accounts!Q788</f>
        <v/>
      </c>
      <c r="G788" s="94">
        <f>Accounts!R788</f>
        <v/>
      </c>
      <c r="H788" s="94">
        <f>Accounts!I788</f>
        <v/>
      </c>
      <c r="I788" s="94">
        <f>Accounts!J788</f>
        <v/>
      </c>
      <c r="J788" s="93">
        <f>Accounts!S788</f>
        <v/>
      </c>
      <c r="K788" s="88" t="n"/>
      <c r="L788" s="95" t="n"/>
      <c r="M788" s="55" t="b">
        <v>0</v>
      </c>
      <c r="N788" s="96" t="b">
        <v>0</v>
      </c>
      <c r="O788" s="55" t="b">
        <v>0</v>
      </c>
      <c r="P788" s="55" t="b">
        <v>0</v>
      </c>
      <c r="Q788" s="55" t="b">
        <v>0</v>
      </c>
      <c r="R788" s="55" t="b">
        <v>0</v>
      </c>
      <c r="S788" s="55" t="b">
        <v>0</v>
      </c>
      <c r="T788" s="55" t="b">
        <v>0</v>
      </c>
      <c r="U788" s="55" t="b">
        <v>0</v>
      </c>
      <c r="V788" s="55" t="b">
        <v>0</v>
      </c>
    </row>
    <row r="789" ht="69" customHeight="1" s="211">
      <c r="A789" s="92">
        <f>Accounts!A789</f>
        <v/>
      </c>
      <c r="B789" s="12" t="b">
        <v>0</v>
      </c>
      <c r="C789" s="93">
        <f>Accounts!N789</f>
        <v/>
      </c>
      <c r="D789" s="94" t="n"/>
      <c r="E789" s="93">
        <f>Accounts!F789</f>
        <v/>
      </c>
      <c r="F789" s="94">
        <f>Accounts!Q789</f>
        <v/>
      </c>
      <c r="G789" s="94">
        <f>Accounts!R789</f>
        <v/>
      </c>
      <c r="H789" s="94">
        <f>Accounts!I789</f>
        <v/>
      </c>
      <c r="I789" s="94">
        <f>Accounts!J789</f>
        <v/>
      </c>
      <c r="J789" s="93">
        <f>Accounts!S789</f>
        <v/>
      </c>
      <c r="K789" s="88" t="n"/>
      <c r="L789" s="95" t="n"/>
      <c r="M789" s="55" t="b">
        <v>0</v>
      </c>
      <c r="N789" s="96" t="b">
        <v>0</v>
      </c>
      <c r="O789" s="55" t="b">
        <v>0</v>
      </c>
      <c r="P789" s="55" t="b">
        <v>0</v>
      </c>
      <c r="Q789" s="55" t="b">
        <v>0</v>
      </c>
      <c r="R789" s="55" t="b">
        <v>0</v>
      </c>
      <c r="S789" s="55" t="b">
        <v>0</v>
      </c>
      <c r="T789" s="55" t="b">
        <v>0</v>
      </c>
      <c r="U789" s="55" t="b">
        <v>0</v>
      </c>
      <c r="V789" s="55" t="b">
        <v>0</v>
      </c>
    </row>
    <row r="790" ht="69" customHeight="1" s="211">
      <c r="A790" s="92">
        <f>Accounts!A790</f>
        <v/>
      </c>
      <c r="B790" s="12" t="b">
        <v>0</v>
      </c>
      <c r="C790" s="93">
        <f>Accounts!N790</f>
        <v/>
      </c>
      <c r="D790" s="94" t="n"/>
      <c r="E790" s="93">
        <f>Accounts!F790</f>
        <v/>
      </c>
      <c r="F790" s="94">
        <f>Accounts!Q790</f>
        <v/>
      </c>
      <c r="G790" s="94">
        <f>Accounts!R790</f>
        <v/>
      </c>
      <c r="H790" s="94">
        <f>Accounts!I790</f>
        <v/>
      </c>
      <c r="I790" s="94">
        <f>Accounts!J790</f>
        <v/>
      </c>
      <c r="J790" s="93">
        <f>Accounts!S790</f>
        <v/>
      </c>
      <c r="K790" s="88" t="n"/>
      <c r="L790" s="95" t="n"/>
      <c r="M790" s="55" t="b">
        <v>0</v>
      </c>
      <c r="N790" s="96" t="b">
        <v>0</v>
      </c>
      <c r="O790" s="55" t="b">
        <v>0</v>
      </c>
      <c r="P790" s="55" t="b">
        <v>0</v>
      </c>
      <c r="Q790" s="55" t="b">
        <v>0</v>
      </c>
      <c r="R790" s="55" t="b">
        <v>0</v>
      </c>
      <c r="S790" s="55" t="b">
        <v>0</v>
      </c>
      <c r="T790" s="55" t="b">
        <v>0</v>
      </c>
      <c r="U790" s="55" t="b">
        <v>0</v>
      </c>
      <c r="V790" s="55" t="b">
        <v>0</v>
      </c>
    </row>
    <row r="791" ht="69" customHeight="1" s="211">
      <c r="A791" s="92">
        <f>Accounts!A791</f>
        <v/>
      </c>
      <c r="B791" s="12" t="b">
        <v>0</v>
      </c>
      <c r="C791" s="93">
        <f>Accounts!N791</f>
        <v/>
      </c>
      <c r="D791" s="94" t="n"/>
      <c r="E791" s="93">
        <f>Accounts!F791</f>
        <v/>
      </c>
      <c r="F791" s="94">
        <f>Accounts!Q791</f>
        <v/>
      </c>
      <c r="G791" s="94">
        <f>Accounts!R791</f>
        <v/>
      </c>
      <c r="H791" s="94">
        <f>Accounts!I791</f>
        <v/>
      </c>
      <c r="I791" s="94">
        <f>Accounts!J791</f>
        <v/>
      </c>
      <c r="J791" s="93">
        <f>Accounts!S791</f>
        <v/>
      </c>
      <c r="K791" s="88" t="n"/>
      <c r="L791" s="95" t="n"/>
      <c r="M791" s="55" t="b">
        <v>0</v>
      </c>
      <c r="N791" s="96" t="b">
        <v>0</v>
      </c>
      <c r="O791" s="55" t="b">
        <v>0</v>
      </c>
      <c r="P791" s="55" t="b">
        <v>0</v>
      </c>
      <c r="Q791" s="55" t="b">
        <v>0</v>
      </c>
      <c r="R791" s="55" t="b">
        <v>0</v>
      </c>
      <c r="S791" s="55" t="b">
        <v>0</v>
      </c>
      <c r="T791" s="55" t="b">
        <v>0</v>
      </c>
      <c r="U791" s="55" t="b">
        <v>0</v>
      </c>
      <c r="V791" s="55" t="b">
        <v>0</v>
      </c>
    </row>
    <row r="792" ht="69" customHeight="1" s="211">
      <c r="A792" s="92">
        <f>Accounts!A792</f>
        <v/>
      </c>
      <c r="B792" s="12" t="b">
        <v>0</v>
      </c>
      <c r="C792" s="93">
        <f>Accounts!N792</f>
        <v/>
      </c>
      <c r="D792" s="94" t="n"/>
      <c r="E792" s="93">
        <f>Accounts!F792</f>
        <v/>
      </c>
      <c r="F792" s="94">
        <f>Accounts!Q792</f>
        <v/>
      </c>
      <c r="G792" s="94">
        <f>Accounts!R792</f>
        <v/>
      </c>
      <c r="H792" s="94">
        <f>Accounts!I792</f>
        <v/>
      </c>
      <c r="I792" s="94">
        <f>Accounts!J792</f>
        <v/>
      </c>
      <c r="J792" s="93">
        <f>Accounts!S792</f>
        <v/>
      </c>
      <c r="K792" s="88" t="n"/>
      <c r="L792" s="95" t="n"/>
      <c r="M792" s="55" t="b">
        <v>0</v>
      </c>
      <c r="N792" s="96" t="b">
        <v>0</v>
      </c>
      <c r="O792" s="55" t="b">
        <v>0</v>
      </c>
      <c r="P792" s="55" t="b">
        <v>0</v>
      </c>
      <c r="Q792" s="55" t="b">
        <v>0</v>
      </c>
      <c r="R792" s="55" t="b">
        <v>0</v>
      </c>
      <c r="S792" s="55" t="b">
        <v>0</v>
      </c>
      <c r="T792" s="55" t="b">
        <v>0</v>
      </c>
      <c r="U792" s="55" t="b">
        <v>0</v>
      </c>
      <c r="V792" s="55" t="b">
        <v>0</v>
      </c>
    </row>
    <row r="793" ht="69" customHeight="1" s="211">
      <c r="A793" s="92">
        <f>Accounts!A793</f>
        <v/>
      </c>
      <c r="B793" s="12" t="b">
        <v>0</v>
      </c>
      <c r="C793" s="93">
        <f>Accounts!N793</f>
        <v/>
      </c>
      <c r="D793" s="94" t="n"/>
      <c r="E793" s="93">
        <f>Accounts!F793</f>
        <v/>
      </c>
      <c r="F793" s="94">
        <f>Accounts!Q793</f>
        <v/>
      </c>
      <c r="G793" s="94">
        <f>Accounts!R793</f>
        <v/>
      </c>
      <c r="H793" s="94">
        <f>Accounts!I793</f>
        <v/>
      </c>
      <c r="I793" s="94">
        <f>Accounts!J793</f>
        <v/>
      </c>
      <c r="J793" s="93">
        <f>Accounts!S793</f>
        <v/>
      </c>
      <c r="K793" s="88" t="n"/>
      <c r="L793" s="95" t="n"/>
      <c r="M793" s="55" t="b">
        <v>0</v>
      </c>
      <c r="N793" s="96" t="b">
        <v>0</v>
      </c>
      <c r="O793" s="55" t="b">
        <v>0</v>
      </c>
      <c r="P793" s="55" t="b">
        <v>0</v>
      </c>
      <c r="Q793" s="55" t="b">
        <v>0</v>
      </c>
      <c r="R793" s="55" t="b">
        <v>0</v>
      </c>
      <c r="S793" s="55" t="b">
        <v>0</v>
      </c>
      <c r="T793" s="55" t="b">
        <v>0</v>
      </c>
      <c r="U793" s="55" t="b">
        <v>0</v>
      </c>
      <c r="V793" s="55" t="b">
        <v>0</v>
      </c>
    </row>
    <row r="794" ht="69" customHeight="1" s="211">
      <c r="A794" s="92">
        <f>Accounts!A794</f>
        <v/>
      </c>
      <c r="B794" s="12" t="b">
        <v>0</v>
      </c>
      <c r="C794" s="93">
        <f>Accounts!N794</f>
        <v/>
      </c>
      <c r="D794" s="94" t="n"/>
      <c r="E794" s="93">
        <f>Accounts!F794</f>
        <v/>
      </c>
      <c r="F794" s="94">
        <f>Accounts!Q794</f>
        <v/>
      </c>
      <c r="G794" s="94">
        <f>Accounts!R794</f>
        <v/>
      </c>
      <c r="H794" s="94">
        <f>Accounts!I794</f>
        <v/>
      </c>
      <c r="I794" s="94">
        <f>Accounts!J794</f>
        <v/>
      </c>
      <c r="J794" s="93">
        <f>Accounts!S794</f>
        <v/>
      </c>
      <c r="K794" s="88" t="n"/>
      <c r="L794" s="95" t="n"/>
      <c r="M794" s="55" t="b">
        <v>0</v>
      </c>
      <c r="N794" s="96" t="b">
        <v>0</v>
      </c>
      <c r="O794" s="55" t="b">
        <v>0</v>
      </c>
      <c r="P794" s="55" t="b">
        <v>0</v>
      </c>
      <c r="Q794" s="55" t="b">
        <v>0</v>
      </c>
      <c r="R794" s="55" t="b">
        <v>0</v>
      </c>
      <c r="S794" s="55" t="b">
        <v>0</v>
      </c>
      <c r="T794" s="55" t="b">
        <v>0</v>
      </c>
      <c r="U794" s="55" t="b">
        <v>0</v>
      </c>
      <c r="V794" s="55" t="b">
        <v>0</v>
      </c>
    </row>
    <row r="795" ht="69" customHeight="1" s="211">
      <c r="A795" s="92">
        <f>Accounts!A795</f>
        <v/>
      </c>
      <c r="B795" s="12" t="b">
        <v>0</v>
      </c>
      <c r="C795" s="93">
        <f>Accounts!N795</f>
        <v/>
      </c>
      <c r="D795" s="94" t="n"/>
      <c r="E795" s="93">
        <f>Accounts!F795</f>
        <v/>
      </c>
      <c r="F795" s="94">
        <f>Accounts!Q795</f>
        <v/>
      </c>
      <c r="G795" s="94">
        <f>Accounts!R795</f>
        <v/>
      </c>
      <c r="H795" s="94">
        <f>Accounts!I795</f>
        <v/>
      </c>
      <c r="I795" s="94">
        <f>Accounts!J795</f>
        <v/>
      </c>
      <c r="J795" s="93">
        <f>Accounts!S795</f>
        <v/>
      </c>
      <c r="K795" s="88" t="n"/>
      <c r="L795" s="95" t="n"/>
      <c r="M795" s="55" t="b">
        <v>0</v>
      </c>
      <c r="N795" s="96" t="b">
        <v>0</v>
      </c>
      <c r="O795" s="55" t="b">
        <v>0</v>
      </c>
      <c r="P795" s="55" t="b">
        <v>0</v>
      </c>
      <c r="Q795" s="55" t="b">
        <v>0</v>
      </c>
      <c r="R795" s="55" t="b">
        <v>0</v>
      </c>
      <c r="S795" s="55" t="b">
        <v>0</v>
      </c>
      <c r="T795" s="55" t="b">
        <v>0</v>
      </c>
      <c r="U795" s="55" t="b">
        <v>0</v>
      </c>
      <c r="V795" s="55" t="b">
        <v>0</v>
      </c>
    </row>
    <row r="796" ht="69" customHeight="1" s="211">
      <c r="A796" s="92">
        <f>Accounts!A796</f>
        <v/>
      </c>
      <c r="B796" s="12" t="b">
        <v>0</v>
      </c>
      <c r="C796" s="93">
        <f>Accounts!N796</f>
        <v/>
      </c>
      <c r="D796" s="94" t="n"/>
      <c r="E796" s="93">
        <f>Accounts!F796</f>
        <v/>
      </c>
      <c r="F796" s="94">
        <f>Accounts!Q796</f>
        <v/>
      </c>
      <c r="G796" s="94">
        <f>Accounts!R796</f>
        <v/>
      </c>
      <c r="H796" s="94">
        <f>Accounts!I796</f>
        <v/>
      </c>
      <c r="I796" s="94">
        <f>Accounts!J796</f>
        <v/>
      </c>
      <c r="J796" s="93">
        <f>Accounts!S796</f>
        <v/>
      </c>
      <c r="K796" s="88" t="n"/>
      <c r="L796" s="95" t="n"/>
      <c r="M796" s="55" t="b">
        <v>0</v>
      </c>
      <c r="N796" s="96" t="b">
        <v>0</v>
      </c>
      <c r="O796" s="55" t="b">
        <v>0</v>
      </c>
      <c r="P796" s="55" t="b">
        <v>0</v>
      </c>
      <c r="Q796" s="55" t="b">
        <v>0</v>
      </c>
      <c r="R796" s="55" t="b">
        <v>0</v>
      </c>
      <c r="S796" s="55" t="b">
        <v>0</v>
      </c>
      <c r="T796" s="55" t="b">
        <v>0</v>
      </c>
      <c r="U796" s="55" t="b">
        <v>0</v>
      </c>
      <c r="V796" s="55" t="b">
        <v>0</v>
      </c>
    </row>
    <row r="797" ht="69" customHeight="1" s="211">
      <c r="A797" s="92">
        <f>Accounts!A797</f>
        <v/>
      </c>
      <c r="B797" s="12" t="b">
        <v>0</v>
      </c>
      <c r="C797" s="93">
        <f>Accounts!N797</f>
        <v/>
      </c>
      <c r="D797" s="94" t="n"/>
      <c r="E797" s="93">
        <f>Accounts!F797</f>
        <v/>
      </c>
      <c r="F797" s="94">
        <f>Accounts!Q797</f>
        <v/>
      </c>
      <c r="G797" s="94">
        <f>Accounts!R797</f>
        <v/>
      </c>
      <c r="H797" s="94">
        <f>Accounts!I797</f>
        <v/>
      </c>
      <c r="I797" s="94">
        <f>Accounts!J797</f>
        <v/>
      </c>
      <c r="J797" s="93">
        <f>Accounts!S797</f>
        <v/>
      </c>
      <c r="K797" s="88" t="n"/>
      <c r="L797" s="95" t="n"/>
      <c r="M797" s="55" t="b">
        <v>0</v>
      </c>
      <c r="N797" s="96" t="b">
        <v>0</v>
      </c>
      <c r="O797" s="55" t="b">
        <v>0</v>
      </c>
      <c r="P797" s="55" t="b">
        <v>0</v>
      </c>
      <c r="Q797" s="55" t="b">
        <v>0</v>
      </c>
      <c r="R797" s="55" t="b">
        <v>0</v>
      </c>
      <c r="S797" s="55" t="b">
        <v>0</v>
      </c>
      <c r="T797" s="55" t="b">
        <v>0</v>
      </c>
      <c r="U797" s="55" t="b">
        <v>0</v>
      </c>
      <c r="V797" s="55" t="b">
        <v>0</v>
      </c>
    </row>
    <row r="798" ht="69" customHeight="1" s="211">
      <c r="A798" s="92">
        <f>Accounts!A798</f>
        <v/>
      </c>
      <c r="B798" s="12" t="b">
        <v>0</v>
      </c>
      <c r="C798" s="93">
        <f>Accounts!N798</f>
        <v/>
      </c>
      <c r="D798" s="94" t="n"/>
      <c r="E798" s="93">
        <f>Accounts!F798</f>
        <v/>
      </c>
      <c r="F798" s="94">
        <f>Accounts!Q798</f>
        <v/>
      </c>
      <c r="G798" s="94">
        <f>Accounts!R798</f>
        <v/>
      </c>
      <c r="H798" s="94">
        <f>Accounts!I798</f>
        <v/>
      </c>
      <c r="I798" s="94">
        <f>Accounts!J798</f>
        <v/>
      </c>
      <c r="J798" s="93">
        <f>Accounts!S798</f>
        <v/>
      </c>
      <c r="K798" s="88" t="n"/>
      <c r="L798" s="95" t="n"/>
      <c r="M798" s="55" t="b">
        <v>0</v>
      </c>
      <c r="N798" s="96" t="b">
        <v>0</v>
      </c>
      <c r="O798" s="55" t="b">
        <v>0</v>
      </c>
      <c r="P798" s="55" t="b">
        <v>0</v>
      </c>
      <c r="Q798" s="55" t="b">
        <v>0</v>
      </c>
      <c r="R798" s="55" t="b">
        <v>0</v>
      </c>
      <c r="S798" s="55" t="b">
        <v>0</v>
      </c>
      <c r="T798" s="55" t="b">
        <v>0</v>
      </c>
      <c r="U798" s="55" t="b">
        <v>0</v>
      </c>
      <c r="V798" s="55" t="b">
        <v>0</v>
      </c>
    </row>
    <row r="799" ht="69" customHeight="1" s="211">
      <c r="A799" s="92">
        <f>Accounts!A799</f>
        <v/>
      </c>
      <c r="B799" s="12" t="b">
        <v>0</v>
      </c>
      <c r="C799" s="93">
        <f>Accounts!N799</f>
        <v/>
      </c>
      <c r="D799" s="94" t="n"/>
      <c r="E799" s="93">
        <f>Accounts!F799</f>
        <v/>
      </c>
      <c r="F799" s="94">
        <f>Accounts!Q799</f>
        <v/>
      </c>
      <c r="G799" s="94">
        <f>Accounts!R799</f>
        <v/>
      </c>
      <c r="H799" s="94">
        <f>Accounts!I799</f>
        <v/>
      </c>
      <c r="I799" s="94">
        <f>Accounts!J799</f>
        <v/>
      </c>
      <c r="J799" s="93">
        <f>Accounts!S799</f>
        <v/>
      </c>
      <c r="K799" s="88" t="n"/>
      <c r="L799" s="95" t="n"/>
      <c r="M799" s="55" t="b">
        <v>0</v>
      </c>
      <c r="N799" s="96" t="b">
        <v>0</v>
      </c>
      <c r="O799" s="55" t="b">
        <v>0</v>
      </c>
      <c r="P799" s="55" t="b">
        <v>0</v>
      </c>
      <c r="Q799" s="55" t="b">
        <v>0</v>
      </c>
      <c r="R799" s="55" t="b">
        <v>0</v>
      </c>
      <c r="S799" s="55" t="b">
        <v>0</v>
      </c>
      <c r="T799" s="55" t="b">
        <v>0</v>
      </c>
      <c r="U799" s="55" t="b">
        <v>0</v>
      </c>
      <c r="V799" s="55" t="b">
        <v>0</v>
      </c>
    </row>
    <row r="800" ht="69" customHeight="1" s="211">
      <c r="A800" s="92">
        <f>Accounts!A800</f>
        <v/>
      </c>
      <c r="B800" s="12" t="b">
        <v>0</v>
      </c>
      <c r="C800" s="93">
        <f>Accounts!N800</f>
        <v/>
      </c>
      <c r="D800" s="94" t="n"/>
      <c r="E800" s="93">
        <f>Accounts!F800</f>
        <v/>
      </c>
      <c r="F800" s="94">
        <f>Accounts!Q800</f>
        <v/>
      </c>
      <c r="G800" s="94">
        <f>Accounts!R800</f>
        <v/>
      </c>
      <c r="H800" s="94">
        <f>Accounts!I800</f>
        <v/>
      </c>
      <c r="I800" s="94">
        <f>Accounts!J800</f>
        <v/>
      </c>
      <c r="J800" s="93">
        <f>Accounts!S800</f>
        <v/>
      </c>
      <c r="K800" s="88" t="n"/>
      <c r="L800" s="95" t="n"/>
      <c r="M800" s="55" t="b">
        <v>0</v>
      </c>
      <c r="N800" s="96" t="b">
        <v>0</v>
      </c>
      <c r="O800" s="55" t="b">
        <v>0</v>
      </c>
      <c r="P800" s="55" t="b">
        <v>0</v>
      </c>
      <c r="Q800" s="55" t="b">
        <v>0</v>
      </c>
      <c r="R800" s="55" t="b">
        <v>0</v>
      </c>
      <c r="S800" s="55" t="b">
        <v>0</v>
      </c>
      <c r="T800" s="55" t="b">
        <v>0</v>
      </c>
      <c r="U800" s="55" t="b">
        <v>0</v>
      </c>
      <c r="V800" s="55" t="b">
        <v>0</v>
      </c>
    </row>
    <row r="801" ht="69" customHeight="1" s="211">
      <c r="A801" s="92">
        <f>Accounts!A801</f>
        <v/>
      </c>
      <c r="B801" s="12" t="b">
        <v>0</v>
      </c>
      <c r="C801" s="93">
        <f>Accounts!N801</f>
        <v/>
      </c>
      <c r="D801" s="94" t="n"/>
      <c r="E801" s="93">
        <f>Accounts!F801</f>
        <v/>
      </c>
      <c r="F801" s="94">
        <f>Accounts!Q801</f>
        <v/>
      </c>
      <c r="G801" s="94">
        <f>Accounts!R801</f>
        <v/>
      </c>
      <c r="H801" s="94">
        <f>Accounts!I801</f>
        <v/>
      </c>
      <c r="I801" s="94">
        <f>Accounts!J801</f>
        <v/>
      </c>
      <c r="J801" s="93">
        <f>Accounts!S801</f>
        <v/>
      </c>
      <c r="K801" s="88" t="n"/>
      <c r="L801" s="95" t="n"/>
      <c r="M801" s="55" t="b">
        <v>0</v>
      </c>
      <c r="N801" s="96" t="b">
        <v>0</v>
      </c>
      <c r="O801" s="55" t="b">
        <v>0</v>
      </c>
      <c r="P801" s="55" t="b">
        <v>0</v>
      </c>
      <c r="Q801" s="55" t="b">
        <v>0</v>
      </c>
      <c r="R801" s="55" t="b">
        <v>0</v>
      </c>
      <c r="S801" s="55" t="b">
        <v>0</v>
      </c>
      <c r="T801" s="55" t="b">
        <v>0</v>
      </c>
      <c r="U801" s="55" t="b">
        <v>0</v>
      </c>
      <c r="V801" s="55" t="b">
        <v>0</v>
      </c>
    </row>
    <row r="802" ht="69" customHeight="1" s="211">
      <c r="A802" s="92">
        <f>Accounts!A802</f>
        <v/>
      </c>
      <c r="B802" s="12" t="b">
        <v>0</v>
      </c>
      <c r="C802" s="93">
        <f>Accounts!N802</f>
        <v/>
      </c>
      <c r="D802" s="94" t="n"/>
      <c r="E802" s="93">
        <f>Accounts!F802</f>
        <v/>
      </c>
      <c r="F802" s="94">
        <f>Accounts!Q802</f>
        <v/>
      </c>
      <c r="G802" s="94">
        <f>Accounts!R802</f>
        <v/>
      </c>
      <c r="H802" s="94">
        <f>Accounts!I802</f>
        <v/>
      </c>
      <c r="I802" s="94">
        <f>Accounts!J802</f>
        <v/>
      </c>
      <c r="J802" s="93">
        <f>Accounts!S802</f>
        <v/>
      </c>
      <c r="K802" s="88" t="n"/>
      <c r="L802" s="95" t="n"/>
      <c r="M802" s="55" t="b">
        <v>0</v>
      </c>
      <c r="N802" s="96" t="b">
        <v>0</v>
      </c>
      <c r="O802" s="55" t="b">
        <v>0</v>
      </c>
      <c r="P802" s="55" t="b">
        <v>0</v>
      </c>
      <c r="Q802" s="55" t="b">
        <v>0</v>
      </c>
      <c r="R802" s="55" t="b">
        <v>0</v>
      </c>
      <c r="S802" s="55" t="b">
        <v>0</v>
      </c>
      <c r="T802" s="55" t="b">
        <v>0</v>
      </c>
      <c r="U802" s="55" t="b">
        <v>0</v>
      </c>
      <c r="V802" s="55" t="b">
        <v>0</v>
      </c>
    </row>
    <row r="803" ht="69" customHeight="1" s="211">
      <c r="A803" s="92">
        <f>Accounts!A803</f>
        <v/>
      </c>
      <c r="B803" s="12" t="b">
        <v>0</v>
      </c>
      <c r="C803" s="93">
        <f>Accounts!N803</f>
        <v/>
      </c>
      <c r="D803" s="94" t="n"/>
      <c r="E803" s="93">
        <f>Accounts!F803</f>
        <v/>
      </c>
      <c r="F803" s="94">
        <f>Accounts!Q803</f>
        <v/>
      </c>
      <c r="G803" s="94">
        <f>Accounts!R803</f>
        <v/>
      </c>
      <c r="H803" s="94">
        <f>Accounts!I803</f>
        <v/>
      </c>
      <c r="I803" s="94">
        <f>Accounts!J803</f>
        <v/>
      </c>
      <c r="J803" s="93">
        <f>Accounts!S803</f>
        <v/>
      </c>
      <c r="K803" s="88" t="n"/>
      <c r="L803" s="95" t="n"/>
      <c r="M803" s="55" t="b">
        <v>0</v>
      </c>
      <c r="N803" s="96" t="b">
        <v>0</v>
      </c>
      <c r="O803" s="55" t="b">
        <v>0</v>
      </c>
      <c r="P803" s="55" t="b">
        <v>0</v>
      </c>
      <c r="Q803" s="55" t="b">
        <v>0</v>
      </c>
      <c r="R803" s="55" t="b">
        <v>0</v>
      </c>
      <c r="S803" s="55" t="b">
        <v>0</v>
      </c>
      <c r="T803" s="55" t="b">
        <v>0</v>
      </c>
      <c r="U803" s="55" t="b">
        <v>0</v>
      </c>
      <c r="V803" s="55" t="b">
        <v>0</v>
      </c>
    </row>
    <row r="804" ht="69" customHeight="1" s="211">
      <c r="A804" s="92">
        <f>Accounts!A804</f>
        <v/>
      </c>
      <c r="B804" s="12" t="b">
        <v>0</v>
      </c>
      <c r="C804" s="93">
        <f>Accounts!N804</f>
        <v/>
      </c>
      <c r="D804" s="94" t="n"/>
      <c r="E804" s="93">
        <f>Accounts!F804</f>
        <v/>
      </c>
      <c r="F804" s="94">
        <f>Accounts!Q804</f>
        <v/>
      </c>
      <c r="G804" s="94">
        <f>Accounts!R804</f>
        <v/>
      </c>
      <c r="H804" s="94">
        <f>Accounts!I804</f>
        <v/>
      </c>
      <c r="I804" s="94">
        <f>Accounts!J804</f>
        <v/>
      </c>
      <c r="J804" s="93">
        <f>Accounts!S804</f>
        <v/>
      </c>
      <c r="K804" s="88" t="n"/>
      <c r="L804" s="95" t="n"/>
      <c r="M804" s="55" t="b">
        <v>0</v>
      </c>
      <c r="N804" s="96" t="b">
        <v>0</v>
      </c>
      <c r="O804" s="55" t="b">
        <v>0</v>
      </c>
      <c r="P804" s="55" t="b">
        <v>0</v>
      </c>
      <c r="Q804" s="55" t="b">
        <v>0</v>
      </c>
      <c r="R804" s="55" t="b">
        <v>0</v>
      </c>
      <c r="S804" s="55" t="b">
        <v>0</v>
      </c>
      <c r="T804" s="55" t="b">
        <v>0</v>
      </c>
      <c r="U804" s="55" t="b">
        <v>0</v>
      </c>
      <c r="V804" s="55" t="b">
        <v>0</v>
      </c>
    </row>
    <row r="805" ht="69" customHeight="1" s="211">
      <c r="A805" s="92">
        <f>Accounts!A805</f>
        <v/>
      </c>
      <c r="B805" s="12" t="b">
        <v>0</v>
      </c>
      <c r="C805" s="93">
        <f>Accounts!N805</f>
        <v/>
      </c>
      <c r="D805" s="94" t="n"/>
      <c r="E805" s="93">
        <f>Accounts!F805</f>
        <v/>
      </c>
      <c r="F805" s="94">
        <f>Accounts!Q805</f>
        <v/>
      </c>
      <c r="G805" s="94">
        <f>Accounts!R805</f>
        <v/>
      </c>
      <c r="H805" s="94">
        <f>Accounts!I805</f>
        <v/>
      </c>
      <c r="I805" s="94">
        <f>Accounts!J805</f>
        <v/>
      </c>
      <c r="J805" s="93">
        <f>Accounts!S805</f>
        <v/>
      </c>
      <c r="K805" s="88" t="n"/>
      <c r="L805" s="95" t="n"/>
      <c r="M805" s="55" t="b">
        <v>0</v>
      </c>
      <c r="N805" s="96" t="b">
        <v>0</v>
      </c>
      <c r="O805" s="55" t="b">
        <v>0</v>
      </c>
      <c r="P805" s="55" t="b">
        <v>0</v>
      </c>
      <c r="Q805" s="55" t="b">
        <v>0</v>
      </c>
      <c r="R805" s="55" t="b">
        <v>0</v>
      </c>
      <c r="S805" s="55" t="b">
        <v>0</v>
      </c>
      <c r="T805" s="55" t="b">
        <v>0</v>
      </c>
      <c r="U805" s="55" t="b">
        <v>0</v>
      </c>
      <c r="V805" s="55" t="b">
        <v>0</v>
      </c>
    </row>
    <row r="806" ht="69" customHeight="1" s="211">
      <c r="A806" s="92">
        <f>Accounts!A806</f>
        <v/>
      </c>
      <c r="B806" s="12" t="b">
        <v>0</v>
      </c>
      <c r="C806" s="93">
        <f>Accounts!N806</f>
        <v/>
      </c>
      <c r="D806" s="94" t="n"/>
      <c r="E806" s="93">
        <f>Accounts!F806</f>
        <v/>
      </c>
      <c r="F806" s="94">
        <f>Accounts!Q806</f>
        <v/>
      </c>
      <c r="G806" s="94">
        <f>Accounts!R806</f>
        <v/>
      </c>
      <c r="H806" s="94">
        <f>Accounts!I806</f>
        <v/>
      </c>
      <c r="I806" s="94">
        <f>Accounts!J806</f>
        <v/>
      </c>
      <c r="J806" s="93">
        <f>Accounts!S806</f>
        <v/>
      </c>
      <c r="K806" s="88" t="n"/>
      <c r="L806" s="95" t="n"/>
      <c r="M806" s="55" t="b">
        <v>0</v>
      </c>
      <c r="N806" s="96" t="b">
        <v>0</v>
      </c>
      <c r="O806" s="55" t="b">
        <v>0</v>
      </c>
      <c r="P806" s="55" t="b">
        <v>0</v>
      </c>
      <c r="Q806" s="55" t="b">
        <v>0</v>
      </c>
      <c r="R806" s="55" t="b">
        <v>0</v>
      </c>
      <c r="S806" s="55" t="b">
        <v>0</v>
      </c>
      <c r="T806" s="55" t="b">
        <v>0</v>
      </c>
      <c r="U806" s="55" t="b">
        <v>0</v>
      </c>
      <c r="V806" s="55" t="b">
        <v>0</v>
      </c>
    </row>
    <row r="807" ht="69" customHeight="1" s="211">
      <c r="A807" s="92">
        <f>Accounts!A807</f>
        <v/>
      </c>
      <c r="B807" s="12" t="b">
        <v>0</v>
      </c>
      <c r="C807" s="93">
        <f>Accounts!N807</f>
        <v/>
      </c>
      <c r="D807" s="94" t="n"/>
      <c r="E807" s="93">
        <f>Accounts!F807</f>
        <v/>
      </c>
      <c r="F807" s="94">
        <f>Accounts!Q807</f>
        <v/>
      </c>
      <c r="G807" s="94">
        <f>Accounts!R807</f>
        <v/>
      </c>
      <c r="H807" s="94">
        <f>Accounts!I807</f>
        <v/>
      </c>
      <c r="I807" s="94">
        <f>Accounts!J807</f>
        <v/>
      </c>
      <c r="J807" s="93">
        <f>Accounts!S807</f>
        <v/>
      </c>
      <c r="K807" s="88" t="n"/>
      <c r="L807" s="95" t="n"/>
      <c r="M807" s="55" t="b">
        <v>0</v>
      </c>
      <c r="N807" s="96" t="b">
        <v>0</v>
      </c>
      <c r="O807" s="55" t="b">
        <v>0</v>
      </c>
      <c r="P807" s="55" t="b">
        <v>0</v>
      </c>
      <c r="Q807" s="55" t="b">
        <v>0</v>
      </c>
      <c r="R807" s="55" t="b">
        <v>0</v>
      </c>
      <c r="S807" s="55" t="b">
        <v>0</v>
      </c>
      <c r="T807" s="55" t="b">
        <v>0</v>
      </c>
      <c r="U807" s="55" t="b">
        <v>0</v>
      </c>
      <c r="V807" s="55" t="b">
        <v>0</v>
      </c>
    </row>
    <row r="808" ht="69" customHeight="1" s="211">
      <c r="A808" s="92">
        <f>Accounts!A808</f>
        <v/>
      </c>
      <c r="B808" s="12" t="b">
        <v>0</v>
      </c>
      <c r="C808" s="93">
        <f>Accounts!N808</f>
        <v/>
      </c>
      <c r="D808" s="94" t="n"/>
      <c r="E808" s="93">
        <f>Accounts!F808</f>
        <v/>
      </c>
      <c r="F808" s="94">
        <f>Accounts!Q808</f>
        <v/>
      </c>
      <c r="G808" s="94">
        <f>Accounts!R808</f>
        <v/>
      </c>
      <c r="H808" s="94">
        <f>Accounts!I808</f>
        <v/>
      </c>
      <c r="I808" s="94">
        <f>Accounts!J808</f>
        <v/>
      </c>
      <c r="J808" s="93">
        <f>Accounts!S808</f>
        <v/>
      </c>
      <c r="K808" s="88" t="n"/>
      <c r="L808" s="95" t="n"/>
      <c r="M808" s="55" t="b">
        <v>0</v>
      </c>
      <c r="N808" s="96" t="b">
        <v>0</v>
      </c>
      <c r="O808" s="55" t="b">
        <v>0</v>
      </c>
      <c r="P808" s="55" t="b">
        <v>0</v>
      </c>
      <c r="Q808" s="55" t="b">
        <v>0</v>
      </c>
      <c r="R808" s="55" t="b">
        <v>0</v>
      </c>
      <c r="S808" s="55" t="b">
        <v>0</v>
      </c>
      <c r="T808" s="55" t="b">
        <v>0</v>
      </c>
      <c r="U808" s="55" t="b">
        <v>0</v>
      </c>
      <c r="V808" s="55" t="b">
        <v>0</v>
      </c>
    </row>
    <row r="809" ht="69" customHeight="1" s="211">
      <c r="A809" s="92">
        <f>Accounts!A809</f>
        <v/>
      </c>
      <c r="B809" s="12" t="b">
        <v>0</v>
      </c>
      <c r="C809" s="93">
        <f>Accounts!N809</f>
        <v/>
      </c>
      <c r="D809" s="94" t="n"/>
      <c r="E809" s="93">
        <f>Accounts!F809</f>
        <v/>
      </c>
      <c r="F809" s="94">
        <f>Accounts!Q809</f>
        <v/>
      </c>
      <c r="G809" s="94">
        <f>Accounts!R809</f>
        <v/>
      </c>
      <c r="H809" s="94">
        <f>Accounts!I809</f>
        <v/>
      </c>
      <c r="I809" s="94">
        <f>Accounts!J809</f>
        <v/>
      </c>
      <c r="J809" s="93">
        <f>Accounts!S809</f>
        <v/>
      </c>
      <c r="K809" s="88" t="n"/>
      <c r="L809" s="95" t="n"/>
      <c r="M809" s="55" t="b">
        <v>0</v>
      </c>
      <c r="N809" s="96" t="b">
        <v>0</v>
      </c>
      <c r="O809" s="55" t="b">
        <v>0</v>
      </c>
      <c r="P809" s="55" t="b">
        <v>0</v>
      </c>
      <c r="Q809" s="55" t="b">
        <v>0</v>
      </c>
      <c r="R809" s="55" t="b">
        <v>0</v>
      </c>
      <c r="S809" s="55" t="b">
        <v>0</v>
      </c>
      <c r="T809" s="55" t="b">
        <v>0</v>
      </c>
      <c r="U809" s="55" t="b">
        <v>0</v>
      </c>
      <c r="V809" s="55" t="b">
        <v>0</v>
      </c>
    </row>
    <row r="810" ht="69" customHeight="1" s="211">
      <c r="A810" s="92">
        <f>Accounts!A810</f>
        <v/>
      </c>
      <c r="B810" s="12" t="b">
        <v>0</v>
      </c>
      <c r="C810" s="93">
        <f>Accounts!N810</f>
        <v/>
      </c>
      <c r="D810" s="94" t="n"/>
      <c r="E810" s="93">
        <f>Accounts!F810</f>
        <v/>
      </c>
      <c r="F810" s="94">
        <f>Accounts!Q810</f>
        <v/>
      </c>
      <c r="G810" s="94">
        <f>Accounts!R810</f>
        <v/>
      </c>
      <c r="H810" s="94">
        <f>Accounts!I810</f>
        <v/>
      </c>
      <c r="I810" s="94">
        <f>Accounts!J810</f>
        <v/>
      </c>
      <c r="J810" s="93">
        <f>Accounts!S810</f>
        <v/>
      </c>
      <c r="K810" s="88" t="n"/>
      <c r="L810" s="95" t="n"/>
      <c r="M810" s="55" t="b">
        <v>0</v>
      </c>
      <c r="N810" s="96" t="b">
        <v>0</v>
      </c>
      <c r="O810" s="55" t="b">
        <v>0</v>
      </c>
      <c r="P810" s="55" t="b">
        <v>0</v>
      </c>
      <c r="Q810" s="55" t="b">
        <v>0</v>
      </c>
      <c r="R810" s="55" t="b">
        <v>0</v>
      </c>
      <c r="S810" s="55" t="b">
        <v>0</v>
      </c>
      <c r="T810" s="55" t="b">
        <v>0</v>
      </c>
      <c r="U810" s="55" t="b">
        <v>0</v>
      </c>
      <c r="V810" s="55" t="b">
        <v>0</v>
      </c>
    </row>
    <row r="811" ht="69" customHeight="1" s="211">
      <c r="A811" s="92">
        <f>Accounts!A811</f>
        <v/>
      </c>
      <c r="B811" s="12" t="b">
        <v>0</v>
      </c>
      <c r="C811" s="93">
        <f>Accounts!N811</f>
        <v/>
      </c>
      <c r="D811" s="94" t="n"/>
      <c r="E811" s="93">
        <f>Accounts!F811</f>
        <v/>
      </c>
      <c r="F811" s="94">
        <f>Accounts!Q811</f>
        <v/>
      </c>
      <c r="G811" s="94">
        <f>Accounts!R811</f>
        <v/>
      </c>
      <c r="H811" s="94">
        <f>Accounts!I811</f>
        <v/>
      </c>
      <c r="I811" s="94">
        <f>Accounts!J811</f>
        <v/>
      </c>
      <c r="J811" s="93">
        <f>Accounts!S811</f>
        <v/>
      </c>
      <c r="K811" s="88" t="n"/>
      <c r="L811" s="95" t="n"/>
      <c r="M811" s="55" t="b">
        <v>0</v>
      </c>
      <c r="N811" s="96" t="b">
        <v>0</v>
      </c>
      <c r="O811" s="55" t="b">
        <v>0</v>
      </c>
      <c r="P811" s="55" t="b">
        <v>0</v>
      </c>
      <c r="Q811" s="55" t="b">
        <v>0</v>
      </c>
      <c r="R811" s="55" t="b">
        <v>0</v>
      </c>
      <c r="S811" s="55" t="b">
        <v>0</v>
      </c>
      <c r="T811" s="55" t="b">
        <v>0</v>
      </c>
      <c r="U811" s="55" t="b">
        <v>0</v>
      </c>
      <c r="V811" s="55" t="b">
        <v>0</v>
      </c>
    </row>
    <row r="812" ht="69" customHeight="1" s="211">
      <c r="A812" s="92">
        <f>Accounts!A812</f>
        <v/>
      </c>
      <c r="B812" s="12" t="b">
        <v>0</v>
      </c>
      <c r="C812" s="93">
        <f>Accounts!N812</f>
        <v/>
      </c>
      <c r="D812" s="94" t="n"/>
      <c r="E812" s="93">
        <f>Accounts!F812</f>
        <v/>
      </c>
      <c r="F812" s="94">
        <f>Accounts!Q812</f>
        <v/>
      </c>
      <c r="G812" s="94">
        <f>Accounts!R812</f>
        <v/>
      </c>
      <c r="H812" s="94">
        <f>Accounts!I812</f>
        <v/>
      </c>
      <c r="I812" s="94">
        <f>Accounts!J812</f>
        <v/>
      </c>
      <c r="J812" s="93">
        <f>Accounts!S812</f>
        <v/>
      </c>
      <c r="K812" s="88" t="n"/>
      <c r="L812" s="95" t="n"/>
      <c r="M812" s="55" t="b">
        <v>0</v>
      </c>
      <c r="N812" s="96" t="b">
        <v>0</v>
      </c>
      <c r="O812" s="55" t="b">
        <v>0</v>
      </c>
      <c r="P812" s="55" t="b">
        <v>0</v>
      </c>
      <c r="Q812" s="55" t="b">
        <v>0</v>
      </c>
      <c r="R812" s="55" t="b">
        <v>0</v>
      </c>
      <c r="S812" s="55" t="b">
        <v>0</v>
      </c>
      <c r="T812" s="55" t="b">
        <v>0</v>
      </c>
      <c r="U812" s="55" t="b">
        <v>0</v>
      </c>
      <c r="V812" s="55" t="b">
        <v>0</v>
      </c>
    </row>
    <row r="813" ht="69" customHeight="1" s="211">
      <c r="A813" s="92">
        <f>Accounts!A813</f>
        <v/>
      </c>
      <c r="B813" s="12" t="b">
        <v>0</v>
      </c>
      <c r="C813" s="93">
        <f>Accounts!N813</f>
        <v/>
      </c>
      <c r="D813" s="94" t="n"/>
      <c r="E813" s="93">
        <f>Accounts!F813</f>
        <v/>
      </c>
      <c r="F813" s="94">
        <f>Accounts!Q813</f>
        <v/>
      </c>
      <c r="G813" s="94">
        <f>Accounts!R813</f>
        <v/>
      </c>
      <c r="H813" s="94">
        <f>Accounts!I813</f>
        <v/>
      </c>
      <c r="I813" s="94">
        <f>Accounts!J813</f>
        <v/>
      </c>
      <c r="J813" s="93">
        <f>Accounts!S813</f>
        <v/>
      </c>
      <c r="K813" s="88" t="n"/>
      <c r="L813" s="95" t="n"/>
      <c r="M813" s="55" t="b">
        <v>0</v>
      </c>
      <c r="N813" s="96" t="b">
        <v>0</v>
      </c>
      <c r="O813" s="55" t="b">
        <v>0</v>
      </c>
      <c r="P813" s="55" t="b">
        <v>0</v>
      </c>
      <c r="Q813" s="55" t="b">
        <v>0</v>
      </c>
      <c r="R813" s="55" t="b">
        <v>0</v>
      </c>
      <c r="S813" s="55" t="b">
        <v>0</v>
      </c>
      <c r="T813" s="55" t="b">
        <v>0</v>
      </c>
      <c r="U813" s="55" t="b">
        <v>0</v>
      </c>
      <c r="V813" s="55" t="b">
        <v>0</v>
      </c>
    </row>
    <row r="814" ht="69" customHeight="1" s="211">
      <c r="A814" s="92">
        <f>Accounts!A814</f>
        <v/>
      </c>
      <c r="B814" s="12" t="b">
        <v>0</v>
      </c>
      <c r="C814" s="93">
        <f>Accounts!N814</f>
        <v/>
      </c>
      <c r="D814" s="94" t="n"/>
      <c r="E814" s="93">
        <f>Accounts!F814</f>
        <v/>
      </c>
      <c r="F814" s="94">
        <f>Accounts!Q814</f>
        <v/>
      </c>
      <c r="G814" s="94">
        <f>Accounts!R814</f>
        <v/>
      </c>
      <c r="H814" s="94">
        <f>Accounts!I814</f>
        <v/>
      </c>
      <c r="I814" s="94">
        <f>Accounts!J814</f>
        <v/>
      </c>
      <c r="J814" s="93">
        <f>Accounts!S814</f>
        <v/>
      </c>
      <c r="K814" s="88" t="n"/>
      <c r="L814" s="95" t="n"/>
      <c r="M814" s="55" t="b">
        <v>0</v>
      </c>
      <c r="N814" s="96" t="b">
        <v>0</v>
      </c>
      <c r="O814" s="55" t="b">
        <v>0</v>
      </c>
      <c r="P814" s="55" t="b">
        <v>0</v>
      </c>
      <c r="Q814" s="55" t="b">
        <v>0</v>
      </c>
      <c r="R814" s="55" t="b">
        <v>0</v>
      </c>
      <c r="S814" s="55" t="b">
        <v>0</v>
      </c>
      <c r="T814" s="55" t="b">
        <v>0</v>
      </c>
      <c r="U814" s="55" t="b">
        <v>0</v>
      </c>
      <c r="V814" s="55" t="b">
        <v>0</v>
      </c>
    </row>
    <row r="815" ht="69" customHeight="1" s="211">
      <c r="A815" s="92">
        <f>Accounts!A815</f>
        <v/>
      </c>
      <c r="B815" s="12" t="b">
        <v>0</v>
      </c>
      <c r="C815" s="93">
        <f>Accounts!N815</f>
        <v/>
      </c>
      <c r="D815" s="94" t="n"/>
      <c r="E815" s="93">
        <f>Accounts!F815</f>
        <v/>
      </c>
      <c r="F815" s="94">
        <f>Accounts!Q815</f>
        <v/>
      </c>
      <c r="G815" s="94">
        <f>Accounts!R815</f>
        <v/>
      </c>
      <c r="H815" s="94">
        <f>Accounts!I815</f>
        <v/>
      </c>
      <c r="I815" s="94">
        <f>Accounts!J815</f>
        <v/>
      </c>
      <c r="J815" s="93">
        <f>Accounts!S815</f>
        <v/>
      </c>
      <c r="K815" s="88" t="n"/>
      <c r="L815" s="95" t="n"/>
      <c r="M815" s="55" t="b">
        <v>0</v>
      </c>
      <c r="N815" s="96" t="b">
        <v>0</v>
      </c>
      <c r="O815" s="55" t="b">
        <v>0</v>
      </c>
      <c r="P815" s="55" t="b">
        <v>0</v>
      </c>
      <c r="Q815" s="55" t="b">
        <v>0</v>
      </c>
      <c r="R815" s="55" t="b">
        <v>0</v>
      </c>
      <c r="S815" s="55" t="b">
        <v>0</v>
      </c>
      <c r="T815" s="55" t="b">
        <v>0</v>
      </c>
      <c r="U815" s="55" t="b">
        <v>0</v>
      </c>
      <c r="V815" s="55" t="b">
        <v>0</v>
      </c>
    </row>
    <row r="816" ht="69" customHeight="1" s="211">
      <c r="A816" s="92">
        <f>Accounts!A816</f>
        <v/>
      </c>
      <c r="B816" s="12" t="b">
        <v>0</v>
      </c>
      <c r="C816" s="93">
        <f>Accounts!N816</f>
        <v/>
      </c>
      <c r="D816" s="94" t="n"/>
      <c r="E816" s="93">
        <f>Accounts!F816</f>
        <v/>
      </c>
      <c r="F816" s="94">
        <f>Accounts!Q816</f>
        <v/>
      </c>
      <c r="G816" s="94">
        <f>Accounts!R816</f>
        <v/>
      </c>
      <c r="H816" s="94">
        <f>Accounts!I816</f>
        <v/>
      </c>
      <c r="I816" s="94">
        <f>Accounts!J816</f>
        <v/>
      </c>
      <c r="J816" s="93">
        <f>Accounts!S816</f>
        <v/>
      </c>
      <c r="K816" s="88" t="n"/>
      <c r="L816" s="95" t="n"/>
      <c r="M816" s="55" t="b">
        <v>0</v>
      </c>
      <c r="N816" s="96" t="b">
        <v>0</v>
      </c>
      <c r="O816" s="55" t="b">
        <v>0</v>
      </c>
      <c r="P816" s="55" t="b">
        <v>0</v>
      </c>
      <c r="Q816" s="55" t="b">
        <v>0</v>
      </c>
      <c r="R816" s="55" t="b">
        <v>0</v>
      </c>
      <c r="S816" s="55" t="b">
        <v>0</v>
      </c>
      <c r="T816" s="55" t="b">
        <v>0</v>
      </c>
      <c r="U816" s="55" t="b">
        <v>0</v>
      </c>
      <c r="V816" s="55" t="b">
        <v>0</v>
      </c>
    </row>
    <row r="817" ht="69" customHeight="1" s="211">
      <c r="A817" s="92">
        <f>Accounts!A817</f>
        <v/>
      </c>
      <c r="B817" s="12" t="b">
        <v>0</v>
      </c>
      <c r="C817" s="93">
        <f>Accounts!N817</f>
        <v/>
      </c>
      <c r="D817" s="94" t="n"/>
      <c r="E817" s="93">
        <f>Accounts!F817</f>
        <v/>
      </c>
      <c r="F817" s="94">
        <f>Accounts!Q817</f>
        <v/>
      </c>
      <c r="G817" s="94">
        <f>Accounts!R817</f>
        <v/>
      </c>
      <c r="H817" s="94">
        <f>Accounts!I817</f>
        <v/>
      </c>
      <c r="I817" s="94">
        <f>Accounts!J817</f>
        <v/>
      </c>
      <c r="J817" s="93">
        <f>Accounts!S817</f>
        <v/>
      </c>
      <c r="K817" s="88" t="n"/>
      <c r="L817" s="95" t="n"/>
      <c r="M817" s="55" t="b">
        <v>0</v>
      </c>
      <c r="N817" s="96" t="b">
        <v>0</v>
      </c>
      <c r="O817" s="55" t="b">
        <v>0</v>
      </c>
      <c r="P817" s="55" t="b">
        <v>0</v>
      </c>
      <c r="Q817" s="55" t="b">
        <v>0</v>
      </c>
      <c r="R817" s="55" t="b">
        <v>0</v>
      </c>
      <c r="S817" s="55" t="b">
        <v>0</v>
      </c>
      <c r="T817" s="55" t="b">
        <v>0</v>
      </c>
      <c r="U817" s="55" t="b">
        <v>0</v>
      </c>
      <c r="V817" s="55" t="b">
        <v>0</v>
      </c>
    </row>
    <row r="818" ht="69" customHeight="1" s="211">
      <c r="A818" s="92">
        <f>Accounts!A818</f>
        <v/>
      </c>
      <c r="B818" s="12" t="b">
        <v>0</v>
      </c>
      <c r="C818" s="93">
        <f>Accounts!N818</f>
        <v/>
      </c>
      <c r="D818" s="94" t="n"/>
      <c r="E818" s="93">
        <f>Accounts!F818</f>
        <v/>
      </c>
      <c r="F818" s="94">
        <f>Accounts!Q818</f>
        <v/>
      </c>
      <c r="G818" s="94">
        <f>Accounts!R818</f>
        <v/>
      </c>
      <c r="H818" s="94">
        <f>Accounts!I818</f>
        <v/>
      </c>
      <c r="I818" s="94">
        <f>Accounts!J818</f>
        <v/>
      </c>
      <c r="J818" s="93">
        <f>Accounts!S818</f>
        <v/>
      </c>
      <c r="K818" s="88" t="n"/>
      <c r="L818" s="95" t="n"/>
      <c r="M818" s="55" t="b">
        <v>0</v>
      </c>
      <c r="N818" s="96" t="b">
        <v>0</v>
      </c>
      <c r="O818" s="55" t="b">
        <v>0</v>
      </c>
      <c r="P818" s="55" t="b">
        <v>0</v>
      </c>
      <c r="Q818" s="55" t="b">
        <v>0</v>
      </c>
      <c r="R818" s="55" t="b">
        <v>0</v>
      </c>
      <c r="S818" s="55" t="b">
        <v>0</v>
      </c>
      <c r="T818" s="55" t="b">
        <v>0</v>
      </c>
      <c r="U818" s="55" t="b">
        <v>0</v>
      </c>
      <c r="V818" s="55" t="b">
        <v>0</v>
      </c>
    </row>
    <row r="819" ht="69" customHeight="1" s="211">
      <c r="A819" s="92">
        <f>Accounts!A819</f>
        <v/>
      </c>
      <c r="B819" s="12" t="b">
        <v>0</v>
      </c>
      <c r="C819" s="93">
        <f>Accounts!N819</f>
        <v/>
      </c>
      <c r="D819" s="94" t="n"/>
      <c r="E819" s="93">
        <f>Accounts!F819</f>
        <v/>
      </c>
      <c r="F819" s="94">
        <f>Accounts!Q819</f>
        <v/>
      </c>
      <c r="G819" s="94">
        <f>Accounts!R819</f>
        <v/>
      </c>
      <c r="H819" s="94">
        <f>Accounts!I819</f>
        <v/>
      </c>
      <c r="I819" s="94">
        <f>Accounts!J819</f>
        <v/>
      </c>
      <c r="J819" s="93">
        <f>Accounts!S819</f>
        <v/>
      </c>
      <c r="K819" s="88" t="n"/>
      <c r="L819" s="95" t="n"/>
      <c r="M819" s="55" t="b">
        <v>0</v>
      </c>
      <c r="N819" s="96" t="b">
        <v>0</v>
      </c>
      <c r="O819" s="55" t="b">
        <v>0</v>
      </c>
      <c r="P819" s="55" t="b">
        <v>0</v>
      </c>
      <c r="Q819" s="55" t="b">
        <v>0</v>
      </c>
      <c r="R819" s="55" t="b">
        <v>0</v>
      </c>
      <c r="S819" s="55" t="b">
        <v>0</v>
      </c>
      <c r="T819" s="55" t="b">
        <v>0</v>
      </c>
      <c r="U819" s="55" t="b">
        <v>0</v>
      </c>
      <c r="V819" s="55" t="b">
        <v>0</v>
      </c>
    </row>
    <row r="820" ht="69" customHeight="1" s="211">
      <c r="A820" s="92">
        <f>Accounts!A820</f>
        <v/>
      </c>
      <c r="B820" s="12" t="b">
        <v>0</v>
      </c>
      <c r="C820" s="93">
        <f>Accounts!N820</f>
        <v/>
      </c>
      <c r="D820" s="94" t="n"/>
      <c r="E820" s="93">
        <f>Accounts!F820</f>
        <v/>
      </c>
      <c r="F820" s="94">
        <f>Accounts!Q820</f>
        <v/>
      </c>
      <c r="G820" s="94">
        <f>Accounts!R820</f>
        <v/>
      </c>
      <c r="H820" s="94">
        <f>Accounts!I820</f>
        <v/>
      </c>
      <c r="I820" s="94">
        <f>Accounts!J820</f>
        <v/>
      </c>
      <c r="J820" s="93">
        <f>Accounts!S820</f>
        <v/>
      </c>
      <c r="K820" s="88" t="n"/>
      <c r="L820" s="95" t="n"/>
      <c r="M820" s="55" t="b">
        <v>0</v>
      </c>
      <c r="N820" s="96" t="b">
        <v>0</v>
      </c>
      <c r="O820" s="55" t="b">
        <v>0</v>
      </c>
      <c r="P820" s="55" t="b">
        <v>0</v>
      </c>
      <c r="Q820" s="55" t="b">
        <v>0</v>
      </c>
      <c r="R820" s="55" t="b">
        <v>0</v>
      </c>
      <c r="S820" s="55" t="b">
        <v>0</v>
      </c>
      <c r="T820" s="55" t="b">
        <v>0</v>
      </c>
      <c r="U820" s="55" t="b">
        <v>0</v>
      </c>
      <c r="V820" s="55" t="b">
        <v>0</v>
      </c>
    </row>
    <row r="821" ht="69" customHeight="1" s="211">
      <c r="A821" s="92">
        <f>Accounts!A821</f>
        <v/>
      </c>
      <c r="B821" s="12" t="b">
        <v>0</v>
      </c>
      <c r="C821" s="93">
        <f>Accounts!N821</f>
        <v/>
      </c>
      <c r="D821" s="94" t="n"/>
      <c r="E821" s="93">
        <f>Accounts!F821</f>
        <v/>
      </c>
      <c r="F821" s="94">
        <f>Accounts!Q821</f>
        <v/>
      </c>
      <c r="G821" s="94">
        <f>Accounts!R821</f>
        <v/>
      </c>
      <c r="H821" s="94">
        <f>Accounts!I821</f>
        <v/>
      </c>
      <c r="I821" s="94">
        <f>Accounts!J821</f>
        <v/>
      </c>
      <c r="J821" s="93">
        <f>Accounts!S821</f>
        <v/>
      </c>
      <c r="K821" s="88" t="n"/>
      <c r="L821" s="95" t="n"/>
      <c r="M821" s="55" t="b">
        <v>0</v>
      </c>
      <c r="N821" s="96" t="b">
        <v>0</v>
      </c>
      <c r="O821" s="55" t="b">
        <v>0</v>
      </c>
      <c r="P821" s="55" t="b">
        <v>0</v>
      </c>
      <c r="Q821" s="55" t="b">
        <v>0</v>
      </c>
      <c r="R821" s="55" t="b">
        <v>0</v>
      </c>
      <c r="S821" s="55" t="b">
        <v>0</v>
      </c>
      <c r="T821" s="55" t="b">
        <v>0</v>
      </c>
      <c r="U821" s="55" t="b">
        <v>0</v>
      </c>
      <c r="V821" s="55" t="b">
        <v>0</v>
      </c>
    </row>
    <row r="822" ht="69" customHeight="1" s="211">
      <c r="A822" s="92">
        <f>Accounts!A822</f>
        <v/>
      </c>
      <c r="B822" s="12" t="b">
        <v>0</v>
      </c>
      <c r="C822" s="93">
        <f>Accounts!N822</f>
        <v/>
      </c>
      <c r="D822" s="94" t="n"/>
      <c r="E822" s="93">
        <f>Accounts!F822</f>
        <v/>
      </c>
      <c r="F822" s="94">
        <f>Accounts!Q822</f>
        <v/>
      </c>
      <c r="G822" s="94">
        <f>Accounts!R822</f>
        <v/>
      </c>
      <c r="H822" s="94">
        <f>Accounts!I822</f>
        <v/>
      </c>
      <c r="I822" s="94">
        <f>Accounts!J822</f>
        <v/>
      </c>
      <c r="J822" s="93">
        <f>Accounts!S822</f>
        <v/>
      </c>
      <c r="K822" s="88" t="n"/>
      <c r="L822" s="95" t="n"/>
      <c r="M822" s="55" t="b">
        <v>0</v>
      </c>
      <c r="N822" s="96" t="b">
        <v>0</v>
      </c>
      <c r="O822" s="55" t="b">
        <v>0</v>
      </c>
      <c r="P822" s="55" t="b">
        <v>0</v>
      </c>
      <c r="Q822" s="55" t="b">
        <v>0</v>
      </c>
      <c r="R822" s="55" t="b">
        <v>0</v>
      </c>
      <c r="S822" s="55" t="b">
        <v>0</v>
      </c>
      <c r="T822" s="55" t="b">
        <v>0</v>
      </c>
      <c r="U822" s="55" t="b">
        <v>0</v>
      </c>
      <c r="V822" s="55" t="b">
        <v>0</v>
      </c>
    </row>
    <row r="823" ht="69" customHeight="1" s="211">
      <c r="A823" s="92">
        <f>Accounts!A823</f>
        <v/>
      </c>
      <c r="B823" s="12" t="b">
        <v>0</v>
      </c>
      <c r="C823" s="93">
        <f>Accounts!N823</f>
        <v/>
      </c>
      <c r="D823" s="94" t="n"/>
      <c r="E823" s="93">
        <f>Accounts!F823</f>
        <v/>
      </c>
      <c r="F823" s="94">
        <f>Accounts!Q823</f>
        <v/>
      </c>
      <c r="G823" s="94">
        <f>Accounts!R823</f>
        <v/>
      </c>
      <c r="H823" s="94">
        <f>Accounts!I823</f>
        <v/>
      </c>
      <c r="I823" s="94">
        <f>Accounts!J823</f>
        <v/>
      </c>
      <c r="J823" s="93">
        <f>Accounts!S823</f>
        <v/>
      </c>
      <c r="K823" s="88" t="n"/>
      <c r="L823" s="95" t="n"/>
      <c r="M823" s="55" t="b">
        <v>0</v>
      </c>
      <c r="N823" s="96" t="b">
        <v>0</v>
      </c>
      <c r="O823" s="55" t="b">
        <v>0</v>
      </c>
      <c r="P823" s="55" t="b">
        <v>0</v>
      </c>
      <c r="Q823" s="55" t="b">
        <v>0</v>
      </c>
      <c r="R823" s="55" t="b">
        <v>0</v>
      </c>
      <c r="S823" s="55" t="b">
        <v>0</v>
      </c>
      <c r="T823" s="55" t="b">
        <v>0</v>
      </c>
      <c r="U823" s="55" t="b">
        <v>0</v>
      </c>
      <c r="V823" s="55" t="b">
        <v>0</v>
      </c>
    </row>
    <row r="824" ht="69" customHeight="1" s="211">
      <c r="A824" s="92">
        <f>Accounts!A824</f>
        <v/>
      </c>
      <c r="B824" s="12" t="b">
        <v>0</v>
      </c>
      <c r="C824" s="93">
        <f>Accounts!N824</f>
        <v/>
      </c>
      <c r="D824" s="94" t="n"/>
      <c r="E824" s="93">
        <f>Accounts!F824</f>
        <v/>
      </c>
      <c r="F824" s="94">
        <f>Accounts!Q824</f>
        <v/>
      </c>
      <c r="G824" s="94">
        <f>Accounts!R824</f>
        <v/>
      </c>
      <c r="H824" s="94">
        <f>Accounts!I824</f>
        <v/>
      </c>
      <c r="I824" s="94">
        <f>Accounts!J824</f>
        <v/>
      </c>
      <c r="J824" s="93">
        <f>Accounts!S824</f>
        <v/>
      </c>
      <c r="K824" s="88" t="n"/>
      <c r="L824" s="95" t="n"/>
      <c r="M824" s="55" t="b">
        <v>0</v>
      </c>
      <c r="N824" s="96" t="b">
        <v>0</v>
      </c>
      <c r="O824" s="55" t="b">
        <v>0</v>
      </c>
      <c r="P824" s="55" t="b">
        <v>0</v>
      </c>
      <c r="Q824" s="55" t="b">
        <v>0</v>
      </c>
      <c r="R824" s="55" t="b">
        <v>0</v>
      </c>
      <c r="S824" s="55" t="b">
        <v>0</v>
      </c>
      <c r="T824" s="55" t="b">
        <v>0</v>
      </c>
      <c r="U824" s="55" t="b">
        <v>0</v>
      </c>
      <c r="V824" s="55" t="b">
        <v>0</v>
      </c>
    </row>
    <row r="825" ht="69" customHeight="1" s="211">
      <c r="A825" s="92">
        <f>Accounts!A825</f>
        <v/>
      </c>
      <c r="B825" s="12" t="b">
        <v>0</v>
      </c>
      <c r="C825" s="93">
        <f>Accounts!N825</f>
        <v/>
      </c>
      <c r="D825" s="94" t="n"/>
      <c r="E825" s="93">
        <f>Accounts!F825</f>
        <v/>
      </c>
      <c r="F825" s="94">
        <f>Accounts!Q825</f>
        <v/>
      </c>
      <c r="G825" s="94">
        <f>Accounts!R825</f>
        <v/>
      </c>
      <c r="H825" s="94">
        <f>Accounts!I825</f>
        <v/>
      </c>
      <c r="I825" s="94">
        <f>Accounts!J825</f>
        <v/>
      </c>
      <c r="J825" s="93">
        <f>Accounts!S825</f>
        <v/>
      </c>
      <c r="K825" s="88" t="n"/>
      <c r="L825" s="95" t="n"/>
      <c r="M825" s="55" t="b">
        <v>0</v>
      </c>
      <c r="N825" s="96" t="b">
        <v>0</v>
      </c>
      <c r="O825" s="55" t="b">
        <v>0</v>
      </c>
      <c r="P825" s="55" t="b">
        <v>0</v>
      </c>
      <c r="Q825" s="55" t="b">
        <v>0</v>
      </c>
      <c r="R825" s="55" t="b">
        <v>0</v>
      </c>
      <c r="S825" s="55" t="b">
        <v>0</v>
      </c>
      <c r="T825" s="55" t="b">
        <v>0</v>
      </c>
      <c r="U825" s="55" t="b">
        <v>0</v>
      </c>
      <c r="V825" s="55" t="b">
        <v>0</v>
      </c>
    </row>
    <row r="826" ht="69" customHeight="1" s="211">
      <c r="A826" s="92">
        <f>Accounts!A826</f>
        <v/>
      </c>
      <c r="B826" s="12" t="b">
        <v>0</v>
      </c>
      <c r="C826" s="93">
        <f>Accounts!N826</f>
        <v/>
      </c>
      <c r="D826" s="94" t="n"/>
      <c r="E826" s="93">
        <f>Accounts!F826</f>
        <v/>
      </c>
      <c r="F826" s="94">
        <f>Accounts!Q826</f>
        <v/>
      </c>
      <c r="G826" s="94">
        <f>Accounts!R826</f>
        <v/>
      </c>
      <c r="H826" s="94">
        <f>Accounts!I826</f>
        <v/>
      </c>
      <c r="I826" s="94">
        <f>Accounts!J826</f>
        <v/>
      </c>
      <c r="J826" s="93">
        <f>Accounts!S826</f>
        <v/>
      </c>
      <c r="K826" s="88" t="n"/>
      <c r="L826" s="95" t="n"/>
      <c r="M826" s="55" t="b">
        <v>0</v>
      </c>
      <c r="N826" s="96" t="b">
        <v>0</v>
      </c>
      <c r="O826" s="55" t="b">
        <v>0</v>
      </c>
      <c r="P826" s="55" t="b">
        <v>0</v>
      </c>
      <c r="Q826" s="55" t="b">
        <v>0</v>
      </c>
      <c r="R826" s="55" t="b">
        <v>0</v>
      </c>
      <c r="S826" s="55" t="b">
        <v>0</v>
      </c>
      <c r="T826" s="55" t="b">
        <v>0</v>
      </c>
      <c r="U826" s="55" t="b">
        <v>0</v>
      </c>
      <c r="V826" s="55" t="b">
        <v>0</v>
      </c>
    </row>
    <row r="827" ht="69" customHeight="1" s="211">
      <c r="A827" s="92">
        <f>Accounts!A827</f>
        <v/>
      </c>
      <c r="B827" s="12" t="b">
        <v>0</v>
      </c>
      <c r="C827" s="93">
        <f>Accounts!N827</f>
        <v/>
      </c>
      <c r="D827" s="94" t="n"/>
      <c r="E827" s="93">
        <f>Accounts!F827</f>
        <v/>
      </c>
      <c r="F827" s="94">
        <f>Accounts!Q827</f>
        <v/>
      </c>
      <c r="G827" s="94">
        <f>Accounts!R827</f>
        <v/>
      </c>
      <c r="H827" s="94">
        <f>Accounts!I827</f>
        <v/>
      </c>
      <c r="I827" s="94">
        <f>Accounts!J827</f>
        <v/>
      </c>
      <c r="J827" s="93">
        <f>Accounts!S827</f>
        <v/>
      </c>
      <c r="K827" s="88" t="n"/>
      <c r="L827" s="95" t="n"/>
      <c r="M827" s="55" t="b">
        <v>0</v>
      </c>
      <c r="N827" s="96" t="b">
        <v>0</v>
      </c>
      <c r="O827" s="55" t="b">
        <v>0</v>
      </c>
      <c r="P827" s="55" t="b">
        <v>0</v>
      </c>
      <c r="Q827" s="55" t="b">
        <v>0</v>
      </c>
      <c r="R827" s="55" t="b">
        <v>0</v>
      </c>
      <c r="S827" s="55" t="b">
        <v>0</v>
      </c>
      <c r="T827" s="55" t="b">
        <v>0</v>
      </c>
      <c r="U827" s="55" t="b">
        <v>0</v>
      </c>
      <c r="V827" s="55" t="b">
        <v>0</v>
      </c>
    </row>
    <row r="828" ht="69" customHeight="1" s="211">
      <c r="A828" s="92">
        <f>Accounts!A828</f>
        <v/>
      </c>
      <c r="B828" s="12" t="b">
        <v>0</v>
      </c>
      <c r="C828" s="93">
        <f>Accounts!N828</f>
        <v/>
      </c>
      <c r="D828" s="94" t="n"/>
      <c r="E828" s="93">
        <f>Accounts!F828</f>
        <v/>
      </c>
      <c r="F828" s="94">
        <f>Accounts!Q828</f>
        <v/>
      </c>
      <c r="G828" s="94">
        <f>Accounts!R828</f>
        <v/>
      </c>
      <c r="H828" s="94">
        <f>Accounts!I828</f>
        <v/>
      </c>
      <c r="I828" s="94">
        <f>Accounts!J828</f>
        <v/>
      </c>
      <c r="J828" s="93">
        <f>Accounts!S828</f>
        <v/>
      </c>
      <c r="K828" s="88" t="n"/>
      <c r="L828" s="95" t="n"/>
      <c r="M828" s="55" t="b">
        <v>0</v>
      </c>
      <c r="N828" s="96" t="b">
        <v>0</v>
      </c>
      <c r="O828" s="55" t="b">
        <v>0</v>
      </c>
      <c r="P828" s="55" t="b">
        <v>0</v>
      </c>
      <c r="Q828" s="55" t="b">
        <v>0</v>
      </c>
      <c r="R828" s="55" t="b">
        <v>0</v>
      </c>
      <c r="S828" s="55" t="b">
        <v>0</v>
      </c>
      <c r="T828" s="55" t="b">
        <v>0</v>
      </c>
      <c r="U828" s="55" t="b">
        <v>0</v>
      </c>
      <c r="V828" s="55" t="b">
        <v>0</v>
      </c>
    </row>
    <row r="829" ht="69" customHeight="1" s="211">
      <c r="A829" s="92">
        <f>Accounts!A829</f>
        <v/>
      </c>
      <c r="B829" s="12" t="b">
        <v>0</v>
      </c>
      <c r="C829" s="93">
        <f>Accounts!N829</f>
        <v/>
      </c>
      <c r="D829" s="94" t="n"/>
      <c r="E829" s="93">
        <f>Accounts!F829</f>
        <v/>
      </c>
      <c r="F829" s="94">
        <f>Accounts!Q829</f>
        <v/>
      </c>
      <c r="G829" s="94">
        <f>Accounts!R829</f>
        <v/>
      </c>
      <c r="H829" s="94">
        <f>Accounts!I829</f>
        <v/>
      </c>
      <c r="I829" s="94">
        <f>Accounts!J829</f>
        <v/>
      </c>
      <c r="J829" s="93">
        <f>Accounts!S829</f>
        <v/>
      </c>
      <c r="K829" s="88" t="n"/>
      <c r="L829" s="95" t="n"/>
      <c r="M829" s="55" t="b">
        <v>0</v>
      </c>
      <c r="N829" s="96" t="b">
        <v>0</v>
      </c>
      <c r="O829" s="55" t="b">
        <v>0</v>
      </c>
      <c r="P829" s="55" t="b">
        <v>0</v>
      </c>
      <c r="Q829" s="55" t="b">
        <v>0</v>
      </c>
      <c r="R829" s="55" t="b">
        <v>0</v>
      </c>
      <c r="S829" s="55" t="b">
        <v>0</v>
      </c>
      <c r="T829" s="55" t="b">
        <v>0</v>
      </c>
      <c r="U829" s="55" t="b">
        <v>0</v>
      </c>
      <c r="V829" s="55" t="b">
        <v>0</v>
      </c>
    </row>
    <row r="830" ht="69" customHeight="1" s="211">
      <c r="A830" s="92">
        <f>Accounts!A830</f>
        <v/>
      </c>
      <c r="B830" s="12" t="b">
        <v>0</v>
      </c>
      <c r="C830" s="93">
        <f>Accounts!N830</f>
        <v/>
      </c>
      <c r="D830" s="94" t="n"/>
      <c r="E830" s="93">
        <f>Accounts!F830</f>
        <v/>
      </c>
      <c r="F830" s="94">
        <f>Accounts!Q830</f>
        <v/>
      </c>
      <c r="G830" s="94">
        <f>Accounts!R830</f>
        <v/>
      </c>
      <c r="H830" s="94">
        <f>Accounts!I830</f>
        <v/>
      </c>
      <c r="I830" s="94">
        <f>Accounts!J830</f>
        <v/>
      </c>
      <c r="J830" s="93">
        <f>Accounts!S830</f>
        <v/>
      </c>
      <c r="K830" s="88" t="n"/>
      <c r="L830" s="95" t="n"/>
      <c r="M830" s="55" t="b">
        <v>0</v>
      </c>
      <c r="N830" s="96" t="b">
        <v>0</v>
      </c>
      <c r="O830" s="55" t="b">
        <v>0</v>
      </c>
      <c r="P830" s="55" t="b">
        <v>0</v>
      </c>
      <c r="Q830" s="55" t="b">
        <v>0</v>
      </c>
      <c r="R830" s="55" t="b">
        <v>0</v>
      </c>
      <c r="S830" s="55" t="b">
        <v>0</v>
      </c>
      <c r="T830" s="55" t="b">
        <v>0</v>
      </c>
      <c r="U830" s="55" t="b">
        <v>0</v>
      </c>
      <c r="V830" s="55" t="b">
        <v>0</v>
      </c>
    </row>
    <row r="831" ht="69" customHeight="1" s="211">
      <c r="A831" s="92">
        <f>Accounts!A831</f>
        <v/>
      </c>
      <c r="B831" s="12" t="b">
        <v>0</v>
      </c>
      <c r="C831" s="93">
        <f>Accounts!N831</f>
        <v/>
      </c>
      <c r="D831" s="94" t="n"/>
      <c r="E831" s="93">
        <f>Accounts!F831</f>
        <v/>
      </c>
      <c r="F831" s="94">
        <f>Accounts!Q831</f>
        <v/>
      </c>
      <c r="G831" s="94">
        <f>Accounts!R831</f>
        <v/>
      </c>
      <c r="H831" s="94">
        <f>Accounts!I831</f>
        <v/>
      </c>
      <c r="I831" s="94">
        <f>Accounts!J831</f>
        <v/>
      </c>
      <c r="J831" s="93">
        <f>Accounts!S831</f>
        <v/>
      </c>
      <c r="K831" s="88" t="n"/>
      <c r="L831" s="95" t="n"/>
      <c r="M831" s="55" t="b">
        <v>0</v>
      </c>
      <c r="N831" s="96" t="b">
        <v>0</v>
      </c>
      <c r="O831" s="55" t="b">
        <v>0</v>
      </c>
      <c r="P831" s="55" t="b">
        <v>0</v>
      </c>
      <c r="Q831" s="55" t="b">
        <v>0</v>
      </c>
      <c r="R831" s="55" t="b">
        <v>0</v>
      </c>
      <c r="S831" s="55" t="b">
        <v>0</v>
      </c>
      <c r="T831" s="55" t="b">
        <v>0</v>
      </c>
      <c r="U831" s="55" t="b">
        <v>0</v>
      </c>
      <c r="V831" s="55" t="b">
        <v>0</v>
      </c>
    </row>
    <row r="832" ht="69" customHeight="1" s="211">
      <c r="A832" s="92">
        <f>Accounts!A832</f>
        <v/>
      </c>
      <c r="B832" s="12" t="b">
        <v>0</v>
      </c>
      <c r="C832" s="93">
        <f>Accounts!N832</f>
        <v/>
      </c>
      <c r="D832" s="94" t="n"/>
      <c r="E832" s="93">
        <f>Accounts!F832</f>
        <v/>
      </c>
      <c r="F832" s="94">
        <f>Accounts!Q832</f>
        <v/>
      </c>
      <c r="G832" s="94">
        <f>Accounts!R832</f>
        <v/>
      </c>
      <c r="H832" s="94">
        <f>Accounts!I832</f>
        <v/>
      </c>
      <c r="I832" s="94">
        <f>Accounts!J832</f>
        <v/>
      </c>
      <c r="J832" s="93">
        <f>Accounts!S832</f>
        <v/>
      </c>
      <c r="K832" s="88" t="n"/>
      <c r="L832" s="95" t="n"/>
      <c r="M832" s="55" t="b">
        <v>0</v>
      </c>
      <c r="N832" s="96" t="b">
        <v>0</v>
      </c>
      <c r="O832" s="55" t="b">
        <v>0</v>
      </c>
      <c r="P832" s="55" t="b">
        <v>0</v>
      </c>
      <c r="Q832" s="55" t="b">
        <v>0</v>
      </c>
      <c r="R832" s="55" t="b">
        <v>0</v>
      </c>
      <c r="S832" s="55" t="b">
        <v>0</v>
      </c>
      <c r="T832" s="55" t="b">
        <v>0</v>
      </c>
      <c r="U832" s="55" t="b">
        <v>0</v>
      </c>
      <c r="V832" s="55" t="b">
        <v>0</v>
      </c>
    </row>
    <row r="833" ht="69" customHeight="1" s="211">
      <c r="A833" s="92">
        <f>Accounts!A833</f>
        <v/>
      </c>
      <c r="B833" s="12" t="b">
        <v>0</v>
      </c>
      <c r="C833" s="93">
        <f>Accounts!N833</f>
        <v/>
      </c>
      <c r="D833" s="94" t="n"/>
      <c r="E833" s="93">
        <f>Accounts!F833</f>
        <v/>
      </c>
      <c r="F833" s="94">
        <f>Accounts!Q833</f>
        <v/>
      </c>
      <c r="G833" s="94">
        <f>Accounts!R833</f>
        <v/>
      </c>
      <c r="H833" s="94">
        <f>Accounts!I833</f>
        <v/>
      </c>
      <c r="I833" s="94">
        <f>Accounts!J833</f>
        <v/>
      </c>
      <c r="J833" s="93">
        <f>Accounts!S833</f>
        <v/>
      </c>
      <c r="K833" s="88" t="n"/>
      <c r="L833" s="95" t="n"/>
      <c r="M833" s="55" t="b">
        <v>0</v>
      </c>
      <c r="N833" s="96" t="b">
        <v>0</v>
      </c>
      <c r="O833" s="55" t="b">
        <v>0</v>
      </c>
      <c r="P833" s="55" t="b">
        <v>0</v>
      </c>
      <c r="Q833" s="55" t="b">
        <v>0</v>
      </c>
      <c r="R833" s="55" t="b">
        <v>0</v>
      </c>
      <c r="S833" s="55" t="b">
        <v>0</v>
      </c>
      <c r="T833" s="55" t="b">
        <v>0</v>
      </c>
      <c r="U833" s="55" t="b">
        <v>0</v>
      </c>
      <c r="V833" s="55" t="b">
        <v>0</v>
      </c>
    </row>
    <row r="834" ht="69" customHeight="1" s="211">
      <c r="A834" s="92">
        <f>Accounts!A834</f>
        <v/>
      </c>
      <c r="B834" s="12" t="b">
        <v>0</v>
      </c>
      <c r="C834" s="93">
        <f>Accounts!N834</f>
        <v/>
      </c>
      <c r="D834" s="94" t="n"/>
      <c r="E834" s="93">
        <f>Accounts!F834</f>
        <v/>
      </c>
      <c r="F834" s="94">
        <f>Accounts!Q834</f>
        <v/>
      </c>
      <c r="G834" s="94">
        <f>Accounts!R834</f>
        <v/>
      </c>
      <c r="H834" s="94">
        <f>Accounts!I834</f>
        <v/>
      </c>
      <c r="I834" s="94">
        <f>Accounts!J834</f>
        <v/>
      </c>
      <c r="J834" s="93">
        <f>Accounts!S834</f>
        <v/>
      </c>
      <c r="K834" s="88" t="n"/>
      <c r="L834" s="95" t="n"/>
      <c r="M834" s="55" t="b">
        <v>0</v>
      </c>
      <c r="N834" s="96" t="b">
        <v>0</v>
      </c>
      <c r="O834" s="55" t="b">
        <v>0</v>
      </c>
      <c r="P834" s="55" t="b">
        <v>0</v>
      </c>
      <c r="Q834" s="55" t="b">
        <v>0</v>
      </c>
      <c r="R834" s="55" t="b">
        <v>0</v>
      </c>
      <c r="S834" s="55" t="b">
        <v>0</v>
      </c>
      <c r="T834" s="55" t="b">
        <v>0</v>
      </c>
      <c r="U834" s="55" t="b">
        <v>0</v>
      </c>
      <c r="V834" s="55" t="b">
        <v>0</v>
      </c>
    </row>
    <row r="835" ht="69" customHeight="1" s="211">
      <c r="A835" s="92">
        <f>Accounts!A835</f>
        <v/>
      </c>
      <c r="B835" s="12" t="b">
        <v>0</v>
      </c>
      <c r="C835" s="93">
        <f>Accounts!N835</f>
        <v/>
      </c>
      <c r="D835" s="94" t="n"/>
      <c r="E835" s="93">
        <f>Accounts!F835</f>
        <v/>
      </c>
      <c r="F835" s="94">
        <f>Accounts!Q835</f>
        <v/>
      </c>
      <c r="G835" s="94">
        <f>Accounts!R835</f>
        <v/>
      </c>
      <c r="H835" s="94">
        <f>Accounts!I835</f>
        <v/>
      </c>
      <c r="I835" s="94">
        <f>Accounts!J835</f>
        <v/>
      </c>
      <c r="J835" s="93">
        <f>Accounts!S835</f>
        <v/>
      </c>
      <c r="K835" s="88" t="n"/>
      <c r="L835" s="95" t="n"/>
      <c r="M835" s="55" t="b">
        <v>0</v>
      </c>
      <c r="N835" s="96" t="b">
        <v>0</v>
      </c>
      <c r="O835" s="55" t="b">
        <v>0</v>
      </c>
      <c r="P835" s="55" t="b">
        <v>0</v>
      </c>
      <c r="Q835" s="55" t="b">
        <v>0</v>
      </c>
      <c r="R835" s="55" t="b">
        <v>0</v>
      </c>
      <c r="S835" s="55" t="b">
        <v>0</v>
      </c>
      <c r="T835" s="55" t="b">
        <v>0</v>
      </c>
      <c r="U835" s="55" t="b">
        <v>0</v>
      </c>
      <c r="V835" s="55" t="b">
        <v>0</v>
      </c>
    </row>
    <row r="836" ht="69" customHeight="1" s="211">
      <c r="A836" s="92">
        <f>Accounts!A836</f>
        <v/>
      </c>
      <c r="B836" s="12" t="b">
        <v>0</v>
      </c>
      <c r="C836" s="93">
        <f>Accounts!N836</f>
        <v/>
      </c>
      <c r="D836" s="94" t="n"/>
      <c r="E836" s="93">
        <f>Accounts!F836</f>
        <v/>
      </c>
      <c r="F836" s="94">
        <f>Accounts!Q836</f>
        <v/>
      </c>
      <c r="G836" s="94">
        <f>Accounts!R836</f>
        <v/>
      </c>
      <c r="H836" s="94">
        <f>Accounts!I836</f>
        <v/>
      </c>
      <c r="I836" s="94">
        <f>Accounts!J836</f>
        <v/>
      </c>
      <c r="J836" s="93">
        <f>Accounts!S836</f>
        <v/>
      </c>
      <c r="K836" s="88" t="n"/>
      <c r="L836" s="95" t="n"/>
      <c r="M836" s="55" t="b">
        <v>0</v>
      </c>
      <c r="N836" s="96" t="b">
        <v>0</v>
      </c>
      <c r="O836" s="55" t="b">
        <v>0</v>
      </c>
      <c r="P836" s="55" t="b">
        <v>0</v>
      </c>
      <c r="Q836" s="55" t="b">
        <v>0</v>
      </c>
      <c r="R836" s="55" t="b">
        <v>0</v>
      </c>
      <c r="S836" s="55" t="b">
        <v>0</v>
      </c>
      <c r="T836" s="55" t="b">
        <v>0</v>
      </c>
      <c r="U836" s="55" t="b">
        <v>0</v>
      </c>
      <c r="V836" s="55" t="b">
        <v>0</v>
      </c>
    </row>
    <row r="837" ht="69" customHeight="1" s="211">
      <c r="A837" s="92">
        <f>Accounts!A837</f>
        <v/>
      </c>
      <c r="B837" s="12" t="b">
        <v>0</v>
      </c>
      <c r="C837" s="93">
        <f>Accounts!N837</f>
        <v/>
      </c>
      <c r="D837" s="94" t="n"/>
      <c r="E837" s="93">
        <f>Accounts!F837</f>
        <v/>
      </c>
      <c r="F837" s="94">
        <f>Accounts!Q837</f>
        <v/>
      </c>
      <c r="G837" s="94">
        <f>Accounts!R837</f>
        <v/>
      </c>
      <c r="H837" s="94">
        <f>Accounts!I837</f>
        <v/>
      </c>
      <c r="I837" s="94">
        <f>Accounts!J837</f>
        <v/>
      </c>
      <c r="J837" s="93">
        <f>Accounts!S837</f>
        <v/>
      </c>
      <c r="K837" s="88" t="n"/>
      <c r="L837" s="95" t="n"/>
      <c r="M837" s="55" t="b">
        <v>0</v>
      </c>
      <c r="N837" s="96" t="b">
        <v>0</v>
      </c>
      <c r="O837" s="55" t="b">
        <v>0</v>
      </c>
      <c r="P837" s="55" t="b">
        <v>0</v>
      </c>
      <c r="Q837" s="55" t="b">
        <v>0</v>
      </c>
      <c r="R837" s="55" t="b">
        <v>0</v>
      </c>
      <c r="S837" s="55" t="b">
        <v>0</v>
      </c>
      <c r="T837" s="55" t="b">
        <v>0</v>
      </c>
      <c r="U837" s="55" t="b">
        <v>0</v>
      </c>
      <c r="V837" s="55" t="b">
        <v>0</v>
      </c>
    </row>
    <row r="838" ht="69" customHeight="1" s="211">
      <c r="A838" s="92">
        <f>Accounts!A838</f>
        <v/>
      </c>
      <c r="B838" s="12" t="b">
        <v>0</v>
      </c>
      <c r="C838" s="93">
        <f>Accounts!N838</f>
        <v/>
      </c>
      <c r="D838" s="94" t="n"/>
      <c r="E838" s="93">
        <f>Accounts!F838</f>
        <v/>
      </c>
      <c r="F838" s="94">
        <f>Accounts!Q838</f>
        <v/>
      </c>
      <c r="G838" s="94">
        <f>Accounts!R838</f>
        <v/>
      </c>
      <c r="H838" s="94">
        <f>Accounts!I838</f>
        <v/>
      </c>
      <c r="I838" s="94">
        <f>Accounts!J838</f>
        <v/>
      </c>
      <c r="J838" s="93">
        <f>Accounts!S838</f>
        <v/>
      </c>
      <c r="K838" s="88" t="n"/>
      <c r="L838" s="95" t="n"/>
      <c r="M838" s="55" t="b">
        <v>0</v>
      </c>
      <c r="N838" s="96" t="b">
        <v>0</v>
      </c>
      <c r="O838" s="55" t="b">
        <v>0</v>
      </c>
      <c r="P838" s="55" t="b">
        <v>0</v>
      </c>
      <c r="Q838" s="55" t="b">
        <v>0</v>
      </c>
      <c r="R838" s="55" t="b">
        <v>0</v>
      </c>
      <c r="S838" s="55" t="b">
        <v>0</v>
      </c>
      <c r="T838" s="55" t="b">
        <v>0</v>
      </c>
      <c r="U838" s="55" t="b">
        <v>0</v>
      </c>
      <c r="V838" s="55" t="b">
        <v>0</v>
      </c>
    </row>
    <row r="839" ht="69" customHeight="1" s="211">
      <c r="A839" s="92">
        <f>Accounts!A839</f>
        <v/>
      </c>
      <c r="B839" s="12" t="b">
        <v>0</v>
      </c>
      <c r="C839" s="93">
        <f>Accounts!N839</f>
        <v/>
      </c>
      <c r="D839" s="94" t="n"/>
      <c r="E839" s="93">
        <f>Accounts!F839</f>
        <v/>
      </c>
      <c r="F839" s="94">
        <f>Accounts!Q839</f>
        <v/>
      </c>
      <c r="G839" s="94">
        <f>Accounts!R839</f>
        <v/>
      </c>
      <c r="H839" s="94">
        <f>Accounts!I839</f>
        <v/>
      </c>
      <c r="I839" s="94">
        <f>Accounts!J839</f>
        <v/>
      </c>
      <c r="J839" s="93">
        <f>Accounts!S839</f>
        <v/>
      </c>
      <c r="K839" s="88" t="n"/>
      <c r="L839" s="95" t="n"/>
      <c r="M839" s="55" t="b">
        <v>0</v>
      </c>
      <c r="N839" s="96" t="b">
        <v>0</v>
      </c>
      <c r="O839" s="55" t="b">
        <v>0</v>
      </c>
      <c r="P839" s="55" t="b">
        <v>0</v>
      </c>
      <c r="Q839" s="55" t="b">
        <v>0</v>
      </c>
      <c r="R839" s="55" t="b">
        <v>0</v>
      </c>
      <c r="S839" s="55" t="b">
        <v>0</v>
      </c>
      <c r="T839" s="55" t="b">
        <v>0</v>
      </c>
      <c r="U839" s="55" t="b">
        <v>0</v>
      </c>
      <c r="V839" s="55" t="b">
        <v>0</v>
      </c>
    </row>
    <row r="840" ht="69" customHeight="1" s="211">
      <c r="A840" s="92">
        <f>Accounts!A840</f>
        <v/>
      </c>
      <c r="B840" s="12" t="b">
        <v>0</v>
      </c>
      <c r="C840" s="93">
        <f>Accounts!N840</f>
        <v/>
      </c>
      <c r="D840" s="94" t="n"/>
      <c r="E840" s="93">
        <f>Accounts!F840</f>
        <v/>
      </c>
      <c r="F840" s="94">
        <f>Accounts!Q840</f>
        <v/>
      </c>
      <c r="G840" s="94">
        <f>Accounts!R840</f>
        <v/>
      </c>
      <c r="H840" s="94">
        <f>Accounts!I840</f>
        <v/>
      </c>
      <c r="I840" s="94">
        <f>Accounts!J840</f>
        <v/>
      </c>
      <c r="J840" s="93">
        <f>Accounts!S840</f>
        <v/>
      </c>
      <c r="K840" s="88" t="n"/>
      <c r="L840" s="95" t="n"/>
      <c r="M840" s="55" t="b">
        <v>0</v>
      </c>
      <c r="N840" s="96" t="b">
        <v>0</v>
      </c>
      <c r="O840" s="55" t="b">
        <v>0</v>
      </c>
      <c r="P840" s="55" t="b">
        <v>0</v>
      </c>
      <c r="Q840" s="55" t="b">
        <v>0</v>
      </c>
      <c r="R840" s="55" t="b">
        <v>0</v>
      </c>
      <c r="S840" s="55" t="b">
        <v>0</v>
      </c>
      <c r="T840" s="55" t="b">
        <v>0</v>
      </c>
      <c r="U840" s="55" t="b">
        <v>0</v>
      </c>
      <c r="V840" s="55" t="b">
        <v>0</v>
      </c>
    </row>
    <row r="841" ht="69" customHeight="1" s="211">
      <c r="A841" s="92">
        <f>Accounts!A841</f>
        <v/>
      </c>
      <c r="B841" s="12" t="b">
        <v>0</v>
      </c>
      <c r="C841" s="93">
        <f>Accounts!N841</f>
        <v/>
      </c>
      <c r="D841" s="94" t="n"/>
      <c r="E841" s="93">
        <f>Accounts!F841</f>
        <v/>
      </c>
      <c r="F841" s="94">
        <f>Accounts!Q841</f>
        <v/>
      </c>
      <c r="G841" s="94">
        <f>Accounts!R841</f>
        <v/>
      </c>
      <c r="H841" s="94">
        <f>Accounts!I841</f>
        <v/>
      </c>
      <c r="I841" s="94">
        <f>Accounts!J841</f>
        <v/>
      </c>
      <c r="J841" s="93">
        <f>Accounts!S841</f>
        <v/>
      </c>
      <c r="K841" s="88" t="n"/>
      <c r="L841" s="95" t="n"/>
      <c r="M841" s="55" t="b">
        <v>0</v>
      </c>
      <c r="N841" s="96" t="b">
        <v>0</v>
      </c>
      <c r="O841" s="55" t="b">
        <v>0</v>
      </c>
      <c r="P841" s="55" t="b">
        <v>0</v>
      </c>
      <c r="Q841" s="55" t="b">
        <v>0</v>
      </c>
      <c r="R841" s="55" t="b">
        <v>0</v>
      </c>
      <c r="S841" s="55" t="b">
        <v>0</v>
      </c>
      <c r="T841" s="55" t="b">
        <v>0</v>
      </c>
      <c r="U841" s="55" t="b">
        <v>0</v>
      </c>
      <c r="V841" s="55" t="b">
        <v>0</v>
      </c>
    </row>
    <row r="842" ht="69" customHeight="1" s="211">
      <c r="A842" s="92">
        <f>Accounts!A842</f>
        <v/>
      </c>
      <c r="B842" s="12" t="b">
        <v>0</v>
      </c>
      <c r="C842" s="93">
        <f>Accounts!N842</f>
        <v/>
      </c>
      <c r="D842" s="94" t="n"/>
      <c r="E842" s="93">
        <f>Accounts!F842</f>
        <v/>
      </c>
      <c r="F842" s="94">
        <f>Accounts!Q842</f>
        <v/>
      </c>
      <c r="G842" s="94">
        <f>Accounts!R842</f>
        <v/>
      </c>
      <c r="H842" s="94">
        <f>Accounts!I842</f>
        <v/>
      </c>
      <c r="I842" s="94">
        <f>Accounts!J842</f>
        <v/>
      </c>
      <c r="J842" s="93">
        <f>Accounts!S842</f>
        <v/>
      </c>
      <c r="K842" s="88" t="n"/>
      <c r="L842" s="95" t="n"/>
      <c r="M842" s="55" t="b">
        <v>0</v>
      </c>
      <c r="N842" s="96" t="b">
        <v>0</v>
      </c>
      <c r="O842" s="55" t="b">
        <v>0</v>
      </c>
      <c r="P842" s="55" t="b">
        <v>0</v>
      </c>
      <c r="Q842" s="55" t="b">
        <v>0</v>
      </c>
      <c r="R842" s="55" t="b">
        <v>0</v>
      </c>
      <c r="S842" s="55" t="b">
        <v>0</v>
      </c>
      <c r="T842" s="55" t="b">
        <v>0</v>
      </c>
      <c r="U842" s="55" t="b">
        <v>0</v>
      </c>
      <c r="V842" s="55" t="b">
        <v>0</v>
      </c>
    </row>
    <row r="843" ht="69" customHeight="1" s="211">
      <c r="A843" s="92">
        <f>Accounts!A843</f>
        <v/>
      </c>
      <c r="B843" s="12" t="b">
        <v>0</v>
      </c>
      <c r="C843" s="93">
        <f>Accounts!N843</f>
        <v/>
      </c>
      <c r="D843" s="94" t="n"/>
      <c r="E843" s="93">
        <f>Accounts!F843</f>
        <v/>
      </c>
      <c r="F843" s="94">
        <f>Accounts!Q843</f>
        <v/>
      </c>
      <c r="G843" s="94">
        <f>Accounts!R843</f>
        <v/>
      </c>
      <c r="H843" s="94">
        <f>Accounts!I843</f>
        <v/>
      </c>
      <c r="I843" s="94">
        <f>Accounts!J843</f>
        <v/>
      </c>
      <c r="J843" s="93">
        <f>Accounts!S843</f>
        <v/>
      </c>
      <c r="K843" s="88" t="n"/>
      <c r="L843" s="95" t="n"/>
      <c r="M843" s="55" t="b">
        <v>0</v>
      </c>
      <c r="N843" s="96" t="b">
        <v>0</v>
      </c>
      <c r="O843" s="55" t="b">
        <v>0</v>
      </c>
      <c r="P843" s="55" t="b">
        <v>0</v>
      </c>
      <c r="Q843" s="55" t="b">
        <v>0</v>
      </c>
      <c r="R843" s="55" t="b">
        <v>0</v>
      </c>
      <c r="S843" s="55" t="b">
        <v>0</v>
      </c>
      <c r="T843" s="55" t="b">
        <v>0</v>
      </c>
      <c r="U843" s="55" t="b">
        <v>0</v>
      </c>
      <c r="V843" s="55" t="b">
        <v>0</v>
      </c>
    </row>
    <row r="844" ht="69" customHeight="1" s="211">
      <c r="A844" s="92">
        <f>Accounts!A844</f>
        <v/>
      </c>
      <c r="B844" s="12" t="b">
        <v>0</v>
      </c>
      <c r="C844" s="93">
        <f>Accounts!N844</f>
        <v/>
      </c>
      <c r="D844" s="94" t="n"/>
      <c r="E844" s="93">
        <f>Accounts!F844</f>
        <v/>
      </c>
      <c r="F844" s="94">
        <f>Accounts!Q844</f>
        <v/>
      </c>
      <c r="G844" s="94">
        <f>Accounts!R844</f>
        <v/>
      </c>
      <c r="H844" s="94">
        <f>Accounts!I844</f>
        <v/>
      </c>
      <c r="I844" s="94">
        <f>Accounts!J844</f>
        <v/>
      </c>
      <c r="J844" s="93">
        <f>Accounts!S844</f>
        <v/>
      </c>
      <c r="K844" s="88" t="n"/>
      <c r="L844" s="95" t="n"/>
      <c r="M844" s="55" t="b">
        <v>0</v>
      </c>
      <c r="N844" s="96" t="b">
        <v>0</v>
      </c>
      <c r="O844" s="55" t="b">
        <v>0</v>
      </c>
      <c r="P844" s="55" t="b">
        <v>0</v>
      </c>
      <c r="Q844" s="55" t="b">
        <v>0</v>
      </c>
      <c r="R844" s="55" t="b">
        <v>0</v>
      </c>
      <c r="S844" s="55" t="b">
        <v>0</v>
      </c>
      <c r="T844" s="55" t="b">
        <v>0</v>
      </c>
      <c r="U844" s="55" t="b">
        <v>0</v>
      </c>
      <c r="V844" s="55" t="b">
        <v>0</v>
      </c>
    </row>
    <row r="845" ht="69" customHeight="1" s="211">
      <c r="A845" s="92">
        <f>Accounts!A845</f>
        <v/>
      </c>
      <c r="B845" s="12" t="b">
        <v>0</v>
      </c>
      <c r="C845" s="93">
        <f>Accounts!N845</f>
        <v/>
      </c>
      <c r="D845" s="94" t="n"/>
      <c r="E845" s="93">
        <f>Accounts!F845</f>
        <v/>
      </c>
      <c r="F845" s="94">
        <f>Accounts!Q845</f>
        <v/>
      </c>
      <c r="G845" s="94">
        <f>Accounts!R845</f>
        <v/>
      </c>
      <c r="H845" s="94">
        <f>Accounts!I845</f>
        <v/>
      </c>
      <c r="I845" s="94">
        <f>Accounts!J845</f>
        <v/>
      </c>
      <c r="J845" s="93">
        <f>Accounts!S845</f>
        <v/>
      </c>
      <c r="K845" s="88" t="n"/>
      <c r="L845" s="95" t="n"/>
      <c r="M845" s="55" t="b">
        <v>0</v>
      </c>
      <c r="N845" s="96" t="b">
        <v>0</v>
      </c>
      <c r="O845" s="55" t="b">
        <v>0</v>
      </c>
      <c r="P845" s="55" t="b">
        <v>0</v>
      </c>
      <c r="Q845" s="55" t="b">
        <v>0</v>
      </c>
      <c r="R845" s="55" t="b">
        <v>0</v>
      </c>
      <c r="S845" s="55" t="b">
        <v>0</v>
      </c>
      <c r="T845" s="55" t="b">
        <v>0</v>
      </c>
      <c r="U845" s="55" t="b">
        <v>0</v>
      </c>
      <c r="V845" s="55" t="b">
        <v>0</v>
      </c>
    </row>
    <row r="846" ht="69" customHeight="1" s="211">
      <c r="A846" s="92">
        <f>Accounts!A846</f>
        <v/>
      </c>
      <c r="B846" s="12" t="b">
        <v>0</v>
      </c>
      <c r="C846" s="93">
        <f>Accounts!N846</f>
        <v/>
      </c>
      <c r="D846" s="94" t="n"/>
      <c r="E846" s="93">
        <f>Accounts!F846</f>
        <v/>
      </c>
      <c r="F846" s="94">
        <f>Accounts!Q846</f>
        <v/>
      </c>
      <c r="G846" s="94">
        <f>Accounts!R846</f>
        <v/>
      </c>
      <c r="H846" s="94">
        <f>Accounts!I846</f>
        <v/>
      </c>
      <c r="I846" s="94">
        <f>Accounts!J846</f>
        <v/>
      </c>
      <c r="J846" s="93">
        <f>Accounts!S846</f>
        <v/>
      </c>
      <c r="K846" s="88" t="n"/>
      <c r="L846" s="95" t="n"/>
      <c r="M846" s="55" t="b">
        <v>0</v>
      </c>
      <c r="N846" s="96" t="b">
        <v>0</v>
      </c>
      <c r="O846" s="55" t="b">
        <v>0</v>
      </c>
      <c r="P846" s="55" t="b">
        <v>0</v>
      </c>
      <c r="Q846" s="55" t="b">
        <v>0</v>
      </c>
      <c r="R846" s="55" t="b">
        <v>0</v>
      </c>
      <c r="S846" s="55" t="b">
        <v>0</v>
      </c>
      <c r="T846" s="55" t="b">
        <v>0</v>
      </c>
      <c r="U846" s="55" t="b">
        <v>0</v>
      </c>
      <c r="V846" s="55" t="b">
        <v>0</v>
      </c>
    </row>
    <row r="847" ht="69" customHeight="1" s="211">
      <c r="A847" s="92">
        <f>Accounts!A847</f>
        <v/>
      </c>
      <c r="B847" s="12" t="b">
        <v>0</v>
      </c>
      <c r="C847" s="93">
        <f>Accounts!N847</f>
        <v/>
      </c>
      <c r="D847" s="94" t="n"/>
      <c r="E847" s="93">
        <f>Accounts!F847</f>
        <v/>
      </c>
      <c r="F847" s="94">
        <f>Accounts!Q847</f>
        <v/>
      </c>
      <c r="G847" s="94">
        <f>Accounts!R847</f>
        <v/>
      </c>
      <c r="H847" s="94">
        <f>Accounts!I847</f>
        <v/>
      </c>
      <c r="I847" s="94">
        <f>Accounts!J847</f>
        <v/>
      </c>
      <c r="J847" s="93">
        <f>Accounts!S847</f>
        <v/>
      </c>
      <c r="K847" s="88" t="n"/>
      <c r="L847" s="95" t="n"/>
      <c r="M847" s="55" t="b">
        <v>0</v>
      </c>
      <c r="N847" s="96" t="b">
        <v>0</v>
      </c>
      <c r="O847" s="55" t="b">
        <v>0</v>
      </c>
      <c r="P847" s="55" t="b">
        <v>0</v>
      </c>
      <c r="Q847" s="55" t="b">
        <v>0</v>
      </c>
      <c r="R847" s="55" t="b">
        <v>0</v>
      </c>
      <c r="S847" s="55" t="b">
        <v>0</v>
      </c>
      <c r="T847" s="55" t="b">
        <v>0</v>
      </c>
      <c r="U847" s="55" t="b">
        <v>0</v>
      </c>
      <c r="V847" s="55" t="b">
        <v>0</v>
      </c>
    </row>
    <row r="848" ht="69" customHeight="1" s="211">
      <c r="A848" s="92">
        <f>Accounts!A848</f>
        <v/>
      </c>
      <c r="B848" s="12" t="b">
        <v>0</v>
      </c>
      <c r="C848" s="93">
        <f>Accounts!N848</f>
        <v/>
      </c>
      <c r="D848" s="94" t="n"/>
      <c r="E848" s="93">
        <f>Accounts!F848</f>
        <v/>
      </c>
      <c r="F848" s="94">
        <f>Accounts!Q848</f>
        <v/>
      </c>
      <c r="G848" s="94">
        <f>Accounts!R848</f>
        <v/>
      </c>
      <c r="H848" s="94">
        <f>Accounts!I848</f>
        <v/>
      </c>
      <c r="I848" s="94">
        <f>Accounts!J848</f>
        <v/>
      </c>
      <c r="J848" s="93">
        <f>Accounts!S848</f>
        <v/>
      </c>
      <c r="K848" s="88" t="n"/>
      <c r="L848" s="95" t="n"/>
      <c r="M848" s="55" t="b">
        <v>0</v>
      </c>
      <c r="N848" s="96" t="b">
        <v>0</v>
      </c>
      <c r="O848" s="55" t="b">
        <v>0</v>
      </c>
      <c r="P848" s="55" t="b">
        <v>0</v>
      </c>
      <c r="Q848" s="55" t="b">
        <v>0</v>
      </c>
      <c r="R848" s="55" t="b">
        <v>0</v>
      </c>
      <c r="S848" s="55" t="b">
        <v>0</v>
      </c>
      <c r="T848" s="55" t="b">
        <v>0</v>
      </c>
      <c r="U848" s="55" t="b">
        <v>0</v>
      </c>
      <c r="V848" s="55" t="b">
        <v>0</v>
      </c>
    </row>
    <row r="849" ht="69" customHeight="1" s="211">
      <c r="A849" s="92">
        <f>Accounts!A849</f>
        <v/>
      </c>
      <c r="B849" s="12" t="b">
        <v>0</v>
      </c>
      <c r="C849" s="93">
        <f>Accounts!N849</f>
        <v/>
      </c>
      <c r="D849" s="94" t="n"/>
      <c r="E849" s="93">
        <f>Accounts!F849</f>
        <v/>
      </c>
      <c r="F849" s="94">
        <f>Accounts!Q849</f>
        <v/>
      </c>
      <c r="G849" s="94">
        <f>Accounts!R849</f>
        <v/>
      </c>
      <c r="H849" s="94">
        <f>Accounts!I849</f>
        <v/>
      </c>
      <c r="I849" s="94">
        <f>Accounts!J849</f>
        <v/>
      </c>
      <c r="J849" s="93">
        <f>Accounts!S849</f>
        <v/>
      </c>
      <c r="K849" s="88" t="n"/>
      <c r="L849" s="95" t="n"/>
      <c r="M849" s="55" t="b">
        <v>0</v>
      </c>
      <c r="N849" s="96" t="b">
        <v>0</v>
      </c>
      <c r="O849" s="55" t="b">
        <v>0</v>
      </c>
      <c r="P849" s="55" t="b">
        <v>0</v>
      </c>
      <c r="Q849" s="55" t="b">
        <v>0</v>
      </c>
      <c r="R849" s="55" t="b">
        <v>0</v>
      </c>
      <c r="S849" s="55" t="b">
        <v>0</v>
      </c>
      <c r="T849" s="55" t="b">
        <v>0</v>
      </c>
      <c r="U849" s="55" t="b">
        <v>0</v>
      </c>
      <c r="V849" s="55" t="b">
        <v>0</v>
      </c>
    </row>
    <row r="850" ht="69" customHeight="1" s="211">
      <c r="A850" s="92">
        <f>Accounts!A850</f>
        <v/>
      </c>
      <c r="B850" s="12" t="b">
        <v>0</v>
      </c>
      <c r="C850" s="93">
        <f>Accounts!N850</f>
        <v/>
      </c>
      <c r="D850" s="94" t="n"/>
      <c r="E850" s="93">
        <f>Accounts!F850</f>
        <v/>
      </c>
      <c r="F850" s="94">
        <f>Accounts!Q850</f>
        <v/>
      </c>
      <c r="G850" s="94">
        <f>Accounts!R850</f>
        <v/>
      </c>
      <c r="H850" s="94">
        <f>Accounts!I850</f>
        <v/>
      </c>
      <c r="I850" s="94">
        <f>Accounts!J850</f>
        <v/>
      </c>
      <c r="J850" s="93">
        <f>Accounts!S850</f>
        <v/>
      </c>
      <c r="K850" s="88" t="n"/>
      <c r="L850" s="95" t="n"/>
      <c r="M850" s="55" t="b">
        <v>0</v>
      </c>
      <c r="N850" s="96" t="b">
        <v>0</v>
      </c>
      <c r="O850" s="55" t="b">
        <v>0</v>
      </c>
      <c r="P850" s="55" t="b">
        <v>0</v>
      </c>
      <c r="Q850" s="55" t="b">
        <v>0</v>
      </c>
      <c r="R850" s="55" t="b">
        <v>0</v>
      </c>
      <c r="S850" s="55" t="b">
        <v>0</v>
      </c>
      <c r="T850" s="55" t="b">
        <v>0</v>
      </c>
      <c r="U850" s="55" t="b">
        <v>0</v>
      </c>
      <c r="V850" s="55" t="b">
        <v>0</v>
      </c>
    </row>
    <row r="851" ht="69" customHeight="1" s="211">
      <c r="A851" s="92">
        <f>Accounts!A851</f>
        <v/>
      </c>
      <c r="B851" s="12" t="b">
        <v>0</v>
      </c>
      <c r="C851" s="93">
        <f>Accounts!N851</f>
        <v/>
      </c>
      <c r="D851" s="94" t="n"/>
      <c r="E851" s="93">
        <f>Accounts!F851</f>
        <v/>
      </c>
      <c r="F851" s="94">
        <f>Accounts!Q851</f>
        <v/>
      </c>
      <c r="G851" s="94">
        <f>Accounts!R851</f>
        <v/>
      </c>
      <c r="H851" s="94">
        <f>Accounts!I851</f>
        <v/>
      </c>
      <c r="I851" s="94">
        <f>Accounts!J851</f>
        <v/>
      </c>
      <c r="J851" s="93">
        <f>Accounts!S851</f>
        <v/>
      </c>
      <c r="K851" s="88" t="n"/>
      <c r="L851" s="95" t="n"/>
      <c r="M851" s="55" t="b">
        <v>0</v>
      </c>
      <c r="N851" s="96" t="b">
        <v>0</v>
      </c>
      <c r="O851" s="55" t="b">
        <v>0</v>
      </c>
      <c r="P851" s="55" t="b">
        <v>0</v>
      </c>
      <c r="Q851" s="55" t="b">
        <v>0</v>
      </c>
      <c r="R851" s="55" t="b">
        <v>0</v>
      </c>
      <c r="S851" s="55" t="b">
        <v>0</v>
      </c>
      <c r="T851" s="55" t="b">
        <v>0</v>
      </c>
      <c r="U851" s="55" t="b">
        <v>0</v>
      </c>
      <c r="V851" s="55" t="b">
        <v>0</v>
      </c>
    </row>
    <row r="852" ht="69" customHeight="1" s="211">
      <c r="A852" s="92">
        <f>Accounts!A852</f>
        <v/>
      </c>
      <c r="B852" s="12" t="b">
        <v>0</v>
      </c>
      <c r="C852" s="93">
        <f>Accounts!N852</f>
        <v/>
      </c>
      <c r="D852" s="94" t="n"/>
      <c r="E852" s="93">
        <f>Accounts!F852</f>
        <v/>
      </c>
      <c r="F852" s="94">
        <f>Accounts!Q852</f>
        <v/>
      </c>
      <c r="G852" s="94">
        <f>Accounts!R852</f>
        <v/>
      </c>
      <c r="H852" s="94">
        <f>Accounts!I852</f>
        <v/>
      </c>
      <c r="I852" s="94">
        <f>Accounts!J852</f>
        <v/>
      </c>
      <c r="J852" s="93">
        <f>Accounts!S852</f>
        <v/>
      </c>
      <c r="K852" s="88" t="n"/>
      <c r="L852" s="95" t="n"/>
      <c r="M852" s="55" t="b">
        <v>0</v>
      </c>
      <c r="N852" s="96" t="b">
        <v>0</v>
      </c>
      <c r="O852" s="55" t="b">
        <v>0</v>
      </c>
      <c r="P852" s="55" t="b">
        <v>0</v>
      </c>
      <c r="Q852" s="55" t="b">
        <v>0</v>
      </c>
      <c r="R852" s="55" t="b">
        <v>0</v>
      </c>
      <c r="S852" s="55" t="b">
        <v>0</v>
      </c>
      <c r="T852" s="55" t="b">
        <v>0</v>
      </c>
      <c r="U852" s="55" t="b">
        <v>0</v>
      </c>
      <c r="V852" s="55" t="b">
        <v>0</v>
      </c>
    </row>
    <row r="853" ht="69" customHeight="1" s="211">
      <c r="A853" s="92">
        <f>Accounts!A853</f>
        <v/>
      </c>
      <c r="B853" s="12" t="b">
        <v>0</v>
      </c>
      <c r="C853" s="93">
        <f>Accounts!N853</f>
        <v/>
      </c>
      <c r="D853" s="94" t="n"/>
      <c r="E853" s="93">
        <f>Accounts!F853</f>
        <v/>
      </c>
      <c r="F853" s="94">
        <f>Accounts!Q853</f>
        <v/>
      </c>
      <c r="G853" s="94">
        <f>Accounts!R853</f>
        <v/>
      </c>
      <c r="H853" s="94">
        <f>Accounts!I853</f>
        <v/>
      </c>
      <c r="I853" s="94">
        <f>Accounts!J853</f>
        <v/>
      </c>
      <c r="J853" s="93">
        <f>Accounts!S853</f>
        <v/>
      </c>
      <c r="K853" s="88" t="n"/>
      <c r="L853" s="95" t="n"/>
      <c r="M853" s="55" t="b">
        <v>0</v>
      </c>
      <c r="N853" s="96" t="b">
        <v>0</v>
      </c>
      <c r="O853" s="55" t="b">
        <v>0</v>
      </c>
      <c r="P853" s="55" t="b">
        <v>0</v>
      </c>
      <c r="Q853" s="55" t="b">
        <v>0</v>
      </c>
      <c r="R853" s="55" t="b">
        <v>0</v>
      </c>
      <c r="S853" s="55" t="b">
        <v>0</v>
      </c>
      <c r="T853" s="55" t="b">
        <v>0</v>
      </c>
      <c r="U853" s="55" t="b">
        <v>0</v>
      </c>
      <c r="V853" s="55" t="b">
        <v>0</v>
      </c>
    </row>
    <row r="854" ht="69" customHeight="1" s="211">
      <c r="A854" s="92">
        <f>Accounts!A854</f>
        <v/>
      </c>
      <c r="B854" s="12" t="b">
        <v>0</v>
      </c>
      <c r="C854" s="93">
        <f>Accounts!N854</f>
        <v/>
      </c>
      <c r="D854" s="94" t="n"/>
      <c r="E854" s="93">
        <f>Accounts!F854</f>
        <v/>
      </c>
      <c r="F854" s="94">
        <f>Accounts!Q854</f>
        <v/>
      </c>
      <c r="G854" s="94">
        <f>Accounts!R854</f>
        <v/>
      </c>
      <c r="H854" s="94">
        <f>Accounts!I854</f>
        <v/>
      </c>
      <c r="I854" s="94">
        <f>Accounts!J854</f>
        <v/>
      </c>
      <c r="J854" s="93">
        <f>Accounts!S854</f>
        <v/>
      </c>
      <c r="K854" s="88" t="n"/>
      <c r="L854" s="95" t="n"/>
      <c r="M854" s="55" t="b">
        <v>0</v>
      </c>
      <c r="N854" s="96" t="b">
        <v>0</v>
      </c>
      <c r="O854" s="55" t="b">
        <v>0</v>
      </c>
      <c r="P854" s="55" t="b">
        <v>0</v>
      </c>
      <c r="Q854" s="55" t="b">
        <v>0</v>
      </c>
      <c r="R854" s="55" t="b">
        <v>0</v>
      </c>
      <c r="S854" s="55" t="b">
        <v>0</v>
      </c>
      <c r="T854" s="55" t="b">
        <v>0</v>
      </c>
      <c r="U854" s="55" t="b">
        <v>0</v>
      </c>
      <c r="V854" s="55" t="b">
        <v>0</v>
      </c>
    </row>
    <row r="855" ht="69" customHeight="1" s="211">
      <c r="A855" s="92">
        <f>Accounts!A855</f>
        <v/>
      </c>
      <c r="B855" s="12" t="b">
        <v>0</v>
      </c>
      <c r="C855" s="93">
        <f>Accounts!N855</f>
        <v/>
      </c>
      <c r="D855" s="94" t="n"/>
      <c r="E855" s="93">
        <f>Accounts!F855</f>
        <v/>
      </c>
      <c r="F855" s="94">
        <f>Accounts!Q855</f>
        <v/>
      </c>
      <c r="G855" s="94">
        <f>Accounts!R855</f>
        <v/>
      </c>
      <c r="H855" s="94">
        <f>Accounts!I855</f>
        <v/>
      </c>
      <c r="I855" s="94">
        <f>Accounts!J855</f>
        <v/>
      </c>
      <c r="J855" s="93">
        <f>Accounts!S855</f>
        <v/>
      </c>
      <c r="K855" s="88" t="n"/>
      <c r="L855" s="95" t="n"/>
      <c r="M855" s="55" t="b">
        <v>0</v>
      </c>
      <c r="N855" s="96" t="b">
        <v>0</v>
      </c>
      <c r="O855" s="55" t="b">
        <v>0</v>
      </c>
      <c r="P855" s="55" t="b">
        <v>0</v>
      </c>
      <c r="Q855" s="55" t="b">
        <v>0</v>
      </c>
      <c r="R855" s="55" t="b">
        <v>0</v>
      </c>
      <c r="S855" s="55" t="b">
        <v>0</v>
      </c>
      <c r="T855" s="55" t="b">
        <v>0</v>
      </c>
      <c r="U855" s="55" t="b">
        <v>0</v>
      </c>
      <c r="V855" s="55" t="b">
        <v>0</v>
      </c>
    </row>
    <row r="856" ht="69" customHeight="1" s="211">
      <c r="A856" s="92">
        <f>Accounts!A856</f>
        <v/>
      </c>
      <c r="B856" s="12" t="b">
        <v>0</v>
      </c>
      <c r="C856" s="93">
        <f>Accounts!N856</f>
        <v/>
      </c>
      <c r="D856" s="94" t="n"/>
      <c r="E856" s="93">
        <f>Accounts!F856</f>
        <v/>
      </c>
      <c r="F856" s="94">
        <f>Accounts!Q856</f>
        <v/>
      </c>
      <c r="G856" s="94">
        <f>Accounts!R856</f>
        <v/>
      </c>
      <c r="H856" s="94">
        <f>Accounts!I856</f>
        <v/>
      </c>
      <c r="I856" s="94">
        <f>Accounts!J856</f>
        <v/>
      </c>
      <c r="J856" s="93">
        <f>Accounts!S856</f>
        <v/>
      </c>
      <c r="K856" s="88" t="n"/>
      <c r="L856" s="95" t="n"/>
      <c r="M856" s="55" t="b">
        <v>0</v>
      </c>
      <c r="N856" s="96" t="b">
        <v>0</v>
      </c>
      <c r="O856" s="55" t="b">
        <v>0</v>
      </c>
      <c r="P856" s="55" t="b">
        <v>0</v>
      </c>
      <c r="Q856" s="55" t="b">
        <v>0</v>
      </c>
      <c r="R856" s="55" t="b">
        <v>0</v>
      </c>
      <c r="S856" s="55" t="b">
        <v>0</v>
      </c>
      <c r="T856" s="55" t="b">
        <v>0</v>
      </c>
      <c r="U856" s="55" t="b">
        <v>0</v>
      </c>
      <c r="V856" s="55" t="b">
        <v>0</v>
      </c>
    </row>
    <row r="857" ht="69" customHeight="1" s="211">
      <c r="A857" s="92">
        <f>Accounts!A857</f>
        <v/>
      </c>
      <c r="B857" s="12" t="b">
        <v>0</v>
      </c>
      <c r="C857" s="93">
        <f>Accounts!N857</f>
        <v/>
      </c>
      <c r="D857" s="94" t="n"/>
      <c r="E857" s="93">
        <f>Accounts!F857</f>
        <v/>
      </c>
      <c r="F857" s="94">
        <f>Accounts!Q857</f>
        <v/>
      </c>
      <c r="G857" s="94">
        <f>Accounts!R857</f>
        <v/>
      </c>
      <c r="H857" s="94">
        <f>Accounts!I857</f>
        <v/>
      </c>
      <c r="I857" s="94">
        <f>Accounts!J857</f>
        <v/>
      </c>
      <c r="J857" s="93">
        <f>Accounts!S857</f>
        <v/>
      </c>
      <c r="K857" s="88" t="n"/>
      <c r="L857" s="95" t="n"/>
      <c r="M857" s="55" t="b">
        <v>0</v>
      </c>
      <c r="N857" s="96" t="b">
        <v>0</v>
      </c>
      <c r="O857" s="55" t="b">
        <v>0</v>
      </c>
      <c r="P857" s="55" t="b">
        <v>0</v>
      </c>
      <c r="Q857" s="55" t="b">
        <v>0</v>
      </c>
      <c r="R857" s="55" t="b">
        <v>0</v>
      </c>
      <c r="S857" s="55" t="b">
        <v>0</v>
      </c>
      <c r="T857" s="55" t="b">
        <v>0</v>
      </c>
      <c r="U857" s="55" t="b">
        <v>0</v>
      </c>
      <c r="V857" s="55" t="b">
        <v>0</v>
      </c>
    </row>
    <row r="858" ht="69" customHeight="1" s="211">
      <c r="A858" s="92">
        <f>Accounts!A858</f>
        <v/>
      </c>
      <c r="B858" s="12" t="b">
        <v>0</v>
      </c>
      <c r="C858" s="93">
        <f>Accounts!N858</f>
        <v/>
      </c>
      <c r="D858" s="94" t="n"/>
      <c r="E858" s="93">
        <f>Accounts!F858</f>
        <v/>
      </c>
      <c r="F858" s="94">
        <f>Accounts!Q858</f>
        <v/>
      </c>
      <c r="G858" s="94">
        <f>Accounts!R858</f>
        <v/>
      </c>
      <c r="H858" s="94">
        <f>Accounts!I858</f>
        <v/>
      </c>
      <c r="I858" s="94">
        <f>Accounts!J858</f>
        <v/>
      </c>
      <c r="J858" s="93">
        <f>Accounts!S858</f>
        <v/>
      </c>
      <c r="K858" s="88" t="n"/>
      <c r="L858" s="95" t="n"/>
      <c r="M858" s="55" t="b">
        <v>0</v>
      </c>
      <c r="N858" s="96" t="b">
        <v>0</v>
      </c>
      <c r="O858" s="55" t="b">
        <v>0</v>
      </c>
      <c r="P858" s="55" t="b">
        <v>0</v>
      </c>
      <c r="Q858" s="55" t="b">
        <v>0</v>
      </c>
      <c r="R858" s="55" t="b">
        <v>0</v>
      </c>
      <c r="S858" s="55" t="b">
        <v>0</v>
      </c>
      <c r="T858" s="55" t="b">
        <v>0</v>
      </c>
      <c r="U858" s="55" t="b">
        <v>0</v>
      </c>
      <c r="V858" s="55" t="b">
        <v>0</v>
      </c>
    </row>
    <row r="859" ht="69" customHeight="1" s="211">
      <c r="A859" s="92">
        <f>Accounts!A859</f>
        <v/>
      </c>
      <c r="B859" s="12" t="b">
        <v>0</v>
      </c>
      <c r="C859" s="93">
        <f>Accounts!N859</f>
        <v/>
      </c>
      <c r="D859" s="94" t="n"/>
      <c r="E859" s="93">
        <f>Accounts!F859</f>
        <v/>
      </c>
      <c r="F859" s="94">
        <f>Accounts!Q859</f>
        <v/>
      </c>
      <c r="G859" s="94">
        <f>Accounts!R859</f>
        <v/>
      </c>
      <c r="H859" s="94">
        <f>Accounts!I859</f>
        <v/>
      </c>
      <c r="I859" s="94">
        <f>Accounts!J859</f>
        <v/>
      </c>
      <c r="J859" s="93">
        <f>Accounts!S859</f>
        <v/>
      </c>
      <c r="K859" s="88" t="n"/>
      <c r="L859" s="95" t="n"/>
      <c r="M859" s="55" t="b">
        <v>0</v>
      </c>
      <c r="N859" s="96" t="b">
        <v>0</v>
      </c>
      <c r="O859" s="55" t="b">
        <v>0</v>
      </c>
      <c r="P859" s="55" t="b">
        <v>0</v>
      </c>
      <c r="Q859" s="55" t="b">
        <v>0</v>
      </c>
      <c r="R859" s="55" t="b">
        <v>0</v>
      </c>
      <c r="S859" s="55" t="b">
        <v>0</v>
      </c>
      <c r="T859" s="55" t="b">
        <v>0</v>
      </c>
      <c r="U859" s="55" t="b">
        <v>0</v>
      </c>
      <c r="V859" s="55" t="b">
        <v>0</v>
      </c>
    </row>
    <row r="860" ht="69" customHeight="1" s="211">
      <c r="A860" s="92">
        <f>Accounts!A860</f>
        <v/>
      </c>
      <c r="B860" s="12" t="b">
        <v>0</v>
      </c>
      <c r="C860" s="93">
        <f>Accounts!N860</f>
        <v/>
      </c>
      <c r="D860" s="94" t="n"/>
      <c r="E860" s="93">
        <f>Accounts!F860</f>
        <v/>
      </c>
      <c r="F860" s="94">
        <f>Accounts!Q860</f>
        <v/>
      </c>
      <c r="G860" s="94">
        <f>Accounts!R860</f>
        <v/>
      </c>
      <c r="H860" s="94">
        <f>Accounts!I860</f>
        <v/>
      </c>
      <c r="I860" s="94">
        <f>Accounts!J860</f>
        <v/>
      </c>
      <c r="J860" s="93">
        <f>Accounts!S860</f>
        <v/>
      </c>
      <c r="K860" s="88" t="n"/>
      <c r="L860" s="95" t="n"/>
      <c r="M860" s="55" t="b">
        <v>0</v>
      </c>
      <c r="N860" s="96" t="b">
        <v>0</v>
      </c>
      <c r="O860" s="55" t="b">
        <v>0</v>
      </c>
      <c r="P860" s="55" t="b">
        <v>0</v>
      </c>
      <c r="Q860" s="55" t="b">
        <v>0</v>
      </c>
      <c r="R860" s="55" t="b">
        <v>0</v>
      </c>
      <c r="S860" s="55" t="b">
        <v>0</v>
      </c>
      <c r="T860" s="55" t="b">
        <v>0</v>
      </c>
      <c r="U860" s="55" t="b">
        <v>0</v>
      </c>
      <c r="V860" s="55" t="b">
        <v>0</v>
      </c>
    </row>
    <row r="861" ht="69" customHeight="1" s="211">
      <c r="A861" s="92">
        <f>Accounts!A861</f>
        <v/>
      </c>
      <c r="B861" s="12" t="b">
        <v>0</v>
      </c>
      <c r="C861" s="93">
        <f>Accounts!N861</f>
        <v/>
      </c>
      <c r="D861" s="94" t="n"/>
      <c r="E861" s="93">
        <f>Accounts!F861</f>
        <v/>
      </c>
      <c r="F861" s="94">
        <f>Accounts!Q861</f>
        <v/>
      </c>
      <c r="G861" s="94">
        <f>Accounts!R861</f>
        <v/>
      </c>
      <c r="H861" s="94">
        <f>Accounts!I861</f>
        <v/>
      </c>
      <c r="I861" s="94">
        <f>Accounts!J861</f>
        <v/>
      </c>
      <c r="J861" s="93">
        <f>Accounts!S861</f>
        <v/>
      </c>
      <c r="K861" s="88" t="n"/>
      <c r="L861" s="95" t="n"/>
      <c r="M861" s="55" t="b">
        <v>0</v>
      </c>
      <c r="N861" s="96" t="b">
        <v>0</v>
      </c>
      <c r="O861" s="55" t="b">
        <v>0</v>
      </c>
      <c r="P861" s="55" t="b">
        <v>0</v>
      </c>
      <c r="Q861" s="55" t="b">
        <v>0</v>
      </c>
      <c r="R861" s="55" t="b">
        <v>0</v>
      </c>
      <c r="S861" s="55" t="b">
        <v>0</v>
      </c>
      <c r="T861" s="55" t="b">
        <v>0</v>
      </c>
      <c r="U861" s="55" t="b">
        <v>0</v>
      </c>
      <c r="V861" s="55" t="b">
        <v>0</v>
      </c>
    </row>
    <row r="862" ht="69" customHeight="1" s="211">
      <c r="A862" s="92">
        <f>Accounts!A862</f>
        <v/>
      </c>
      <c r="B862" s="12" t="b">
        <v>0</v>
      </c>
      <c r="C862" s="93">
        <f>Accounts!N862</f>
        <v/>
      </c>
      <c r="D862" s="94" t="n"/>
      <c r="E862" s="93">
        <f>Accounts!F862</f>
        <v/>
      </c>
      <c r="F862" s="94">
        <f>Accounts!Q862</f>
        <v/>
      </c>
      <c r="G862" s="94">
        <f>Accounts!R862</f>
        <v/>
      </c>
      <c r="H862" s="94">
        <f>Accounts!I862</f>
        <v/>
      </c>
      <c r="I862" s="94">
        <f>Accounts!J862</f>
        <v/>
      </c>
      <c r="J862" s="93">
        <f>Accounts!S862</f>
        <v/>
      </c>
      <c r="K862" s="88" t="n"/>
      <c r="L862" s="95" t="n"/>
      <c r="M862" s="55" t="b">
        <v>0</v>
      </c>
      <c r="N862" s="96" t="b">
        <v>0</v>
      </c>
      <c r="O862" s="55" t="b">
        <v>0</v>
      </c>
      <c r="P862" s="55" t="b">
        <v>0</v>
      </c>
      <c r="Q862" s="55" t="b">
        <v>0</v>
      </c>
      <c r="R862" s="55" t="b">
        <v>0</v>
      </c>
      <c r="S862" s="55" t="b">
        <v>0</v>
      </c>
      <c r="T862" s="55" t="b">
        <v>0</v>
      </c>
      <c r="U862" s="55" t="b">
        <v>0</v>
      </c>
      <c r="V862" s="55" t="b">
        <v>0</v>
      </c>
    </row>
    <row r="863" ht="69" customHeight="1" s="211">
      <c r="A863" s="92">
        <f>Accounts!A863</f>
        <v/>
      </c>
      <c r="B863" s="12" t="b">
        <v>0</v>
      </c>
      <c r="C863" s="93">
        <f>Accounts!N863</f>
        <v/>
      </c>
      <c r="D863" s="94" t="n"/>
      <c r="E863" s="93">
        <f>Accounts!F863</f>
        <v/>
      </c>
      <c r="F863" s="94">
        <f>Accounts!Q863</f>
        <v/>
      </c>
      <c r="G863" s="94">
        <f>Accounts!R863</f>
        <v/>
      </c>
      <c r="H863" s="94">
        <f>Accounts!I863</f>
        <v/>
      </c>
      <c r="I863" s="94">
        <f>Accounts!J863</f>
        <v/>
      </c>
      <c r="J863" s="93">
        <f>Accounts!S863</f>
        <v/>
      </c>
      <c r="K863" s="88" t="n"/>
      <c r="L863" s="95" t="n"/>
      <c r="M863" s="55" t="b">
        <v>0</v>
      </c>
      <c r="N863" s="96" t="b">
        <v>0</v>
      </c>
      <c r="O863" s="55" t="b">
        <v>0</v>
      </c>
      <c r="P863" s="55" t="b">
        <v>0</v>
      </c>
      <c r="Q863" s="55" t="b">
        <v>0</v>
      </c>
      <c r="R863" s="55" t="b">
        <v>0</v>
      </c>
      <c r="S863" s="55" t="b">
        <v>0</v>
      </c>
      <c r="T863" s="55" t="b">
        <v>0</v>
      </c>
      <c r="U863" s="55" t="b">
        <v>0</v>
      </c>
      <c r="V863" s="55" t="b">
        <v>0</v>
      </c>
    </row>
    <row r="864" ht="69" customHeight="1" s="211">
      <c r="A864" s="92">
        <f>Accounts!A864</f>
        <v/>
      </c>
      <c r="B864" s="12" t="b">
        <v>0</v>
      </c>
      <c r="C864" s="93">
        <f>Accounts!N864</f>
        <v/>
      </c>
      <c r="D864" s="94" t="n"/>
      <c r="E864" s="93">
        <f>Accounts!F864</f>
        <v/>
      </c>
      <c r="F864" s="94">
        <f>Accounts!Q864</f>
        <v/>
      </c>
      <c r="G864" s="94">
        <f>Accounts!R864</f>
        <v/>
      </c>
      <c r="H864" s="94">
        <f>Accounts!I864</f>
        <v/>
      </c>
      <c r="I864" s="94">
        <f>Accounts!J864</f>
        <v/>
      </c>
      <c r="J864" s="93">
        <f>Accounts!S864</f>
        <v/>
      </c>
      <c r="K864" s="88" t="n"/>
      <c r="L864" s="95" t="n"/>
      <c r="M864" s="55" t="b">
        <v>0</v>
      </c>
      <c r="N864" s="96" t="b">
        <v>0</v>
      </c>
      <c r="O864" s="55" t="b">
        <v>0</v>
      </c>
      <c r="P864" s="55" t="b">
        <v>0</v>
      </c>
      <c r="Q864" s="55" t="b">
        <v>0</v>
      </c>
      <c r="R864" s="55" t="b">
        <v>0</v>
      </c>
      <c r="S864" s="55" t="b">
        <v>0</v>
      </c>
      <c r="T864" s="55" t="b">
        <v>0</v>
      </c>
      <c r="U864" s="55" t="b">
        <v>0</v>
      </c>
      <c r="V864" s="55" t="b">
        <v>0</v>
      </c>
    </row>
    <row r="865" ht="69" customHeight="1" s="211">
      <c r="A865" s="92">
        <f>Accounts!A865</f>
        <v/>
      </c>
      <c r="B865" s="12" t="b">
        <v>0</v>
      </c>
      <c r="C865" s="93">
        <f>Accounts!N865</f>
        <v/>
      </c>
      <c r="D865" s="94" t="n"/>
      <c r="E865" s="93">
        <f>Accounts!F865</f>
        <v/>
      </c>
      <c r="F865" s="94">
        <f>Accounts!Q865</f>
        <v/>
      </c>
      <c r="G865" s="94">
        <f>Accounts!R865</f>
        <v/>
      </c>
      <c r="H865" s="94">
        <f>Accounts!I865</f>
        <v/>
      </c>
      <c r="I865" s="94">
        <f>Accounts!J865</f>
        <v/>
      </c>
      <c r="J865" s="93">
        <f>Accounts!S865</f>
        <v/>
      </c>
      <c r="K865" s="88" t="n"/>
      <c r="L865" s="95" t="n"/>
      <c r="M865" s="55" t="b">
        <v>0</v>
      </c>
      <c r="N865" s="96" t="b">
        <v>0</v>
      </c>
      <c r="O865" s="55" t="b">
        <v>0</v>
      </c>
      <c r="P865" s="55" t="b">
        <v>0</v>
      </c>
      <c r="Q865" s="55" t="b">
        <v>0</v>
      </c>
      <c r="R865" s="55" t="b">
        <v>0</v>
      </c>
      <c r="S865" s="55" t="b">
        <v>0</v>
      </c>
      <c r="T865" s="55" t="b">
        <v>0</v>
      </c>
      <c r="U865" s="55" t="b">
        <v>0</v>
      </c>
      <c r="V865" s="55" t="b">
        <v>0</v>
      </c>
    </row>
    <row r="866" ht="69" customHeight="1" s="211">
      <c r="A866" s="92">
        <f>Accounts!A866</f>
        <v/>
      </c>
      <c r="B866" s="12" t="b">
        <v>0</v>
      </c>
      <c r="C866" s="93">
        <f>Accounts!N866</f>
        <v/>
      </c>
      <c r="D866" s="94" t="n"/>
      <c r="E866" s="93">
        <f>Accounts!F866</f>
        <v/>
      </c>
      <c r="F866" s="94">
        <f>Accounts!Q866</f>
        <v/>
      </c>
      <c r="G866" s="94">
        <f>Accounts!R866</f>
        <v/>
      </c>
      <c r="H866" s="94">
        <f>Accounts!I866</f>
        <v/>
      </c>
      <c r="I866" s="94">
        <f>Accounts!J866</f>
        <v/>
      </c>
      <c r="J866" s="93">
        <f>Accounts!S866</f>
        <v/>
      </c>
      <c r="K866" s="88" t="n"/>
      <c r="L866" s="95" t="n"/>
      <c r="M866" s="55" t="b">
        <v>0</v>
      </c>
      <c r="N866" s="96" t="b">
        <v>0</v>
      </c>
      <c r="O866" s="55" t="b">
        <v>0</v>
      </c>
      <c r="P866" s="55" t="b">
        <v>0</v>
      </c>
      <c r="Q866" s="55" t="b">
        <v>0</v>
      </c>
      <c r="R866" s="55" t="b">
        <v>0</v>
      </c>
      <c r="S866" s="55" t="b">
        <v>0</v>
      </c>
      <c r="T866" s="55" t="b">
        <v>0</v>
      </c>
      <c r="U866" s="55" t="b">
        <v>0</v>
      </c>
      <c r="V866" s="55" t="b">
        <v>0</v>
      </c>
    </row>
    <row r="867" ht="69" customHeight="1" s="211">
      <c r="A867" s="92">
        <f>Accounts!A867</f>
        <v/>
      </c>
      <c r="B867" s="12" t="b">
        <v>0</v>
      </c>
      <c r="C867" s="93">
        <f>Accounts!N867</f>
        <v/>
      </c>
      <c r="D867" s="94" t="n"/>
      <c r="E867" s="93">
        <f>Accounts!F867</f>
        <v/>
      </c>
      <c r="F867" s="94">
        <f>Accounts!Q867</f>
        <v/>
      </c>
      <c r="G867" s="94">
        <f>Accounts!R867</f>
        <v/>
      </c>
      <c r="H867" s="94">
        <f>Accounts!I867</f>
        <v/>
      </c>
      <c r="I867" s="94">
        <f>Accounts!J867</f>
        <v/>
      </c>
      <c r="J867" s="93">
        <f>Accounts!S867</f>
        <v/>
      </c>
      <c r="K867" s="88" t="n"/>
      <c r="L867" s="95" t="n"/>
      <c r="M867" s="55" t="b">
        <v>0</v>
      </c>
      <c r="N867" s="96" t="b">
        <v>0</v>
      </c>
      <c r="O867" s="55" t="b">
        <v>0</v>
      </c>
      <c r="P867" s="55" t="b">
        <v>0</v>
      </c>
      <c r="Q867" s="55" t="b">
        <v>0</v>
      </c>
      <c r="R867" s="55" t="b">
        <v>0</v>
      </c>
      <c r="S867" s="55" t="b">
        <v>0</v>
      </c>
      <c r="T867" s="55" t="b">
        <v>0</v>
      </c>
      <c r="U867" s="55" t="b">
        <v>0</v>
      </c>
      <c r="V867" s="55" t="b">
        <v>0</v>
      </c>
    </row>
    <row r="868" ht="69" customHeight="1" s="211">
      <c r="A868" s="92">
        <f>Accounts!A868</f>
        <v/>
      </c>
      <c r="B868" s="12" t="b">
        <v>0</v>
      </c>
      <c r="C868" s="93">
        <f>Accounts!N868</f>
        <v/>
      </c>
      <c r="D868" s="94" t="n"/>
      <c r="E868" s="93">
        <f>Accounts!F868</f>
        <v/>
      </c>
      <c r="F868" s="94">
        <f>Accounts!Q868</f>
        <v/>
      </c>
      <c r="G868" s="94">
        <f>Accounts!R868</f>
        <v/>
      </c>
      <c r="H868" s="94">
        <f>Accounts!I868</f>
        <v/>
      </c>
      <c r="I868" s="94">
        <f>Accounts!J868</f>
        <v/>
      </c>
      <c r="J868" s="93">
        <f>Accounts!S868</f>
        <v/>
      </c>
      <c r="K868" s="88" t="n"/>
      <c r="L868" s="95" t="n"/>
      <c r="M868" s="55" t="b">
        <v>0</v>
      </c>
      <c r="N868" s="96" t="b">
        <v>0</v>
      </c>
      <c r="O868" s="55" t="b">
        <v>0</v>
      </c>
      <c r="P868" s="55" t="b">
        <v>0</v>
      </c>
      <c r="Q868" s="55" t="b">
        <v>0</v>
      </c>
      <c r="R868" s="55" t="b">
        <v>0</v>
      </c>
      <c r="S868" s="55" t="b">
        <v>0</v>
      </c>
      <c r="T868" s="55" t="b">
        <v>0</v>
      </c>
      <c r="U868" s="55" t="b">
        <v>0</v>
      </c>
      <c r="V868" s="55" t="b">
        <v>0</v>
      </c>
    </row>
    <row r="869" ht="69" customHeight="1" s="211">
      <c r="A869" s="92">
        <f>Accounts!A869</f>
        <v/>
      </c>
      <c r="B869" s="12" t="b">
        <v>0</v>
      </c>
      <c r="C869" s="93">
        <f>Accounts!N869</f>
        <v/>
      </c>
      <c r="D869" s="94" t="n"/>
      <c r="E869" s="93">
        <f>Accounts!F869</f>
        <v/>
      </c>
      <c r="F869" s="94">
        <f>Accounts!Q869</f>
        <v/>
      </c>
      <c r="G869" s="94">
        <f>Accounts!R869</f>
        <v/>
      </c>
      <c r="H869" s="94">
        <f>Accounts!I869</f>
        <v/>
      </c>
      <c r="I869" s="94">
        <f>Accounts!J869</f>
        <v/>
      </c>
      <c r="J869" s="93">
        <f>Accounts!S869</f>
        <v/>
      </c>
      <c r="K869" s="88" t="n"/>
      <c r="L869" s="95" t="n"/>
      <c r="M869" s="55" t="b">
        <v>0</v>
      </c>
      <c r="N869" s="96" t="b">
        <v>0</v>
      </c>
      <c r="O869" s="55" t="b">
        <v>0</v>
      </c>
      <c r="P869" s="55" t="b">
        <v>0</v>
      </c>
      <c r="Q869" s="55" t="b">
        <v>0</v>
      </c>
      <c r="R869" s="55" t="b">
        <v>0</v>
      </c>
      <c r="S869" s="55" t="b">
        <v>0</v>
      </c>
      <c r="T869" s="55" t="b">
        <v>0</v>
      </c>
      <c r="U869" s="55" t="b">
        <v>0</v>
      </c>
      <c r="V869" s="55" t="b">
        <v>0</v>
      </c>
    </row>
    <row r="870" ht="69" customHeight="1" s="211">
      <c r="A870" s="92">
        <f>Accounts!A870</f>
        <v/>
      </c>
      <c r="B870" s="12" t="b">
        <v>0</v>
      </c>
      <c r="C870" s="93">
        <f>Accounts!N870</f>
        <v/>
      </c>
      <c r="D870" s="94" t="n"/>
      <c r="E870" s="93">
        <f>Accounts!F870</f>
        <v/>
      </c>
      <c r="F870" s="94">
        <f>Accounts!Q870</f>
        <v/>
      </c>
      <c r="G870" s="94">
        <f>Accounts!R870</f>
        <v/>
      </c>
      <c r="H870" s="94">
        <f>Accounts!I870</f>
        <v/>
      </c>
      <c r="I870" s="94">
        <f>Accounts!J870</f>
        <v/>
      </c>
      <c r="J870" s="93">
        <f>Accounts!S870</f>
        <v/>
      </c>
      <c r="K870" s="88" t="n"/>
      <c r="L870" s="95" t="n"/>
      <c r="M870" s="55" t="b">
        <v>0</v>
      </c>
      <c r="N870" s="96" t="b">
        <v>0</v>
      </c>
      <c r="O870" s="55" t="b">
        <v>0</v>
      </c>
      <c r="P870" s="55" t="b">
        <v>0</v>
      </c>
      <c r="Q870" s="55" t="b">
        <v>0</v>
      </c>
      <c r="R870" s="55" t="b">
        <v>0</v>
      </c>
      <c r="S870" s="55" t="b">
        <v>0</v>
      </c>
      <c r="T870" s="55" t="b">
        <v>0</v>
      </c>
      <c r="U870" s="55" t="b">
        <v>0</v>
      </c>
      <c r="V870" s="55" t="b">
        <v>0</v>
      </c>
    </row>
    <row r="871" ht="69" customHeight="1" s="211">
      <c r="A871" s="92">
        <f>Accounts!A871</f>
        <v/>
      </c>
      <c r="B871" s="12" t="b">
        <v>0</v>
      </c>
      <c r="C871" s="93">
        <f>Accounts!N871</f>
        <v/>
      </c>
      <c r="D871" s="94" t="n"/>
      <c r="E871" s="93">
        <f>Accounts!F871</f>
        <v/>
      </c>
      <c r="F871" s="94">
        <f>Accounts!Q871</f>
        <v/>
      </c>
      <c r="G871" s="94">
        <f>Accounts!R871</f>
        <v/>
      </c>
      <c r="H871" s="94">
        <f>Accounts!I871</f>
        <v/>
      </c>
      <c r="I871" s="94">
        <f>Accounts!J871</f>
        <v/>
      </c>
      <c r="J871" s="93">
        <f>Accounts!S871</f>
        <v/>
      </c>
      <c r="K871" s="88" t="n"/>
      <c r="L871" s="95" t="n"/>
      <c r="M871" s="55" t="b">
        <v>0</v>
      </c>
      <c r="N871" s="96" t="b">
        <v>0</v>
      </c>
      <c r="O871" s="55" t="b">
        <v>0</v>
      </c>
      <c r="P871" s="55" t="b">
        <v>0</v>
      </c>
      <c r="Q871" s="55" t="b">
        <v>0</v>
      </c>
      <c r="R871" s="55" t="b">
        <v>0</v>
      </c>
      <c r="S871" s="55" t="b">
        <v>0</v>
      </c>
      <c r="T871" s="55" t="b">
        <v>0</v>
      </c>
      <c r="U871" s="55" t="b">
        <v>0</v>
      </c>
      <c r="V871" s="55" t="b">
        <v>0</v>
      </c>
    </row>
    <row r="872" ht="69" customHeight="1" s="211">
      <c r="A872" s="92">
        <f>Accounts!A872</f>
        <v/>
      </c>
      <c r="B872" s="12" t="b">
        <v>0</v>
      </c>
      <c r="C872" s="93">
        <f>Accounts!N872</f>
        <v/>
      </c>
      <c r="D872" s="94" t="n"/>
      <c r="E872" s="93">
        <f>Accounts!F872</f>
        <v/>
      </c>
      <c r="F872" s="94">
        <f>Accounts!Q872</f>
        <v/>
      </c>
      <c r="G872" s="94">
        <f>Accounts!R872</f>
        <v/>
      </c>
      <c r="H872" s="94">
        <f>Accounts!I872</f>
        <v/>
      </c>
      <c r="I872" s="94">
        <f>Accounts!J872</f>
        <v/>
      </c>
      <c r="J872" s="93">
        <f>Accounts!S872</f>
        <v/>
      </c>
      <c r="K872" s="88" t="n"/>
      <c r="L872" s="95" t="n"/>
      <c r="M872" s="55" t="b">
        <v>0</v>
      </c>
      <c r="N872" s="96" t="b">
        <v>0</v>
      </c>
      <c r="O872" s="55" t="b">
        <v>0</v>
      </c>
      <c r="P872" s="55" t="b">
        <v>0</v>
      </c>
      <c r="Q872" s="55" t="b">
        <v>0</v>
      </c>
      <c r="R872" s="55" t="b">
        <v>0</v>
      </c>
      <c r="S872" s="55" t="b">
        <v>0</v>
      </c>
      <c r="T872" s="55" t="b">
        <v>0</v>
      </c>
      <c r="U872" s="55" t="b">
        <v>0</v>
      </c>
      <c r="V872" s="55" t="b">
        <v>0</v>
      </c>
    </row>
    <row r="873" ht="69" customHeight="1" s="211">
      <c r="A873" s="92">
        <f>Accounts!A873</f>
        <v/>
      </c>
      <c r="B873" s="12" t="b">
        <v>0</v>
      </c>
      <c r="C873" s="93">
        <f>Accounts!N873</f>
        <v/>
      </c>
      <c r="D873" s="94" t="n"/>
      <c r="E873" s="93">
        <f>Accounts!F873</f>
        <v/>
      </c>
      <c r="F873" s="94">
        <f>Accounts!Q873</f>
        <v/>
      </c>
      <c r="G873" s="94">
        <f>Accounts!R873</f>
        <v/>
      </c>
      <c r="H873" s="94">
        <f>Accounts!I873</f>
        <v/>
      </c>
      <c r="I873" s="94">
        <f>Accounts!J873</f>
        <v/>
      </c>
      <c r="J873" s="93">
        <f>Accounts!S873</f>
        <v/>
      </c>
      <c r="K873" s="88" t="n"/>
      <c r="L873" s="95" t="n"/>
      <c r="M873" s="55" t="b">
        <v>0</v>
      </c>
      <c r="N873" s="96" t="b">
        <v>0</v>
      </c>
      <c r="O873" s="55" t="b">
        <v>0</v>
      </c>
      <c r="P873" s="55" t="b">
        <v>0</v>
      </c>
      <c r="Q873" s="55" t="b">
        <v>0</v>
      </c>
      <c r="R873" s="55" t="b">
        <v>0</v>
      </c>
      <c r="S873" s="55" t="b">
        <v>0</v>
      </c>
      <c r="T873" s="55" t="b">
        <v>0</v>
      </c>
      <c r="U873" s="55" t="b">
        <v>0</v>
      </c>
      <c r="V873" s="55" t="b">
        <v>0</v>
      </c>
    </row>
    <row r="874" ht="69" customHeight="1" s="211">
      <c r="A874" s="92">
        <f>Accounts!A874</f>
        <v/>
      </c>
      <c r="B874" s="12" t="b">
        <v>0</v>
      </c>
      <c r="C874" s="93">
        <f>Accounts!N874</f>
        <v/>
      </c>
      <c r="D874" s="94" t="n"/>
      <c r="E874" s="93">
        <f>Accounts!F874</f>
        <v/>
      </c>
      <c r="F874" s="94">
        <f>Accounts!Q874</f>
        <v/>
      </c>
      <c r="G874" s="94">
        <f>Accounts!R874</f>
        <v/>
      </c>
      <c r="H874" s="94">
        <f>Accounts!I874</f>
        <v/>
      </c>
      <c r="I874" s="94">
        <f>Accounts!J874</f>
        <v/>
      </c>
      <c r="J874" s="93">
        <f>Accounts!S874</f>
        <v/>
      </c>
      <c r="K874" s="88" t="n"/>
      <c r="L874" s="95" t="n"/>
      <c r="M874" s="55" t="b">
        <v>0</v>
      </c>
      <c r="N874" s="96" t="b">
        <v>0</v>
      </c>
      <c r="O874" s="55" t="b">
        <v>0</v>
      </c>
      <c r="P874" s="55" t="b">
        <v>0</v>
      </c>
      <c r="Q874" s="55" t="b">
        <v>0</v>
      </c>
      <c r="R874" s="55" t="b">
        <v>0</v>
      </c>
      <c r="S874" s="55" t="b">
        <v>0</v>
      </c>
      <c r="T874" s="55" t="b">
        <v>0</v>
      </c>
      <c r="U874" s="55" t="b">
        <v>0</v>
      </c>
      <c r="V874" s="55" t="b">
        <v>0</v>
      </c>
    </row>
    <row r="875" ht="69" customHeight="1" s="211">
      <c r="A875" s="92">
        <f>Accounts!A875</f>
        <v/>
      </c>
      <c r="B875" s="12" t="b">
        <v>0</v>
      </c>
      <c r="C875" s="93">
        <f>Accounts!N875</f>
        <v/>
      </c>
      <c r="D875" s="94" t="n"/>
      <c r="E875" s="93">
        <f>Accounts!F875</f>
        <v/>
      </c>
      <c r="F875" s="94">
        <f>Accounts!Q875</f>
        <v/>
      </c>
      <c r="G875" s="94">
        <f>Accounts!R875</f>
        <v/>
      </c>
      <c r="H875" s="94">
        <f>Accounts!I875</f>
        <v/>
      </c>
      <c r="I875" s="94">
        <f>Accounts!J875</f>
        <v/>
      </c>
      <c r="J875" s="93">
        <f>Accounts!S875</f>
        <v/>
      </c>
      <c r="K875" s="88" t="n"/>
      <c r="L875" s="95" t="n"/>
      <c r="M875" s="55" t="b">
        <v>0</v>
      </c>
      <c r="N875" s="96" t="b">
        <v>0</v>
      </c>
      <c r="O875" s="55" t="b">
        <v>0</v>
      </c>
      <c r="P875" s="55" t="b">
        <v>0</v>
      </c>
      <c r="Q875" s="55" t="b">
        <v>0</v>
      </c>
      <c r="R875" s="55" t="b">
        <v>0</v>
      </c>
      <c r="S875" s="55" t="b">
        <v>0</v>
      </c>
      <c r="T875" s="55" t="b">
        <v>0</v>
      </c>
      <c r="U875" s="55" t="b">
        <v>0</v>
      </c>
      <c r="V875" s="55" t="b">
        <v>0</v>
      </c>
    </row>
    <row r="876" ht="69" customHeight="1" s="211">
      <c r="A876" s="92">
        <f>Accounts!A876</f>
        <v/>
      </c>
      <c r="B876" s="12" t="b">
        <v>0</v>
      </c>
      <c r="C876" s="93">
        <f>Accounts!N876</f>
        <v/>
      </c>
      <c r="D876" s="94" t="n"/>
      <c r="E876" s="93">
        <f>Accounts!F876</f>
        <v/>
      </c>
      <c r="F876" s="94">
        <f>Accounts!Q876</f>
        <v/>
      </c>
      <c r="G876" s="94">
        <f>Accounts!R876</f>
        <v/>
      </c>
      <c r="H876" s="94">
        <f>Accounts!I876</f>
        <v/>
      </c>
      <c r="I876" s="94">
        <f>Accounts!J876</f>
        <v/>
      </c>
      <c r="J876" s="93">
        <f>Accounts!S876</f>
        <v/>
      </c>
      <c r="K876" s="88" t="n"/>
      <c r="L876" s="95" t="n"/>
      <c r="M876" s="55" t="b">
        <v>0</v>
      </c>
      <c r="N876" s="96" t="b">
        <v>0</v>
      </c>
      <c r="O876" s="55" t="b">
        <v>0</v>
      </c>
      <c r="P876" s="55" t="b">
        <v>0</v>
      </c>
      <c r="Q876" s="55" t="b">
        <v>0</v>
      </c>
      <c r="R876" s="55" t="b">
        <v>0</v>
      </c>
      <c r="S876" s="55" t="b">
        <v>0</v>
      </c>
      <c r="T876" s="55" t="b">
        <v>0</v>
      </c>
      <c r="U876" s="55" t="b">
        <v>0</v>
      </c>
      <c r="V876" s="55" t="b">
        <v>0</v>
      </c>
    </row>
    <row r="877" ht="69" customHeight="1" s="211">
      <c r="A877" s="92">
        <f>Accounts!A877</f>
        <v/>
      </c>
      <c r="B877" s="12" t="b">
        <v>0</v>
      </c>
      <c r="C877" s="93">
        <f>Accounts!N877</f>
        <v/>
      </c>
      <c r="D877" s="94" t="n"/>
      <c r="E877" s="93">
        <f>Accounts!F877</f>
        <v/>
      </c>
      <c r="F877" s="94">
        <f>Accounts!Q877</f>
        <v/>
      </c>
      <c r="G877" s="94">
        <f>Accounts!R877</f>
        <v/>
      </c>
      <c r="H877" s="94">
        <f>Accounts!I877</f>
        <v/>
      </c>
      <c r="I877" s="94">
        <f>Accounts!J877</f>
        <v/>
      </c>
      <c r="J877" s="93">
        <f>Accounts!S877</f>
        <v/>
      </c>
      <c r="K877" s="88" t="n"/>
      <c r="L877" s="95" t="n"/>
      <c r="M877" s="55" t="b">
        <v>0</v>
      </c>
      <c r="N877" s="96" t="b">
        <v>0</v>
      </c>
      <c r="O877" s="55" t="b">
        <v>0</v>
      </c>
      <c r="P877" s="55" t="b">
        <v>0</v>
      </c>
      <c r="Q877" s="55" t="b">
        <v>0</v>
      </c>
      <c r="R877" s="55" t="b">
        <v>0</v>
      </c>
      <c r="S877" s="55" t="b">
        <v>0</v>
      </c>
      <c r="T877" s="55" t="b">
        <v>0</v>
      </c>
      <c r="U877" s="55" t="b">
        <v>0</v>
      </c>
      <c r="V877" s="55" t="b">
        <v>0</v>
      </c>
    </row>
    <row r="878" ht="69" customHeight="1" s="211">
      <c r="A878" s="92">
        <f>Accounts!A878</f>
        <v/>
      </c>
      <c r="B878" s="12" t="b">
        <v>0</v>
      </c>
      <c r="C878" s="93">
        <f>Accounts!N878</f>
        <v/>
      </c>
      <c r="D878" s="94" t="n"/>
      <c r="E878" s="93">
        <f>Accounts!F878</f>
        <v/>
      </c>
      <c r="F878" s="94">
        <f>Accounts!Q878</f>
        <v/>
      </c>
      <c r="G878" s="94">
        <f>Accounts!R878</f>
        <v/>
      </c>
      <c r="H878" s="94">
        <f>Accounts!I878</f>
        <v/>
      </c>
      <c r="I878" s="94">
        <f>Accounts!J878</f>
        <v/>
      </c>
      <c r="J878" s="93">
        <f>Accounts!S878</f>
        <v/>
      </c>
      <c r="K878" s="88" t="n"/>
      <c r="L878" s="95" t="n"/>
      <c r="M878" s="55" t="b">
        <v>0</v>
      </c>
      <c r="N878" s="96" t="b">
        <v>0</v>
      </c>
      <c r="O878" s="55" t="b">
        <v>0</v>
      </c>
      <c r="P878" s="55" t="b">
        <v>0</v>
      </c>
      <c r="Q878" s="55" t="b">
        <v>0</v>
      </c>
      <c r="R878" s="55" t="b">
        <v>0</v>
      </c>
      <c r="S878" s="55" t="b">
        <v>0</v>
      </c>
      <c r="T878" s="55" t="b">
        <v>0</v>
      </c>
      <c r="U878" s="55" t="b">
        <v>0</v>
      </c>
      <c r="V878" s="55" t="b">
        <v>0</v>
      </c>
    </row>
    <row r="879" ht="69" customHeight="1" s="211">
      <c r="A879" s="92">
        <f>Accounts!A879</f>
        <v/>
      </c>
      <c r="B879" s="12" t="b">
        <v>0</v>
      </c>
      <c r="C879" s="93">
        <f>Accounts!N879</f>
        <v/>
      </c>
      <c r="D879" s="94" t="n"/>
      <c r="E879" s="93">
        <f>Accounts!F879</f>
        <v/>
      </c>
      <c r="F879" s="94">
        <f>Accounts!Q879</f>
        <v/>
      </c>
      <c r="G879" s="94">
        <f>Accounts!R879</f>
        <v/>
      </c>
      <c r="H879" s="94">
        <f>Accounts!I879</f>
        <v/>
      </c>
      <c r="I879" s="94">
        <f>Accounts!J879</f>
        <v/>
      </c>
      <c r="J879" s="93">
        <f>Accounts!S879</f>
        <v/>
      </c>
      <c r="K879" s="88" t="n"/>
      <c r="L879" s="95" t="n"/>
      <c r="M879" s="55" t="b">
        <v>0</v>
      </c>
      <c r="N879" s="96" t="b">
        <v>0</v>
      </c>
      <c r="O879" s="55" t="b">
        <v>0</v>
      </c>
      <c r="P879" s="55" t="b">
        <v>0</v>
      </c>
      <c r="Q879" s="55" t="b">
        <v>0</v>
      </c>
      <c r="R879" s="55" t="b">
        <v>0</v>
      </c>
      <c r="S879" s="55" t="b">
        <v>0</v>
      </c>
      <c r="T879" s="55" t="b">
        <v>0</v>
      </c>
      <c r="U879" s="55" t="b">
        <v>0</v>
      </c>
      <c r="V879" s="55" t="b">
        <v>0</v>
      </c>
    </row>
    <row r="880" ht="69" customHeight="1" s="211">
      <c r="A880" s="92">
        <f>Accounts!A880</f>
        <v/>
      </c>
      <c r="B880" s="12" t="b">
        <v>0</v>
      </c>
      <c r="C880" s="93">
        <f>Accounts!N880</f>
        <v/>
      </c>
      <c r="D880" s="94" t="n"/>
      <c r="E880" s="93">
        <f>Accounts!F880</f>
        <v/>
      </c>
      <c r="F880" s="94">
        <f>Accounts!Q880</f>
        <v/>
      </c>
      <c r="G880" s="94">
        <f>Accounts!R880</f>
        <v/>
      </c>
      <c r="H880" s="94">
        <f>Accounts!I880</f>
        <v/>
      </c>
      <c r="I880" s="94">
        <f>Accounts!J880</f>
        <v/>
      </c>
      <c r="J880" s="93">
        <f>Accounts!S880</f>
        <v/>
      </c>
      <c r="K880" s="88" t="n"/>
      <c r="L880" s="95" t="n"/>
      <c r="M880" s="55" t="b">
        <v>0</v>
      </c>
      <c r="N880" s="96" t="b">
        <v>0</v>
      </c>
      <c r="O880" s="55" t="b">
        <v>0</v>
      </c>
      <c r="P880" s="55" t="b">
        <v>0</v>
      </c>
      <c r="Q880" s="55" t="b">
        <v>0</v>
      </c>
      <c r="R880" s="55" t="b">
        <v>0</v>
      </c>
      <c r="S880" s="55" t="b">
        <v>0</v>
      </c>
      <c r="T880" s="55" t="b">
        <v>0</v>
      </c>
      <c r="U880" s="55" t="b">
        <v>0</v>
      </c>
      <c r="V880" s="55" t="b">
        <v>0</v>
      </c>
    </row>
    <row r="881" ht="69" customHeight="1" s="211">
      <c r="A881" s="92">
        <f>Accounts!A881</f>
        <v/>
      </c>
      <c r="B881" s="12" t="b">
        <v>0</v>
      </c>
      <c r="C881" s="93">
        <f>Accounts!N881</f>
        <v/>
      </c>
      <c r="D881" s="94" t="n"/>
      <c r="E881" s="93">
        <f>Accounts!F881</f>
        <v/>
      </c>
      <c r="F881" s="94">
        <f>Accounts!Q881</f>
        <v/>
      </c>
      <c r="G881" s="94">
        <f>Accounts!R881</f>
        <v/>
      </c>
      <c r="H881" s="94">
        <f>Accounts!I881</f>
        <v/>
      </c>
      <c r="I881" s="94">
        <f>Accounts!J881</f>
        <v/>
      </c>
      <c r="J881" s="93">
        <f>Accounts!S881</f>
        <v/>
      </c>
      <c r="K881" s="88" t="n"/>
      <c r="L881" s="95" t="n"/>
      <c r="M881" s="55" t="b">
        <v>0</v>
      </c>
      <c r="N881" s="96" t="b">
        <v>0</v>
      </c>
      <c r="O881" s="55" t="b">
        <v>0</v>
      </c>
      <c r="P881" s="55" t="b">
        <v>0</v>
      </c>
      <c r="Q881" s="55" t="b">
        <v>0</v>
      </c>
      <c r="R881" s="55" t="b">
        <v>0</v>
      </c>
      <c r="S881" s="55" t="b">
        <v>0</v>
      </c>
      <c r="T881" s="55" t="b">
        <v>0</v>
      </c>
      <c r="U881" s="55" t="b">
        <v>0</v>
      </c>
      <c r="V881" s="55" t="b">
        <v>0</v>
      </c>
    </row>
    <row r="882" ht="69" customHeight="1" s="211">
      <c r="A882" s="92">
        <f>Accounts!A882</f>
        <v/>
      </c>
      <c r="B882" s="12" t="b">
        <v>0</v>
      </c>
      <c r="C882" s="93">
        <f>Accounts!N882</f>
        <v/>
      </c>
      <c r="D882" s="94" t="n"/>
      <c r="E882" s="93">
        <f>Accounts!F882</f>
        <v/>
      </c>
      <c r="F882" s="94">
        <f>Accounts!Q882</f>
        <v/>
      </c>
      <c r="G882" s="94">
        <f>Accounts!R882</f>
        <v/>
      </c>
      <c r="H882" s="94">
        <f>Accounts!I882</f>
        <v/>
      </c>
      <c r="I882" s="94">
        <f>Accounts!J882</f>
        <v/>
      </c>
      <c r="J882" s="93">
        <f>Accounts!S882</f>
        <v/>
      </c>
      <c r="K882" s="88" t="n"/>
      <c r="L882" s="95" t="n"/>
      <c r="M882" s="55" t="b">
        <v>0</v>
      </c>
      <c r="N882" s="96" t="b">
        <v>0</v>
      </c>
      <c r="O882" s="55" t="b">
        <v>0</v>
      </c>
      <c r="P882" s="55" t="b">
        <v>0</v>
      </c>
      <c r="Q882" s="55" t="b">
        <v>0</v>
      </c>
      <c r="R882" s="55" t="b">
        <v>0</v>
      </c>
      <c r="S882" s="55" t="b">
        <v>0</v>
      </c>
      <c r="T882" s="55" t="b">
        <v>0</v>
      </c>
      <c r="U882" s="55" t="b">
        <v>0</v>
      </c>
      <c r="V882" s="55" t="b">
        <v>0</v>
      </c>
    </row>
    <row r="883" ht="69" customHeight="1" s="211">
      <c r="A883" s="92">
        <f>Accounts!A883</f>
        <v/>
      </c>
      <c r="B883" s="12" t="b">
        <v>0</v>
      </c>
      <c r="C883" s="93">
        <f>Accounts!N883</f>
        <v/>
      </c>
      <c r="D883" s="94" t="n"/>
      <c r="E883" s="93">
        <f>Accounts!F883</f>
        <v/>
      </c>
      <c r="F883" s="94">
        <f>Accounts!Q883</f>
        <v/>
      </c>
      <c r="G883" s="94">
        <f>Accounts!R883</f>
        <v/>
      </c>
      <c r="H883" s="94">
        <f>Accounts!I883</f>
        <v/>
      </c>
      <c r="I883" s="94">
        <f>Accounts!J883</f>
        <v/>
      </c>
      <c r="J883" s="93">
        <f>Accounts!S883</f>
        <v/>
      </c>
      <c r="K883" s="88" t="n"/>
      <c r="L883" s="95" t="n"/>
      <c r="M883" s="55" t="b">
        <v>0</v>
      </c>
      <c r="N883" s="96" t="b">
        <v>0</v>
      </c>
      <c r="O883" s="55" t="b">
        <v>0</v>
      </c>
      <c r="P883" s="55" t="b">
        <v>0</v>
      </c>
      <c r="Q883" s="55" t="b">
        <v>0</v>
      </c>
      <c r="R883" s="55" t="b">
        <v>0</v>
      </c>
      <c r="S883" s="55" t="b">
        <v>0</v>
      </c>
      <c r="T883" s="55" t="b">
        <v>0</v>
      </c>
      <c r="U883" s="55" t="b">
        <v>0</v>
      </c>
      <c r="V883" s="55" t="b">
        <v>0</v>
      </c>
    </row>
    <row r="884" ht="69" customHeight="1" s="211">
      <c r="A884" s="92">
        <f>Accounts!A884</f>
        <v/>
      </c>
      <c r="B884" s="12" t="b">
        <v>0</v>
      </c>
      <c r="C884" s="93">
        <f>Accounts!N884</f>
        <v/>
      </c>
      <c r="D884" s="94" t="n"/>
      <c r="E884" s="93">
        <f>Accounts!F884</f>
        <v/>
      </c>
      <c r="F884" s="94">
        <f>Accounts!Q884</f>
        <v/>
      </c>
      <c r="G884" s="94">
        <f>Accounts!R884</f>
        <v/>
      </c>
      <c r="H884" s="94">
        <f>Accounts!I884</f>
        <v/>
      </c>
      <c r="I884" s="94">
        <f>Accounts!J884</f>
        <v/>
      </c>
      <c r="J884" s="93">
        <f>Accounts!S884</f>
        <v/>
      </c>
      <c r="K884" s="88" t="n"/>
      <c r="L884" s="95" t="n"/>
      <c r="M884" s="55" t="b">
        <v>0</v>
      </c>
      <c r="N884" s="96" t="b">
        <v>0</v>
      </c>
      <c r="O884" s="55" t="b">
        <v>0</v>
      </c>
      <c r="P884" s="55" t="b">
        <v>0</v>
      </c>
      <c r="Q884" s="55" t="b">
        <v>0</v>
      </c>
      <c r="R884" s="55" t="b">
        <v>0</v>
      </c>
      <c r="S884" s="55" t="b">
        <v>0</v>
      </c>
      <c r="T884" s="55" t="b">
        <v>0</v>
      </c>
      <c r="U884" s="55" t="b">
        <v>0</v>
      </c>
      <c r="V884" s="55" t="b">
        <v>0</v>
      </c>
    </row>
    <row r="885" ht="69" customHeight="1" s="211">
      <c r="A885" s="92">
        <f>Accounts!A885</f>
        <v/>
      </c>
      <c r="B885" s="12" t="b">
        <v>0</v>
      </c>
      <c r="C885" s="93">
        <f>Accounts!N885</f>
        <v/>
      </c>
      <c r="D885" s="94" t="n"/>
      <c r="E885" s="93">
        <f>Accounts!F885</f>
        <v/>
      </c>
      <c r="F885" s="94">
        <f>Accounts!Q885</f>
        <v/>
      </c>
      <c r="G885" s="94">
        <f>Accounts!R885</f>
        <v/>
      </c>
      <c r="H885" s="94">
        <f>Accounts!I885</f>
        <v/>
      </c>
      <c r="I885" s="94">
        <f>Accounts!J885</f>
        <v/>
      </c>
      <c r="J885" s="93">
        <f>Accounts!S885</f>
        <v/>
      </c>
      <c r="K885" s="88" t="n"/>
      <c r="L885" s="95" t="n"/>
      <c r="M885" s="55" t="b">
        <v>0</v>
      </c>
      <c r="N885" s="96" t="b">
        <v>0</v>
      </c>
      <c r="O885" s="55" t="b">
        <v>0</v>
      </c>
      <c r="P885" s="55" t="b">
        <v>0</v>
      </c>
      <c r="Q885" s="55" t="b">
        <v>0</v>
      </c>
      <c r="R885" s="55" t="b">
        <v>0</v>
      </c>
      <c r="S885" s="55" t="b">
        <v>0</v>
      </c>
      <c r="T885" s="55" t="b">
        <v>0</v>
      </c>
      <c r="U885" s="55" t="b">
        <v>0</v>
      </c>
      <c r="V885" s="55" t="b">
        <v>0</v>
      </c>
    </row>
    <row r="886" ht="69" customHeight="1" s="211">
      <c r="A886" s="92">
        <f>Accounts!A886</f>
        <v/>
      </c>
      <c r="B886" s="12" t="b">
        <v>0</v>
      </c>
      <c r="C886" s="93">
        <f>Accounts!N886</f>
        <v/>
      </c>
      <c r="D886" s="94" t="n"/>
      <c r="E886" s="93">
        <f>Accounts!F886</f>
        <v/>
      </c>
      <c r="F886" s="94">
        <f>Accounts!Q886</f>
        <v/>
      </c>
      <c r="G886" s="94">
        <f>Accounts!R886</f>
        <v/>
      </c>
      <c r="H886" s="94">
        <f>Accounts!I886</f>
        <v/>
      </c>
      <c r="I886" s="94">
        <f>Accounts!J886</f>
        <v/>
      </c>
      <c r="J886" s="93">
        <f>Accounts!S886</f>
        <v/>
      </c>
      <c r="K886" s="88" t="n"/>
      <c r="L886" s="95" t="n"/>
      <c r="M886" s="55" t="b">
        <v>0</v>
      </c>
      <c r="N886" s="96" t="b">
        <v>0</v>
      </c>
      <c r="O886" s="55" t="b">
        <v>0</v>
      </c>
      <c r="P886" s="55" t="b">
        <v>0</v>
      </c>
      <c r="Q886" s="55" t="b">
        <v>0</v>
      </c>
      <c r="R886" s="55" t="b">
        <v>0</v>
      </c>
      <c r="S886" s="55" t="b">
        <v>0</v>
      </c>
      <c r="T886" s="55" t="b">
        <v>0</v>
      </c>
      <c r="U886" s="55" t="b">
        <v>0</v>
      </c>
      <c r="V886" s="55" t="b">
        <v>0</v>
      </c>
    </row>
    <row r="887" ht="69" customHeight="1" s="211">
      <c r="A887" s="92">
        <f>Accounts!A887</f>
        <v/>
      </c>
      <c r="B887" s="12" t="b">
        <v>0</v>
      </c>
      <c r="C887" s="93">
        <f>Accounts!N887</f>
        <v/>
      </c>
      <c r="D887" s="94" t="n"/>
      <c r="E887" s="93">
        <f>Accounts!F887</f>
        <v/>
      </c>
      <c r="F887" s="94">
        <f>Accounts!Q887</f>
        <v/>
      </c>
      <c r="G887" s="94">
        <f>Accounts!R887</f>
        <v/>
      </c>
      <c r="H887" s="94">
        <f>Accounts!I887</f>
        <v/>
      </c>
      <c r="I887" s="94">
        <f>Accounts!J887</f>
        <v/>
      </c>
      <c r="J887" s="93">
        <f>Accounts!S887</f>
        <v/>
      </c>
      <c r="K887" s="88" t="n"/>
      <c r="L887" s="95" t="n"/>
      <c r="M887" s="55" t="b">
        <v>0</v>
      </c>
      <c r="N887" s="96" t="b">
        <v>0</v>
      </c>
      <c r="O887" s="55" t="b">
        <v>0</v>
      </c>
      <c r="P887" s="55" t="b">
        <v>0</v>
      </c>
      <c r="Q887" s="55" t="b">
        <v>0</v>
      </c>
      <c r="R887" s="55" t="b">
        <v>0</v>
      </c>
      <c r="S887" s="55" t="b">
        <v>0</v>
      </c>
      <c r="T887" s="55" t="b">
        <v>0</v>
      </c>
      <c r="U887" s="55" t="b">
        <v>0</v>
      </c>
      <c r="V887" s="55" t="b">
        <v>0</v>
      </c>
    </row>
    <row r="888" ht="69" customHeight="1" s="211">
      <c r="A888" s="92">
        <f>Accounts!A888</f>
        <v/>
      </c>
      <c r="B888" s="12" t="b">
        <v>0</v>
      </c>
      <c r="C888" s="93">
        <f>Accounts!N888</f>
        <v/>
      </c>
      <c r="D888" s="94" t="n"/>
      <c r="E888" s="93">
        <f>Accounts!F888</f>
        <v/>
      </c>
      <c r="F888" s="94">
        <f>Accounts!Q888</f>
        <v/>
      </c>
      <c r="G888" s="94">
        <f>Accounts!R888</f>
        <v/>
      </c>
      <c r="H888" s="94">
        <f>Accounts!I888</f>
        <v/>
      </c>
      <c r="I888" s="94">
        <f>Accounts!J888</f>
        <v/>
      </c>
      <c r="J888" s="93">
        <f>Accounts!S888</f>
        <v/>
      </c>
      <c r="K888" s="88" t="n"/>
      <c r="L888" s="95" t="n"/>
      <c r="M888" s="55" t="b">
        <v>0</v>
      </c>
      <c r="N888" s="96" t="b">
        <v>0</v>
      </c>
      <c r="O888" s="55" t="b">
        <v>0</v>
      </c>
      <c r="P888" s="55" t="b">
        <v>0</v>
      </c>
      <c r="Q888" s="55" t="b">
        <v>0</v>
      </c>
      <c r="R888" s="55" t="b">
        <v>0</v>
      </c>
      <c r="S888" s="55" t="b">
        <v>0</v>
      </c>
      <c r="T888" s="55" t="b">
        <v>0</v>
      </c>
      <c r="U888" s="55" t="b">
        <v>0</v>
      </c>
      <c r="V888" s="55" t="b">
        <v>0</v>
      </c>
    </row>
    <row r="889" ht="69" customHeight="1" s="211">
      <c r="A889" s="92">
        <f>Accounts!A889</f>
        <v/>
      </c>
      <c r="B889" s="12" t="b">
        <v>0</v>
      </c>
      <c r="C889" s="93">
        <f>Accounts!N889</f>
        <v/>
      </c>
      <c r="D889" s="94" t="n"/>
      <c r="E889" s="93">
        <f>Accounts!F889</f>
        <v/>
      </c>
      <c r="F889" s="94">
        <f>Accounts!Q889</f>
        <v/>
      </c>
      <c r="G889" s="94">
        <f>Accounts!R889</f>
        <v/>
      </c>
      <c r="H889" s="94">
        <f>Accounts!I889</f>
        <v/>
      </c>
      <c r="I889" s="94">
        <f>Accounts!J889</f>
        <v/>
      </c>
      <c r="J889" s="93">
        <f>Accounts!S889</f>
        <v/>
      </c>
      <c r="K889" s="88" t="n"/>
      <c r="L889" s="95" t="n"/>
      <c r="M889" s="55" t="b">
        <v>0</v>
      </c>
      <c r="N889" s="96" t="b">
        <v>0</v>
      </c>
      <c r="O889" s="55" t="b">
        <v>0</v>
      </c>
      <c r="P889" s="55" t="b">
        <v>0</v>
      </c>
      <c r="Q889" s="55" t="b">
        <v>0</v>
      </c>
      <c r="R889" s="55" t="b">
        <v>0</v>
      </c>
      <c r="S889" s="55" t="b">
        <v>0</v>
      </c>
      <c r="T889" s="55" t="b">
        <v>0</v>
      </c>
      <c r="U889" s="55" t="b">
        <v>0</v>
      </c>
      <c r="V889" s="55" t="b">
        <v>0</v>
      </c>
    </row>
    <row r="890" ht="69" customHeight="1" s="211">
      <c r="A890" s="92">
        <f>Accounts!A890</f>
        <v/>
      </c>
      <c r="B890" s="12" t="b">
        <v>0</v>
      </c>
      <c r="C890" s="93">
        <f>Accounts!N890</f>
        <v/>
      </c>
      <c r="D890" s="94" t="n"/>
      <c r="E890" s="93">
        <f>Accounts!F890</f>
        <v/>
      </c>
      <c r="F890" s="94">
        <f>Accounts!Q890</f>
        <v/>
      </c>
      <c r="G890" s="94">
        <f>Accounts!R890</f>
        <v/>
      </c>
      <c r="H890" s="94">
        <f>Accounts!I890</f>
        <v/>
      </c>
      <c r="I890" s="94">
        <f>Accounts!J890</f>
        <v/>
      </c>
      <c r="J890" s="93">
        <f>Accounts!S890</f>
        <v/>
      </c>
      <c r="K890" s="88" t="n"/>
      <c r="L890" s="95" t="n"/>
      <c r="M890" s="55" t="b">
        <v>0</v>
      </c>
      <c r="N890" s="96" t="b">
        <v>0</v>
      </c>
      <c r="O890" s="55" t="b">
        <v>0</v>
      </c>
      <c r="P890" s="55" t="b">
        <v>0</v>
      </c>
      <c r="Q890" s="55" t="b">
        <v>0</v>
      </c>
      <c r="R890" s="55" t="b">
        <v>0</v>
      </c>
      <c r="S890" s="55" t="b">
        <v>0</v>
      </c>
      <c r="T890" s="55" t="b">
        <v>0</v>
      </c>
      <c r="U890" s="55" t="b">
        <v>0</v>
      </c>
      <c r="V890" s="55" t="b">
        <v>0</v>
      </c>
    </row>
    <row r="891" ht="69" customHeight="1" s="211">
      <c r="A891" s="92">
        <f>Accounts!A891</f>
        <v/>
      </c>
      <c r="B891" s="12" t="b">
        <v>0</v>
      </c>
      <c r="C891" s="93">
        <f>Accounts!N891</f>
        <v/>
      </c>
      <c r="D891" s="94" t="n"/>
      <c r="E891" s="93">
        <f>Accounts!F891</f>
        <v/>
      </c>
      <c r="F891" s="94">
        <f>Accounts!Q891</f>
        <v/>
      </c>
      <c r="G891" s="94">
        <f>Accounts!R891</f>
        <v/>
      </c>
      <c r="H891" s="94">
        <f>Accounts!I891</f>
        <v/>
      </c>
      <c r="I891" s="94">
        <f>Accounts!J891</f>
        <v/>
      </c>
      <c r="J891" s="93">
        <f>Accounts!S891</f>
        <v/>
      </c>
      <c r="K891" s="88" t="n"/>
      <c r="L891" s="95" t="n"/>
      <c r="M891" s="55" t="b">
        <v>0</v>
      </c>
      <c r="N891" s="96" t="b">
        <v>0</v>
      </c>
      <c r="O891" s="55" t="b">
        <v>0</v>
      </c>
      <c r="P891" s="55" t="b">
        <v>0</v>
      </c>
      <c r="Q891" s="55" t="b">
        <v>0</v>
      </c>
      <c r="R891" s="55" t="b">
        <v>0</v>
      </c>
      <c r="S891" s="55" t="b">
        <v>0</v>
      </c>
      <c r="T891" s="55" t="b">
        <v>0</v>
      </c>
      <c r="U891" s="55" t="b">
        <v>0</v>
      </c>
      <c r="V891" s="55" t="b">
        <v>0</v>
      </c>
    </row>
    <row r="892" ht="69" customHeight="1" s="211">
      <c r="A892" s="92">
        <f>Accounts!A892</f>
        <v/>
      </c>
      <c r="B892" s="12" t="b">
        <v>0</v>
      </c>
      <c r="C892" s="93">
        <f>Accounts!N892</f>
        <v/>
      </c>
      <c r="D892" s="94" t="n"/>
      <c r="E892" s="93">
        <f>Accounts!F892</f>
        <v/>
      </c>
      <c r="F892" s="94">
        <f>Accounts!Q892</f>
        <v/>
      </c>
      <c r="G892" s="94">
        <f>Accounts!R892</f>
        <v/>
      </c>
      <c r="H892" s="94">
        <f>Accounts!I892</f>
        <v/>
      </c>
      <c r="I892" s="94">
        <f>Accounts!J892</f>
        <v/>
      </c>
      <c r="J892" s="93">
        <f>Accounts!S892</f>
        <v/>
      </c>
      <c r="K892" s="88" t="n"/>
      <c r="L892" s="95" t="n"/>
      <c r="M892" s="55" t="b">
        <v>0</v>
      </c>
      <c r="N892" s="96" t="b">
        <v>0</v>
      </c>
      <c r="O892" s="55" t="b">
        <v>0</v>
      </c>
      <c r="P892" s="55" t="b">
        <v>0</v>
      </c>
      <c r="Q892" s="55" t="b">
        <v>0</v>
      </c>
      <c r="R892" s="55" t="b">
        <v>0</v>
      </c>
      <c r="S892" s="55" t="b">
        <v>0</v>
      </c>
      <c r="T892" s="55" t="b">
        <v>0</v>
      </c>
      <c r="U892" s="55" t="b">
        <v>0</v>
      </c>
      <c r="V892" s="55" t="b">
        <v>0</v>
      </c>
    </row>
    <row r="893" ht="69" customHeight="1" s="211">
      <c r="A893" s="92">
        <f>Accounts!A893</f>
        <v/>
      </c>
      <c r="B893" s="12" t="b">
        <v>0</v>
      </c>
      <c r="C893" s="93">
        <f>Accounts!N893</f>
        <v/>
      </c>
      <c r="D893" s="94" t="n"/>
      <c r="E893" s="93">
        <f>Accounts!F893</f>
        <v/>
      </c>
      <c r="F893" s="94">
        <f>Accounts!Q893</f>
        <v/>
      </c>
      <c r="G893" s="94">
        <f>Accounts!R893</f>
        <v/>
      </c>
      <c r="H893" s="94">
        <f>Accounts!I893</f>
        <v/>
      </c>
      <c r="I893" s="94">
        <f>Accounts!J893</f>
        <v/>
      </c>
      <c r="J893" s="93">
        <f>Accounts!S893</f>
        <v/>
      </c>
      <c r="K893" s="88" t="n"/>
      <c r="L893" s="95" t="n"/>
      <c r="M893" s="55" t="b">
        <v>0</v>
      </c>
      <c r="N893" s="96" t="b">
        <v>0</v>
      </c>
      <c r="O893" s="55" t="b">
        <v>0</v>
      </c>
      <c r="P893" s="55" t="b">
        <v>0</v>
      </c>
      <c r="Q893" s="55" t="b">
        <v>0</v>
      </c>
      <c r="R893" s="55" t="b">
        <v>0</v>
      </c>
      <c r="S893" s="55" t="b">
        <v>0</v>
      </c>
      <c r="T893" s="55" t="b">
        <v>0</v>
      </c>
      <c r="U893" s="55" t="b">
        <v>0</v>
      </c>
      <c r="V893" s="55" t="b">
        <v>0</v>
      </c>
    </row>
    <row r="894" ht="69" customHeight="1" s="211">
      <c r="A894" s="92">
        <f>Accounts!A894</f>
        <v/>
      </c>
      <c r="B894" s="12" t="b">
        <v>0</v>
      </c>
      <c r="C894" s="93">
        <f>Accounts!N894</f>
        <v/>
      </c>
      <c r="D894" s="94" t="n"/>
      <c r="E894" s="93">
        <f>Accounts!F894</f>
        <v/>
      </c>
      <c r="F894" s="94">
        <f>Accounts!Q894</f>
        <v/>
      </c>
      <c r="G894" s="94">
        <f>Accounts!R894</f>
        <v/>
      </c>
      <c r="H894" s="94">
        <f>Accounts!I894</f>
        <v/>
      </c>
      <c r="I894" s="94">
        <f>Accounts!J894</f>
        <v/>
      </c>
      <c r="J894" s="93">
        <f>Accounts!S894</f>
        <v/>
      </c>
      <c r="K894" s="88" t="n"/>
      <c r="L894" s="95" t="n"/>
      <c r="M894" s="55" t="b">
        <v>0</v>
      </c>
      <c r="N894" s="96" t="b">
        <v>0</v>
      </c>
      <c r="O894" s="55" t="b">
        <v>0</v>
      </c>
      <c r="P894" s="55" t="b">
        <v>0</v>
      </c>
      <c r="Q894" s="55" t="b">
        <v>0</v>
      </c>
      <c r="R894" s="55" t="b">
        <v>0</v>
      </c>
      <c r="S894" s="55" t="b">
        <v>0</v>
      </c>
      <c r="T894" s="55" t="b">
        <v>0</v>
      </c>
      <c r="U894" s="55" t="b">
        <v>0</v>
      </c>
      <c r="V894" s="55" t="b">
        <v>0</v>
      </c>
    </row>
    <row r="895" ht="69" customHeight="1" s="211">
      <c r="A895" s="92">
        <f>Accounts!A895</f>
        <v/>
      </c>
      <c r="B895" s="12" t="b">
        <v>0</v>
      </c>
      <c r="C895" s="93">
        <f>Accounts!N895</f>
        <v/>
      </c>
      <c r="D895" s="94" t="n"/>
      <c r="E895" s="93">
        <f>Accounts!F895</f>
        <v/>
      </c>
      <c r="F895" s="94">
        <f>Accounts!Q895</f>
        <v/>
      </c>
      <c r="G895" s="94">
        <f>Accounts!R895</f>
        <v/>
      </c>
      <c r="H895" s="94">
        <f>Accounts!I895</f>
        <v/>
      </c>
      <c r="I895" s="94">
        <f>Accounts!J895</f>
        <v/>
      </c>
      <c r="J895" s="93">
        <f>Accounts!S895</f>
        <v/>
      </c>
      <c r="K895" s="88" t="n"/>
      <c r="L895" s="95" t="n"/>
      <c r="M895" s="55" t="b">
        <v>0</v>
      </c>
      <c r="N895" s="96" t="b">
        <v>0</v>
      </c>
      <c r="O895" s="55" t="b">
        <v>0</v>
      </c>
      <c r="P895" s="55" t="b">
        <v>0</v>
      </c>
      <c r="Q895" s="55" t="b">
        <v>0</v>
      </c>
      <c r="R895" s="55" t="b">
        <v>0</v>
      </c>
      <c r="S895" s="55" t="b">
        <v>0</v>
      </c>
      <c r="T895" s="55" t="b">
        <v>0</v>
      </c>
      <c r="U895" s="55" t="b">
        <v>0</v>
      </c>
      <c r="V895" s="55" t="b">
        <v>0</v>
      </c>
    </row>
    <row r="896" ht="69" customHeight="1" s="211">
      <c r="A896" s="92">
        <f>Accounts!A896</f>
        <v/>
      </c>
      <c r="B896" s="12" t="b">
        <v>0</v>
      </c>
      <c r="C896" s="93">
        <f>Accounts!N896</f>
        <v/>
      </c>
      <c r="D896" s="94" t="n"/>
      <c r="E896" s="93">
        <f>Accounts!F896</f>
        <v/>
      </c>
      <c r="F896" s="94">
        <f>Accounts!Q896</f>
        <v/>
      </c>
      <c r="G896" s="94">
        <f>Accounts!R896</f>
        <v/>
      </c>
      <c r="H896" s="94">
        <f>Accounts!I896</f>
        <v/>
      </c>
      <c r="I896" s="94">
        <f>Accounts!J896</f>
        <v/>
      </c>
      <c r="J896" s="93">
        <f>Accounts!S896</f>
        <v/>
      </c>
      <c r="K896" s="88" t="n"/>
      <c r="L896" s="95" t="n"/>
      <c r="M896" s="55" t="b">
        <v>0</v>
      </c>
      <c r="N896" s="96" t="b">
        <v>0</v>
      </c>
      <c r="O896" s="55" t="b">
        <v>0</v>
      </c>
      <c r="P896" s="55" t="b">
        <v>0</v>
      </c>
      <c r="Q896" s="55" t="b">
        <v>0</v>
      </c>
      <c r="R896" s="55" t="b">
        <v>0</v>
      </c>
      <c r="S896" s="55" t="b">
        <v>0</v>
      </c>
      <c r="T896" s="55" t="b">
        <v>0</v>
      </c>
      <c r="U896" s="55" t="b">
        <v>0</v>
      </c>
      <c r="V896" s="55" t="b">
        <v>0</v>
      </c>
    </row>
    <row r="897" ht="69" customHeight="1" s="211">
      <c r="A897" s="92">
        <f>Accounts!A897</f>
        <v/>
      </c>
      <c r="B897" s="12" t="b">
        <v>0</v>
      </c>
      <c r="C897" s="93">
        <f>Accounts!N897</f>
        <v/>
      </c>
      <c r="D897" s="94" t="n"/>
      <c r="E897" s="93">
        <f>Accounts!F897</f>
        <v/>
      </c>
      <c r="F897" s="94">
        <f>Accounts!Q897</f>
        <v/>
      </c>
      <c r="G897" s="94">
        <f>Accounts!R897</f>
        <v/>
      </c>
      <c r="H897" s="94">
        <f>Accounts!I897</f>
        <v/>
      </c>
      <c r="I897" s="94">
        <f>Accounts!J897</f>
        <v/>
      </c>
      <c r="J897" s="93">
        <f>Accounts!S897</f>
        <v/>
      </c>
      <c r="K897" s="88" t="n"/>
      <c r="L897" s="95" t="n"/>
      <c r="M897" s="55" t="b">
        <v>0</v>
      </c>
      <c r="N897" s="96" t="b">
        <v>0</v>
      </c>
      <c r="O897" s="55" t="b">
        <v>0</v>
      </c>
      <c r="P897" s="55" t="b">
        <v>0</v>
      </c>
      <c r="Q897" s="55" t="b">
        <v>0</v>
      </c>
      <c r="R897" s="55" t="b">
        <v>0</v>
      </c>
      <c r="S897" s="55" t="b">
        <v>0</v>
      </c>
      <c r="T897" s="55" t="b">
        <v>0</v>
      </c>
      <c r="U897" s="55" t="b">
        <v>0</v>
      </c>
      <c r="V897" s="55" t="b">
        <v>0</v>
      </c>
    </row>
    <row r="898" ht="69" customHeight="1" s="211">
      <c r="A898" s="92">
        <f>Accounts!A898</f>
        <v/>
      </c>
      <c r="B898" s="12" t="b">
        <v>0</v>
      </c>
      <c r="C898" s="93">
        <f>Accounts!N898</f>
        <v/>
      </c>
      <c r="D898" s="94" t="n"/>
      <c r="E898" s="93">
        <f>Accounts!F898</f>
        <v/>
      </c>
      <c r="F898" s="94">
        <f>Accounts!Q898</f>
        <v/>
      </c>
      <c r="G898" s="94">
        <f>Accounts!R898</f>
        <v/>
      </c>
      <c r="H898" s="94">
        <f>Accounts!I898</f>
        <v/>
      </c>
      <c r="I898" s="94">
        <f>Accounts!J898</f>
        <v/>
      </c>
      <c r="J898" s="93">
        <f>Accounts!S898</f>
        <v/>
      </c>
      <c r="K898" s="88" t="n"/>
      <c r="L898" s="95" t="n"/>
      <c r="M898" s="55" t="b">
        <v>0</v>
      </c>
      <c r="N898" s="96" t="b">
        <v>0</v>
      </c>
      <c r="O898" s="55" t="b">
        <v>0</v>
      </c>
      <c r="P898" s="55" t="b">
        <v>0</v>
      </c>
      <c r="Q898" s="55" t="b">
        <v>0</v>
      </c>
      <c r="R898" s="55" t="b">
        <v>0</v>
      </c>
      <c r="S898" s="55" t="b">
        <v>0</v>
      </c>
      <c r="T898" s="55" t="b">
        <v>0</v>
      </c>
      <c r="U898" s="55" t="b">
        <v>0</v>
      </c>
      <c r="V898" s="55" t="b">
        <v>0</v>
      </c>
    </row>
    <row r="899" ht="69" customHeight="1" s="211">
      <c r="A899" s="92">
        <f>Accounts!A899</f>
        <v/>
      </c>
      <c r="B899" s="12" t="b">
        <v>0</v>
      </c>
      <c r="C899" s="93">
        <f>Accounts!N899</f>
        <v/>
      </c>
      <c r="D899" s="94" t="n"/>
      <c r="E899" s="93">
        <f>Accounts!F899</f>
        <v/>
      </c>
      <c r="F899" s="94">
        <f>Accounts!Q899</f>
        <v/>
      </c>
      <c r="G899" s="94">
        <f>Accounts!R899</f>
        <v/>
      </c>
      <c r="H899" s="94">
        <f>Accounts!I899</f>
        <v/>
      </c>
      <c r="I899" s="94">
        <f>Accounts!J899</f>
        <v/>
      </c>
      <c r="J899" s="93">
        <f>Accounts!S899</f>
        <v/>
      </c>
      <c r="K899" s="88" t="n"/>
      <c r="L899" s="95" t="n"/>
      <c r="M899" s="55" t="b">
        <v>0</v>
      </c>
      <c r="N899" s="96" t="b">
        <v>0</v>
      </c>
      <c r="O899" s="55" t="b">
        <v>0</v>
      </c>
      <c r="P899" s="55" t="b">
        <v>0</v>
      </c>
      <c r="Q899" s="55" t="b">
        <v>0</v>
      </c>
      <c r="R899" s="55" t="b">
        <v>0</v>
      </c>
      <c r="S899" s="55" t="b">
        <v>0</v>
      </c>
      <c r="T899" s="55" t="b">
        <v>0</v>
      </c>
      <c r="U899" s="55" t="b">
        <v>0</v>
      </c>
      <c r="V899" s="55" t="b">
        <v>0</v>
      </c>
    </row>
    <row r="900" ht="69" customHeight="1" s="211">
      <c r="A900" s="92">
        <f>Accounts!A900</f>
        <v/>
      </c>
      <c r="B900" s="12" t="b">
        <v>0</v>
      </c>
      <c r="C900" s="93">
        <f>Accounts!N900</f>
        <v/>
      </c>
      <c r="D900" s="94" t="n"/>
      <c r="E900" s="93">
        <f>Accounts!F900</f>
        <v/>
      </c>
      <c r="F900" s="94">
        <f>Accounts!Q900</f>
        <v/>
      </c>
      <c r="G900" s="94">
        <f>Accounts!R900</f>
        <v/>
      </c>
      <c r="H900" s="94">
        <f>Accounts!I900</f>
        <v/>
      </c>
      <c r="I900" s="94">
        <f>Accounts!J900</f>
        <v/>
      </c>
      <c r="J900" s="93">
        <f>Accounts!S900</f>
        <v/>
      </c>
      <c r="K900" s="88" t="n"/>
      <c r="L900" s="95" t="n"/>
      <c r="M900" s="55" t="b">
        <v>0</v>
      </c>
      <c r="N900" s="96" t="b">
        <v>0</v>
      </c>
      <c r="O900" s="55" t="b">
        <v>0</v>
      </c>
      <c r="P900" s="55" t="b">
        <v>0</v>
      </c>
      <c r="Q900" s="55" t="b">
        <v>0</v>
      </c>
      <c r="R900" s="55" t="b">
        <v>0</v>
      </c>
      <c r="S900" s="55" t="b">
        <v>0</v>
      </c>
      <c r="T900" s="55" t="b">
        <v>0</v>
      </c>
      <c r="U900" s="55" t="b">
        <v>0</v>
      </c>
      <c r="V900" s="55" t="b">
        <v>0</v>
      </c>
    </row>
    <row r="901" ht="69" customHeight="1" s="211">
      <c r="A901" s="92">
        <f>Accounts!A901</f>
        <v/>
      </c>
      <c r="B901" s="12" t="b">
        <v>0</v>
      </c>
      <c r="C901" s="93">
        <f>Accounts!N901</f>
        <v/>
      </c>
      <c r="D901" s="94" t="n"/>
      <c r="E901" s="93">
        <f>Accounts!F901</f>
        <v/>
      </c>
      <c r="F901" s="94">
        <f>Accounts!Q901</f>
        <v/>
      </c>
      <c r="G901" s="94">
        <f>Accounts!R901</f>
        <v/>
      </c>
      <c r="H901" s="94">
        <f>Accounts!I901</f>
        <v/>
      </c>
      <c r="I901" s="94">
        <f>Accounts!J901</f>
        <v/>
      </c>
      <c r="J901" s="93">
        <f>Accounts!S901</f>
        <v/>
      </c>
      <c r="K901" s="88" t="n"/>
      <c r="L901" s="95" t="n"/>
      <c r="M901" s="55" t="b">
        <v>0</v>
      </c>
      <c r="N901" s="96" t="b">
        <v>0</v>
      </c>
      <c r="O901" s="55" t="b">
        <v>0</v>
      </c>
      <c r="P901" s="55" t="b">
        <v>0</v>
      </c>
      <c r="Q901" s="55" t="b">
        <v>0</v>
      </c>
      <c r="R901" s="55" t="b">
        <v>0</v>
      </c>
      <c r="S901" s="55" t="b">
        <v>0</v>
      </c>
      <c r="T901" s="55" t="b">
        <v>0</v>
      </c>
      <c r="U901" s="55" t="b">
        <v>0</v>
      </c>
      <c r="V901" s="55" t="b">
        <v>0</v>
      </c>
    </row>
    <row r="902" ht="69" customHeight="1" s="211">
      <c r="A902" s="92">
        <f>Accounts!A902</f>
        <v/>
      </c>
      <c r="B902" s="12" t="b">
        <v>0</v>
      </c>
      <c r="C902" s="93">
        <f>Accounts!N902</f>
        <v/>
      </c>
      <c r="D902" s="94" t="n"/>
      <c r="E902" s="93">
        <f>Accounts!F902</f>
        <v/>
      </c>
      <c r="F902" s="94">
        <f>Accounts!Q902</f>
        <v/>
      </c>
      <c r="G902" s="94">
        <f>Accounts!R902</f>
        <v/>
      </c>
      <c r="H902" s="94">
        <f>Accounts!I902</f>
        <v/>
      </c>
      <c r="I902" s="94">
        <f>Accounts!J902</f>
        <v/>
      </c>
      <c r="J902" s="93">
        <f>Accounts!S902</f>
        <v/>
      </c>
      <c r="K902" s="88" t="n"/>
      <c r="L902" s="95" t="n"/>
      <c r="M902" s="55" t="b">
        <v>0</v>
      </c>
      <c r="N902" s="96" t="b">
        <v>0</v>
      </c>
      <c r="O902" s="55" t="b">
        <v>0</v>
      </c>
      <c r="P902" s="55" t="b">
        <v>0</v>
      </c>
      <c r="Q902" s="55" t="b">
        <v>0</v>
      </c>
      <c r="R902" s="55" t="b">
        <v>0</v>
      </c>
      <c r="S902" s="55" t="b">
        <v>0</v>
      </c>
      <c r="T902" s="55" t="b">
        <v>0</v>
      </c>
      <c r="U902" s="55" t="b">
        <v>0</v>
      </c>
      <c r="V902" s="55" t="b">
        <v>0</v>
      </c>
    </row>
    <row r="903" ht="69" customHeight="1" s="211">
      <c r="A903" s="92">
        <f>Accounts!A903</f>
        <v/>
      </c>
      <c r="B903" s="12" t="b">
        <v>0</v>
      </c>
      <c r="C903" s="93">
        <f>Accounts!N903</f>
        <v/>
      </c>
      <c r="D903" s="94" t="n"/>
      <c r="E903" s="93">
        <f>Accounts!F903</f>
        <v/>
      </c>
      <c r="F903" s="94">
        <f>Accounts!Q903</f>
        <v/>
      </c>
      <c r="G903" s="94">
        <f>Accounts!R903</f>
        <v/>
      </c>
      <c r="H903" s="94">
        <f>Accounts!I903</f>
        <v/>
      </c>
      <c r="I903" s="94">
        <f>Accounts!J903</f>
        <v/>
      </c>
      <c r="J903" s="93">
        <f>Accounts!S903</f>
        <v/>
      </c>
      <c r="K903" s="88" t="n"/>
      <c r="L903" s="95" t="n"/>
      <c r="M903" s="55" t="b">
        <v>0</v>
      </c>
      <c r="N903" s="96" t="b">
        <v>0</v>
      </c>
      <c r="O903" s="55" t="b">
        <v>0</v>
      </c>
      <c r="P903" s="55" t="b">
        <v>0</v>
      </c>
      <c r="Q903" s="55" t="b">
        <v>0</v>
      </c>
      <c r="R903" s="55" t="b">
        <v>0</v>
      </c>
      <c r="S903" s="55" t="b">
        <v>0</v>
      </c>
      <c r="T903" s="55" t="b">
        <v>0</v>
      </c>
      <c r="U903" s="55" t="b">
        <v>0</v>
      </c>
      <c r="V903" s="55" t="b">
        <v>0</v>
      </c>
    </row>
    <row r="904" ht="69" customHeight="1" s="211">
      <c r="A904" s="92">
        <f>Accounts!A904</f>
        <v/>
      </c>
      <c r="B904" s="12" t="b">
        <v>0</v>
      </c>
      <c r="C904" s="93">
        <f>Accounts!N904</f>
        <v/>
      </c>
      <c r="D904" s="94" t="n"/>
      <c r="E904" s="93">
        <f>Accounts!F904</f>
        <v/>
      </c>
      <c r="F904" s="94">
        <f>Accounts!Q904</f>
        <v/>
      </c>
      <c r="G904" s="94">
        <f>Accounts!R904</f>
        <v/>
      </c>
      <c r="H904" s="94">
        <f>Accounts!I904</f>
        <v/>
      </c>
      <c r="I904" s="94">
        <f>Accounts!J904</f>
        <v/>
      </c>
      <c r="J904" s="93">
        <f>Accounts!S904</f>
        <v/>
      </c>
      <c r="K904" s="88" t="n"/>
      <c r="L904" s="95" t="n"/>
      <c r="M904" s="55" t="b">
        <v>0</v>
      </c>
      <c r="N904" s="96" t="b">
        <v>0</v>
      </c>
      <c r="O904" s="55" t="b">
        <v>0</v>
      </c>
      <c r="P904" s="55" t="b">
        <v>0</v>
      </c>
      <c r="Q904" s="55" t="b">
        <v>0</v>
      </c>
      <c r="R904" s="55" t="b">
        <v>0</v>
      </c>
      <c r="S904" s="55" t="b">
        <v>0</v>
      </c>
      <c r="T904" s="55" t="b">
        <v>0</v>
      </c>
      <c r="U904" s="55" t="b">
        <v>0</v>
      </c>
      <c r="V904" s="55" t="b">
        <v>0</v>
      </c>
    </row>
    <row r="905" ht="69" customHeight="1" s="211">
      <c r="A905" s="92">
        <f>Accounts!A905</f>
        <v/>
      </c>
      <c r="B905" s="12" t="b">
        <v>0</v>
      </c>
      <c r="C905" s="93">
        <f>Accounts!N905</f>
        <v/>
      </c>
      <c r="D905" s="94" t="n"/>
      <c r="E905" s="93">
        <f>Accounts!F905</f>
        <v/>
      </c>
      <c r="F905" s="94">
        <f>Accounts!Q905</f>
        <v/>
      </c>
      <c r="G905" s="94">
        <f>Accounts!R905</f>
        <v/>
      </c>
      <c r="H905" s="94">
        <f>Accounts!I905</f>
        <v/>
      </c>
      <c r="I905" s="94">
        <f>Accounts!J905</f>
        <v/>
      </c>
      <c r="J905" s="93">
        <f>Accounts!S905</f>
        <v/>
      </c>
      <c r="K905" s="88" t="n"/>
      <c r="L905" s="95" t="n"/>
      <c r="M905" s="55" t="b">
        <v>0</v>
      </c>
      <c r="N905" s="96" t="b">
        <v>0</v>
      </c>
      <c r="O905" s="55" t="b">
        <v>0</v>
      </c>
      <c r="P905" s="55" t="b">
        <v>0</v>
      </c>
      <c r="Q905" s="55" t="b">
        <v>0</v>
      </c>
      <c r="R905" s="55" t="b">
        <v>0</v>
      </c>
      <c r="S905" s="55" t="b">
        <v>0</v>
      </c>
      <c r="T905" s="55" t="b">
        <v>0</v>
      </c>
      <c r="U905" s="55" t="b">
        <v>0</v>
      </c>
      <c r="V905" s="55" t="b">
        <v>0</v>
      </c>
    </row>
    <row r="906" ht="69" customHeight="1" s="211">
      <c r="A906" s="92">
        <f>Accounts!A906</f>
        <v/>
      </c>
      <c r="B906" s="12" t="b">
        <v>0</v>
      </c>
      <c r="C906" s="93">
        <f>Accounts!N906</f>
        <v/>
      </c>
      <c r="D906" s="94" t="n"/>
      <c r="E906" s="93">
        <f>Accounts!F906</f>
        <v/>
      </c>
      <c r="F906" s="94">
        <f>Accounts!Q906</f>
        <v/>
      </c>
      <c r="G906" s="94">
        <f>Accounts!R906</f>
        <v/>
      </c>
      <c r="H906" s="94">
        <f>Accounts!I906</f>
        <v/>
      </c>
      <c r="I906" s="94">
        <f>Accounts!J906</f>
        <v/>
      </c>
      <c r="J906" s="93">
        <f>Accounts!S906</f>
        <v/>
      </c>
      <c r="K906" s="88" t="n"/>
      <c r="L906" s="95" t="n"/>
      <c r="M906" s="55" t="b">
        <v>0</v>
      </c>
      <c r="N906" s="96" t="b">
        <v>0</v>
      </c>
      <c r="O906" s="55" t="b">
        <v>0</v>
      </c>
      <c r="P906" s="55" t="b">
        <v>0</v>
      </c>
      <c r="Q906" s="55" t="b">
        <v>0</v>
      </c>
      <c r="R906" s="55" t="b">
        <v>0</v>
      </c>
      <c r="S906" s="55" t="b">
        <v>0</v>
      </c>
      <c r="T906" s="55" t="b">
        <v>0</v>
      </c>
      <c r="U906" s="55" t="b">
        <v>0</v>
      </c>
      <c r="V906" s="55" t="b">
        <v>0</v>
      </c>
    </row>
    <row r="907" ht="69" customHeight="1" s="211">
      <c r="A907" s="92">
        <f>Accounts!A907</f>
        <v/>
      </c>
      <c r="B907" s="12" t="b">
        <v>0</v>
      </c>
      <c r="C907" s="93">
        <f>Accounts!N907</f>
        <v/>
      </c>
      <c r="D907" s="94" t="n"/>
      <c r="E907" s="93">
        <f>Accounts!F907</f>
        <v/>
      </c>
      <c r="F907" s="94">
        <f>Accounts!Q907</f>
        <v/>
      </c>
      <c r="G907" s="94">
        <f>Accounts!R907</f>
        <v/>
      </c>
      <c r="H907" s="94">
        <f>Accounts!I907</f>
        <v/>
      </c>
      <c r="I907" s="94">
        <f>Accounts!J907</f>
        <v/>
      </c>
      <c r="J907" s="93">
        <f>Accounts!S907</f>
        <v/>
      </c>
      <c r="K907" s="88" t="n"/>
      <c r="L907" s="95" t="n"/>
      <c r="M907" s="55" t="b">
        <v>0</v>
      </c>
      <c r="N907" s="96" t="b">
        <v>0</v>
      </c>
      <c r="O907" s="55" t="b">
        <v>0</v>
      </c>
      <c r="P907" s="55" t="b">
        <v>0</v>
      </c>
      <c r="Q907" s="55" t="b">
        <v>0</v>
      </c>
      <c r="R907" s="55" t="b">
        <v>0</v>
      </c>
      <c r="S907" s="55" t="b">
        <v>0</v>
      </c>
      <c r="T907" s="55" t="b">
        <v>0</v>
      </c>
      <c r="U907" s="55" t="b">
        <v>0</v>
      </c>
      <c r="V907" s="55" t="b">
        <v>0</v>
      </c>
    </row>
    <row r="908" ht="69" customHeight="1" s="211">
      <c r="A908" s="92">
        <f>Accounts!A908</f>
        <v/>
      </c>
      <c r="B908" s="12" t="b">
        <v>0</v>
      </c>
      <c r="C908" s="93">
        <f>Accounts!N908</f>
        <v/>
      </c>
      <c r="D908" s="94" t="n"/>
      <c r="E908" s="93">
        <f>Accounts!F908</f>
        <v/>
      </c>
      <c r="F908" s="94">
        <f>Accounts!Q908</f>
        <v/>
      </c>
      <c r="G908" s="94">
        <f>Accounts!R908</f>
        <v/>
      </c>
      <c r="H908" s="94">
        <f>Accounts!I908</f>
        <v/>
      </c>
      <c r="I908" s="94">
        <f>Accounts!J908</f>
        <v/>
      </c>
      <c r="J908" s="93">
        <f>Accounts!S908</f>
        <v/>
      </c>
      <c r="K908" s="88" t="n"/>
      <c r="L908" s="95" t="n"/>
      <c r="M908" s="55" t="b">
        <v>0</v>
      </c>
      <c r="N908" s="96" t="b">
        <v>0</v>
      </c>
      <c r="O908" s="55" t="b">
        <v>0</v>
      </c>
      <c r="P908" s="55" t="b">
        <v>0</v>
      </c>
      <c r="Q908" s="55" t="b">
        <v>0</v>
      </c>
      <c r="R908" s="55" t="b">
        <v>0</v>
      </c>
      <c r="S908" s="55" t="b">
        <v>0</v>
      </c>
      <c r="T908" s="55" t="b">
        <v>0</v>
      </c>
      <c r="U908" s="55" t="b">
        <v>0</v>
      </c>
      <c r="V908" s="55" t="b">
        <v>0</v>
      </c>
    </row>
    <row r="909" ht="69" customHeight="1" s="211">
      <c r="A909" s="92">
        <f>Accounts!A909</f>
        <v/>
      </c>
      <c r="B909" s="12" t="b">
        <v>0</v>
      </c>
      <c r="C909" s="93">
        <f>Accounts!N909</f>
        <v/>
      </c>
      <c r="D909" s="94" t="n"/>
      <c r="E909" s="93">
        <f>Accounts!F909</f>
        <v/>
      </c>
      <c r="F909" s="94">
        <f>Accounts!Q909</f>
        <v/>
      </c>
      <c r="G909" s="94">
        <f>Accounts!R909</f>
        <v/>
      </c>
      <c r="H909" s="94">
        <f>Accounts!I909</f>
        <v/>
      </c>
      <c r="I909" s="94">
        <f>Accounts!J909</f>
        <v/>
      </c>
      <c r="J909" s="93">
        <f>Accounts!S909</f>
        <v/>
      </c>
      <c r="K909" s="88" t="n"/>
      <c r="L909" s="95" t="n"/>
      <c r="M909" s="55" t="b">
        <v>0</v>
      </c>
      <c r="N909" s="96" t="b">
        <v>0</v>
      </c>
      <c r="O909" s="55" t="b">
        <v>0</v>
      </c>
      <c r="P909" s="55" t="b">
        <v>0</v>
      </c>
      <c r="Q909" s="55" t="b">
        <v>0</v>
      </c>
      <c r="R909" s="55" t="b">
        <v>0</v>
      </c>
      <c r="S909" s="55" t="b">
        <v>0</v>
      </c>
      <c r="T909" s="55" t="b">
        <v>0</v>
      </c>
      <c r="U909" s="55" t="b">
        <v>0</v>
      </c>
      <c r="V909" s="55" t="b">
        <v>0</v>
      </c>
    </row>
    <row r="910" ht="69" customHeight="1" s="211">
      <c r="A910" s="92">
        <f>Accounts!A910</f>
        <v/>
      </c>
      <c r="B910" s="12" t="b">
        <v>0</v>
      </c>
      <c r="C910" s="93">
        <f>Accounts!N910</f>
        <v/>
      </c>
      <c r="D910" s="94" t="n"/>
      <c r="E910" s="93">
        <f>Accounts!F910</f>
        <v/>
      </c>
      <c r="F910" s="94">
        <f>Accounts!Q910</f>
        <v/>
      </c>
      <c r="G910" s="94">
        <f>Accounts!R910</f>
        <v/>
      </c>
      <c r="H910" s="94">
        <f>Accounts!I910</f>
        <v/>
      </c>
      <c r="I910" s="94">
        <f>Accounts!J910</f>
        <v/>
      </c>
      <c r="J910" s="93">
        <f>Accounts!S910</f>
        <v/>
      </c>
      <c r="K910" s="88" t="n"/>
      <c r="L910" s="95" t="n"/>
      <c r="M910" s="55" t="b">
        <v>0</v>
      </c>
      <c r="N910" s="96" t="b">
        <v>0</v>
      </c>
      <c r="O910" s="55" t="b">
        <v>0</v>
      </c>
      <c r="P910" s="55" t="b">
        <v>0</v>
      </c>
      <c r="Q910" s="55" t="b">
        <v>0</v>
      </c>
      <c r="R910" s="55" t="b">
        <v>0</v>
      </c>
      <c r="S910" s="55" t="b">
        <v>0</v>
      </c>
      <c r="T910" s="55" t="b">
        <v>0</v>
      </c>
      <c r="U910" s="55" t="b">
        <v>0</v>
      </c>
      <c r="V910" s="55" t="b">
        <v>0</v>
      </c>
    </row>
    <row r="911" ht="69" customHeight="1" s="211">
      <c r="A911" s="92">
        <f>Accounts!A911</f>
        <v/>
      </c>
      <c r="B911" s="12" t="b">
        <v>0</v>
      </c>
      <c r="C911" s="93">
        <f>Accounts!N911</f>
        <v/>
      </c>
      <c r="D911" s="94" t="n"/>
      <c r="E911" s="93">
        <f>Accounts!F911</f>
        <v/>
      </c>
      <c r="F911" s="94">
        <f>Accounts!Q911</f>
        <v/>
      </c>
      <c r="G911" s="94">
        <f>Accounts!R911</f>
        <v/>
      </c>
      <c r="H911" s="94">
        <f>Accounts!I911</f>
        <v/>
      </c>
      <c r="I911" s="94">
        <f>Accounts!J911</f>
        <v/>
      </c>
      <c r="J911" s="93">
        <f>Accounts!S911</f>
        <v/>
      </c>
      <c r="K911" s="88" t="n"/>
      <c r="L911" s="95" t="n"/>
      <c r="M911" s="55" t="b">
        <v>0</v>
      </c>
      <c r="N911" s="96" t="b">
        <v>0</v>
      </c>
      <c r="O911" s="55" t="b">
        <v>0</v>
      </c>
      <c r="P911" s="55" t="b">
        <v>0</v>
      </c>
      <c r="Q911" s="55" t="b">
        <v>0</v>
      </c>
      <c r="R911" s="55" t="b">
        <v>0</v>
      </c>
      <c r="S911" s="55" t="b">
        <v>0</v>
      </c>
      <c r="T911" s="55" t="b">
        <v>0</v>
      </c>
      <c r="U911" s="55" t="b">
        <v>0</v>
      </c>
      <c r="V911" s="55" t="b">
        <v>0</v>
      </c>
    </row>
    <row r="912" ht="69" customHeight="1" s="211">
      <c r="A912" s="92">
        <f>Accounts!A912</f>
        <v/>
      </c>
      <c r="B912" s="12" t="b">
        <v>0</v>
      </c>
      <c r="C912" s="93">
        <f>Accounts!N912</f>
        <v/>
      </c>
      <c r="D912" s="94" t="n"/>
      <c r="E912" s="93">
        <f>Accounts!F912</f>
        <v/>
      </c>
      <c r="F912" s="94">
        <f>Accounts!Q912</f>
        <v/>
      </c>
      <c r="G912" s="94">
        <f>Accounts!R912</f>
        <v/>
      </c>
      <c r="H912" s="94">
        <f>Accounts!I912</f>
        <v/>
      </c>
      <c r="I912" s="94">
        <f>Accounts!J912</f>
        <v/>
      </c>
      <c r="J912" s="93">
        <f>Accounts!S912</f>
        <v/>
      </c>
      <c r="K912" s="88" t="n"/>
      <c r="L912" s="95" t="n"/>
      <c r="M912" s="55" t="b">
        <v>0</v>
      </c>
      <c r="N912" s="96" t="b">
        <v>0</v>
      </c>
      <c r="O912" s="55" t="b">
        <v>0</v>
      </c>
      <c r="P912" s="55" t="b">
        <v>0</v>
      </c>
      <c r="Q912" s="55" t="b">
        <v>0</v>
      </c>
      <c r="R912" s="55" t="b">
        <v>0</v>
      </c>
      <c r="S912" s="55" t="b">
        <v>0</v>
      </c>
      <c r="T912" s="55" t="b">
        <v>0</v>
      </c>
      <c r="U912" s="55" t="b">
        <v>0</v>
      </c>
      <c r="V912" s="55" t="b">
        <v>0</v>
      </c>
    </row>
    <row r="913" ht="69" customHeight="1" s="211">
      <c r="A913" s="92">
        <f>Accounts!A913</f>
        <v/>
      </c>
      <c r="B913" s="12" t="b">
        <v>0</v>
      </c>
      <c r="C913" s="93">
        <f>Accounts!N913</f>
        <v/>
      </c>
      <c r="D913" s="94" t="n"/>
      <c r="E913" s="93">
        <f>Accounts!F913</f>
        <v/>
      </c>
      <c r="F913" s="94">
        <f>Accounts!Q913</f>
        <v/>
      </c>
      <c r="G913" s="94">
        <f>Accounts!R913</f>
        <v/>
      </c>
      <c r="H913" s="94">
        <f>Accounts!I913</f>
        <v/>
      </c>
      <c r="I913" s="94">
        <f>Accounts!J913</f>
        <v/>
      </c>
      <c r="J913" s="93">
        <f>Accounts!S913</f>
        <v/>
      </c>
      <c r="K913" s="88" t="n"/>
      <c r="L913" s="95" t="n"/>
      <c r="M913" s="55" t="b">
        <v>0</v>
      </c>
      <c r="N913" s="96" t="b">
        <v>0</v>
      </c>
      <c r="O913" s="55" t="b">
        <v>0</v>
      </c>
      <c r="P913" s="55" t="b">
        <v>0</v>
      </c>
      <c r="Q913" s="55" t="b">
        <v>0</v>
      </c>
      <c r="R913" s="55" t="b">
        <v>0</v>
      </c>
      <c r="S913" s="55" t="b">
        <v>0</v>
      </c>
      <c r="T913" s="55" t="b">
        <v>0</v>
      </c>
      <c r="U913" s="55" t="b">
        <v>0</v>
      </c>
      <c r="V913" s="55" t="b">
        <v>0</v>
      </c>
    </row>
    <row r="914" ht="69" customHeight="1" s="211">
      <c r="A914" s="92">
        <f>Accounts!A914</f>
        <v/>
      </c>
      <c r="B914" s="12" t="b">
        <v>0</v>
      </c>
      <c r="C914" s="93">
        <f>Accounts!N914</f>
        <v/>
      </c>
      <c r="D914" s="94" t="n"/>
      <c r="E914" s="93">
        <f>Accounts!F914</f>
        <v/>
      </c>
      <c r="F914" s="94">
        <f>Accounts!Q914</f>
        <v/>
      </c>
      <c r="G914" s="94">
        <f>Accounts!R914</f>
        <v/>
      </c>
      <c r="H914" s="94">
        <f>Accounts!I914</f>
        <v/>
      </c>
      <c r="I914" s="94">
        <f>Accounts!J914</f>
        <v/>
      </c>
      <c r="J914" s="93">
        <f>Accounts!S914</f>
        <v/>
      </c>
      <c r="K914" s="88" t="n"/>
      <c r="L914" s="95" t="n"/>
      <c r="M914" s="55" t="b">
        <v>0</v>
      </c>
      <c r="N914" s="96" t="b">
        <v>0</v>
      </c>
      <c r="O914" s="55" t="b">
        <v>0</v>
      </c>
      <c r="P914" s="55" t="b">
        <v>0</v>
      </c>
      <c r="Q914" s="55" t="b">
        <v>0</v>
      </c>
      <c r="R914" s="55" t="b">
        <v>0</v>
      </c>
      <c r="S914" s="55" t="b">
        <v>0</v>
      </c>
      <c r="T914" s="55" t="b">
        <v>0</v>
      </c>
      <c r="U914" s="55" t="b">
        <v>0</v>
      </c>
      <c r="V914" s="55" t="b">
        <v>0</v>
      </c>
    </row>
    <row r="915" ht="69" customHeight="1" s="211">
      <c r="A915" s="92">
        <f>Accounts!A915</f>
        <v/>
      </c>
      <c r="B915" s="12" t="b">
        <v>0</v>
      </c>
      <c r="C915" s="93">
        <f>Accounts!N915</f>
        <v/>
      </c>
      <c r="D915" s="94" t="n"/>
      <c r="E915" s="93">
        <f>Accounts!F915</f>
        <v/>
      </c>
      <c r="F915" s="94">
        <f>Accounts!Q915</f>
        <v/>
      </c>
      <c r="G915" s="94">
        <f>Accounts!R915</f>
        <v/>
      </c>
      <c r="H915" s="94">
        <f>Accounts!I915</f>
        <v/>
      </c>
      <c r="I915" s="94">
        <f>Accounts!J915</f>
        <v/>
      </c>
      <c r="J915" s="93">
        <f>Accounts!S915</f>
        <v/>
      </c>
      <c r="K915" s="88" t="n"/>
      <c r="L915" s="95" t="n"/>
      <c r="M915" s="55" t="b">
        <v>0</v>
      </c>
      <c r="N915" s="96" t="b">
        <v>0</v>
      </c>
      <c r="O915" s="55" t="b">
        <v>0</v>
      </c>
      <c r="P915" s="55" t="b">
        <v>0</v>
      </c>
      <c r="Q915" s="55" t="b">
        <v>0</v>
      </c>
      <c r="R915" s="55" t="b">
        <v>0</v>
      </c>
      <c r="S915" s="55" t="b">
        <v>0</v>
      </c>
      <c r="T915" s="55" t="b">
        <v>0</v>
      </c>
      <c r="U915" s="55" t="b">
        <v>0</v>
      </c>
      <c r="V915" s="55" t="b">
        <v>0</v>
      </c>
    </row>
    <row r="916" ht="69" customHeight="1" s="211">
      <c r="A916" s="92">
        <f>Accounts!A916</f>
        <v/>
      </c>
      <c r="B916" s="12" t="b">
        <v>0</v>
      </c>
      <c r="C916" s="93">
        <f>Accounts!N916</f>
        <v/>
      </c>
      <c r="D916" s="94" t="n"/>
      <c r="E916" s="93">
        <f>Accounts!F916</f>
        <v/>
      </c>
      <c r="F916" s="94">
        <f>Accounts!Q916</f>
        <v/>
      </c>
      <c r="G916" s="94">
        <f>Accounts!R916</f>
        <v/>
      </c>
      <c r="H916" s="94">
        <f>Accounts!I916</f>
        <v/>
      </c>
      <c r="I916" s="94">
        <f>Accounts!J916</f>
        <v/>
      </c>
      <c r="J916" s="93">
        <f>Accounts!S916</f>
        <v/>
      </c>
      <c r="K916" s="88" t="n"/>
      <c r="L916" s="95" t="n"/>
      <c r="M916" s="55" t="b">
        <v>0</v>
      </c>
      <c r="N916" s="96" t="b">
        <v>0</v>
      </c>
      <c r="O916" s="55" t="b">
        <v>0</v>
      </c>
      <c r="P916" s="55" t="b">
        <v>0</v>
      </c>
      <c r="Q916" s="55" t="b">
        <v>0</v>
      </c>
      <c r="R916" s="55" t="b">
        <v>0</v>
      </c>
      <c r="S916" s="55" t="b">
        <v>0</v>
      </c>
      <c r="T916" s="55" t="b">
        <v>0</v>
      </c>
      <c r="U916" s="55" t="b">
        <v>0</v>
      </c>
      <c r="V916" s="55" t="b">
        <v>0</v>
      </c>
    </row>
    <row r="917" ht="69" customHeight="1" s="211">
      <c r="A917" s="92">
        <f>Accounts!A917</f>
        <v/>
      </c>
      <c r="B917" s="12" t="b">
        <v>0</v>
      </c>
      <c r="C917" s="93">
        <f>Accounts!N917</f>
        <v/>
      </c>
      <c r="D917" s="94" t="n"/>
      <c r="E917" s="93">
        <f>Accounts!F917</f>
        <v/>
      </c>
      <c r="F917" s="94">
        <f>Accounts!Q917</f>
        <v/>
      </c>
      <c r="G917" s="94">
        <f>Accounts!R917</f>
        <v/>
      </c>
      <c r="H917" s="94">
        <f>Accounts!I917</f>
        <v/>
      </c>
      <c r="I917" s="94">
        <f>Accounts!J917</f>
        <v/>
      </c>
      <c r="J917" s="93">
        <f>Accounts!S917</f>
        <v/>
      </c>
      <c r="K917" s="88" t="n"/>
      <c r="L917" s="95" t="n"/>
      <c r="M917" s="55" t="b">
        <v>0</v>
      </c>
      <c r="N917" s="96" t="b">
        <v>0</v>
      </c>
      <c r="O917" s="55" t="b">
        <v>0</v>
      </c>
      <c r="P917" s="55" t="b">
        <v>0</v>
      </c>
      <c r="Q917" s="55" t="b">
        <v>0</v>
      </c>
      <c r="R917" s="55" t="b">
        <v>0</v>
      </c>
      <c r="S917" s="55" t="b">
        <v>0</v>
      </c>
      <c r="T917" s="55" t="b">
        <v>0</v>
      </c>
      <c r="U917" s="55" t="b">
        <v>0</v>
      </c>
      <c r="V917" s="55" t="b">
        <v>0</v>
      </c>
    </row>
    <row r="918" ht="69" customHeight="1" s="211">
      <c r="A918" s="92">
        <f>Accounts!A918</f>
        <v/>
      </c>
      <c r="B918" s="12" t="b">
        <v>0</v>
      </c>
      <c r="C918" s="93">
        <f>Accounts!N918</f>
        <v/>
      </c>
      <c r="D918" s="94" t="n"/>
      <c r="E918" s="93">
        <f>Accounts!F918</f>
        <v/>
      </c>
      <c r="F918" s="94">
        <f>Accounts!Q918</f>
        <v/>
      </c>
      <c r="G918" s="94">
        <f>Accounts!R918</f>
        <v/>
      </c>
      <c r="H918" s="94">
        <f>Accounts!I918</f>
        <v/>
      </c>
      <c r="I918" s="94">
        <f>Accounts!J918</f>
        <v/>
      </c>
      <c r="J918" s="93">
        <f>Accounts!S918</f>
        <v/>
      </c>
      <c r="K918" s="88" t="n"/>
      <c r="L918" s="95" t="n"/>
      <c r="M918" s="55" t="b">
        <v>0</v>
      </c>
      <c r="N918" s="96" t="b">
        <v>0</v>
      </c>
      <c r="O918" s="55" t="b">
        <v>0</v>
      </c>
      <c r="P918" s="55" t="b">
        <v>0</v>
      </c>
      <c r="Q918" s="55" t="b">
        <v>0</v>
      </c>
      <c r="R918" s="55" t="b">
        <v>0</v>
      </c>
      <c r="S918" s="55" t="b">
        <v>0</v>
      </c>
      <c r="T918" s="55" t="b">
        <v>0</v>
      </c>
      <c r="U918" s="55" t="b">
        <v>0</v>
      </c>
      <c r="V918" s="55" t="b">
        <v>0</v>
      </c>
    </row>
    <row r="919" ht="69" customHeight="1" s="211">
      <c r="A919" s="92">
        <f>Accounts!A919</f>
        <v/>
      </c>
      <c r="B919" s="12" t="b">
        <v>0</v>
      </c>
      <c r="C919" s="93">
        <f>Accounts!N919</f>
        <v/>
      </c>
      <c r="D919" s="94" t="n"/>
      <c r="E919" s="93">
        <f>Accounts!F919</f>
        <v/>
      </c>
      <c r="F919" s="94">
        <f>Accounts!Q919</f>
        <v/>
      </c>
      <c r="G919" s="94">
        <f>Accounts!R919</f>
        <v/>
      </c>
      <c r="H919" s="94">
        <f>Accounts!I919</f>
        <v/>
      </c>
      <c r="I919" s="94">
        <f>Accounts!J919</f>
        <v/>
      </c>
      <c r="J919" s="93">
        <f>Accounts!S919</f>
        <v/>
      </c>
      <c r="K919" s="88" t="n"/>
      <c r="L919" s="95" t="n"/>
      <c r="M919" s="55" t="b">
        <v>0</v>
      </c>
      <c r="N919" s="96" t="b">
        <v>0</v>
      </c>
      <c r="O919" s="55" t="b">
        <v>0</v>
      </c>
      <c r="P919" s="55" t="b">
        <v>0</v>
      </c>
      <c r="Q919" s="55" t="b">
        <v>0</v>
      </c>
      <c r="R919" s="55" t="b">
        <v>0</v>
      </c>
      <c r="S919" s="55" t="b">
        <v>0</v>
      </c>
      <c r="T919" s="55" t="b">
        <v>0</v>
      </c>
      <c r="U919" s="55" t="b">
        <v>0</v>
      </c>
      <c r="V919" s="55" t="b">
        <v>0</v>
      </c>
    </row>
    <row r="920" ht="69" customHeight="1" s="211">
      <c r="A920" s="92">
        <f>Accounts!A920</f>
        <v/>
      </c>
      <c r="B920" s="12" t="b">
        <v>0</v>
      </c>
      <c r="C920" s="93">
        <f>Accounts!N920</f>
        <v/>
      </c>
      <c r="D920" s="94" t="n"/>
      <c r="E920" s="93">
        <f>Accounts!F920</f>
        <v/>
      </c>
      <c r="F920" s="94">
        <f>Accounts!Q920</f>
        <v/>
      </c>
      <c r="G920" s="94">
        <f>Accounts!R920</f>
        <v/>
      </c>
      <c r="H920" s="94">
        <f>Accounts!I920</f>
        <v/>
      </c>
      <c r="I920" s="94">
        <f>Accounts!J920</f>
        <v/>
      </c>
      <c r="J920" s="93">
        <f>Accounts!S920</f>
        <v/>
      </c>
      <c r="K920" s="88" t="n"/>
      <c r="L920" s="95" t="n"/>
      <c r="M920" s="55" t="b">
        <v>0</v>
      </c>
      <c r="N920" s="96" t="b">
        <v>0</v>
      </c>
      <c r="O920" s="55" t="b">
        <v>0</v>
      </c>
      <c r="P920" s="55" t="b">
        <v>0</v>
      </c>
      <c r="Q920" s="55" t="b">
        <v>0</v>
      </c>
      <c r="R920" s="55" t="b">
        <v>0</v>
      </c>
      <c r="S920" s="55" t="b">
        <v>0</v>
      </c>
      <c r="T920" s="55" t="b">
        <v>0</v>
      </c>
      <c r="U920" s="55" t="b">
        <v>0</v>
      </c>
      <c r="V920" s="55" t="b">
        <v>0</v>
      </c>
    </row>
    <row r="921" ht="69" customHeight="1" s="211">
      <c r="A921" s="92">
        <f>Accounts!A921</f>
        <v/>
      </c>
      <c r="B921" s="12" t="b">
        <v>0</v>
      </c>
      <c r="C921" s="93">
        <f>Accounts!N921</f>
        <v/>
      </c>
      <c r="D921" s="94" t="n"/>
      <c r="E921" s="93">
        <f>Accounts!F921</f>
        <v/>
      </c>
      <c r="F921" s="94">
        <f>Accounts!Q921</f>
        <v/>
      </c>
      <c r="G921" s="94">
        <f>Accounts!R921</f>
        <v/>
      </c>
      <c r="H921" s="94">
        <f>Accounts!I921</f>
        <v/>
      </c>
      <c r="I921" s="94">
        <f>Accounts!J921</f>
        <v/>
      </c>
      <c r="J921" s="93">
        <f>Accounts!S921</f>
        <v/>
      </c>
      <c r="K921" s="88" t="n"/>
      <c r="L921" s="95" t="n"/>
      <c r="M921" s="55" t="b">
        <v>0</v>
      </c>
      <c r="N921" s="96" t="b">
        <v>0</v>
      </c>
      <c r="O921" s="55" t="b">
        <v>0</v>
      </c>
      <c r="P921" s="55" t="b">
        <v>0</v>
      </c>
      <c r="Q921" s="55" t="b">
        <v>0</v>
      </c>
      <c r="R921" s="55" t="b">
        <v>0</v>
      </c>
      <c r="S921" s="55" t="b">
        <v>0</v>
      </c>
      <c r="T921" s="55" t="b">
        <v>0</v>
      </c>
      <c r="U921" s="55" t="b">
        <v>0</v>
      </c>
      <c r="V921" s="55" t="b">
        <v>0</v>
      </c>
    </row>
    <row r="922" ht="69" customHeight="1" s="211">
      <c r="A922" s="92">
        <f>Accounts!A922</f>
        <v/>
      </c>
      <c r="B922" s="12" t="b">
        <v>0</v>
      </c>
      <c r="C922" s="93">
        <f>Accounts!N922</f>
        <v/>
      </c>
      <c r="D922" s="94" t="n"/>
      <c r="E922" s="93">
        <f>Accounts!F922</f>
        <v/>
      </c>
      <c r="F922" s="94">
        <f>Accounts!Q922</f>
        <v/>
      </c>
      <c r="G922" s="94">
        <f>Accounts!R922</f>
        <v/>
      </c>
      <c r="H922" s="94">
        <f>Accounts!I922</f>
        <v/>
      </c>
      <c r="I922" s="94">
        <f>Accounts!J922</f>
        <v/>
      </c>
      <c r="J922" s="93">
        <f>Accounts!S922</f>
        <v/>
      </c>
      <c r="K922" s="88" t="n"/>
      <c r="L922" s="95" t="n"/>
      <c r="M922" s="55" t="b">
        <v>0</v>
      </c>
      <c r="N922" s="96" t="b">
        <v>0</v>
      </c>
      <c r="O922" s="55" t="b">
        <v>0</v>
      </c>
      <c r="P922" s="55" t="b">
        <v>0</v>
      </c>
      <c r="Q922" s="55" t="b">
        <v>0</v>
      </c>
      <c r="R922" s="55" t="b">
        <v>0</v>
      </c>
      <c r="S922" s="55" t="b">
        <v>0</v>
      </c>
      <c r="T922" s="55" t="b">
        <v>0</v>
      </c>
      <c r="U922" s="55" t="b">
        <v>0</v>
      </c>
      <c r="V922" s="55" t="b">
        <v>0</v>
      </c>
    </row>
    <row r="923" ht="69" customHeight="1" s="211">
      <c r="A923" s="92">
        <f>Accounts!A923</f>
        <v/>
      </c>
      <c r="B923" s="12" t="b">
        <v>0</v>
      </c>
      <c r="C923" s="93">
        <f>Accounts!N923</f>
        <v/>
      </c>
      <c r="D923" s="94" t="n"/>
      <c r="E923" s="93">
        <f>Accounts!F923</f>
        <v/>
      </c>
      <c r="F923" s="94">
        <f>Accounts!Q923</f>
        <v/>
      </c>
      <c r="G923" s="94">
        <f>Accounts!R923</f>
        <v/>
      </c>
      <c r="H923" s="94">
        <f>Accounts!I923</f>
        <v/>
      </c>
      <c r="I923" s="94">
        <f>Accounts!J923</f>
        <v/>
      </c>
      <c r="J923" s="93">
        <f>Accounts!S923</f>
        <v/>
      </c>
      <c r="K923" s="88" t="n"/>
      <c r="L923" s="95" t="n"/>
      <c r="M923" s="55" t="b">
        <v>0</v>
      </c>
      <c r="N923" s="96" t="b">
        <v>0</v>
      </c>
      <c r="O923" s="55" t="b">
        <v>0</v>
      </c>
      <c r="P923" s="55" t="b">
        <v>0</v>
      </c>
      <c r="Q923" s="55" t="b">
        <v>0</v>
      </c>
      <c r="R923" s="55" t="b">
        <v>0</v>
      </c>
      <c r="S923" s="55" t="b">
        <v>0</v>
      </c>
      <c r="T923" s="55" t="b">
        <v>0</v>
      </c>
      <c r="U923" s="55" t="b">
        <v>0</v>
      </c>
      <c r="V923" s="55" t="b">
        <v>0</v>
      </c>
    </row>
    <row r="924" ht="69" customHeight="1" s="211">
      <c r="A924" s="92">
        <f>Accounts!A924</f>
        <v/>
      </c>
      <c r="B924" s="12" t="b">
        <v>0</v>
      </c>
      <c r="C924" s="93">
        <f>Accounts!N924</f>
        <v/>
      </c>
      <c r="D924" s="94" t="n"/>
      <c r="E924" s="93">
        <f>Accounts!F924</f>
        <v/>
      </c>
      <c r="F924" s="94">
        <f>Accounts!Q924</f>
        <v/>
      </c>
      <c r="G924" s="94">
        <f>Accounts!R924</f>
        <v/>
      </c>
      <c r="H924" s="94">
        <f>Accounts!I924</f>
        <v/>
      </c>
      <c r="I924" s="94">
        <f>Accounts!J924</f>
        <v/>
      </c>
      <c r="J924" s="93">
        <f>Accounts!S924</f>
        <v/>
      </c>
      <c r="K924" s="88" t="n"/>
      <c r="L924" s="95" t="n"/>
      <c r="M924" s="55" t="b">
        <v>0</v>
      </c>
      <c r="N924" s="96" t="b">
        <v>0</v>
      </c>
      <c r="O924" s="55" t="b">
        <v>0</v>
      </c>
      <c r="P924" s="55" t="b">
        <v>0</v>
      </c>
      <c r="Q924" s="55" t="b">
        <v>0</v>
      </c>
      <c r="R924" s="55" t="b">
        <v>0</v>
      </c>
      <c r="S924" s="55" t="b">
        <v>0</v>
      </c>
      <c r="T924" s="55" t="b">
        <v>0</v>
      </c>
      <c r="U924" s="55" t="b">
        <v>0</v>
      </c>
      <c r="V924" s="55" t="b">
        <v>0</v>
      </c>
    </row>
    <row r="925" ht="69" customHeight="1" s="211">
      <c r="A925" s="92">
        <f>Accounts!A925</f>
        <v/>
      </c>
      <c r="B925" s="12" t="b">
        <v>0</v>
      </c>
      <c r="C925" s="93">
        <f>Accounts!N925</f>
        <v/>
      </c>
      <c r="D925" s="94" t="n"/>
      <c r="E925" s="93">
        <f>Accounts!F925</f>
        <v/>
      </c>
      <c r="F925" s="94">
        <f>Accounts!Q925</f>
        <v/>
      </c>
      <c r="G925" s="94">
        <f>Accounts!R925</f>
        <v/>
      </c>
      <c r="H925" s="94">
        <f>Accounts!I925</f>
        <v/>
      </c>
      <c r="I925" s="94">
        <f>Accounts!J925</f>
        <v/>
      </c>
      <c r="J925" s="93">
        <f>Accounts!S925</f>
        <v/>
      </c>
      <c r="K925" s="88" t="n"/>
      <c r="L925" s="95" t="n"/>
      <c r="M925" s="55" t="b">
        <v>0</v>
      </c>
      <c r="N925" s="96" t="b">
        <v>0</v>
      </c>
      <c r="O925" s="55" t="b">
        <v>0</v>
      </c>
      <c r="P925" s="55" t="b">
        <v>0</v>
      </c>
      <c r="Q925" s="55" t="b">
        <v>0</v>
      </c>
      <c r="R925" s="55" t="b">
        <v>0</v>
      </c>
      <c r="S925" s="55" t="b">
        <v>0</v>
      </c>
      <c r="T925" s="55" t="b">
        <v>0</v>
      </c>
      <c r="U925" s="55" t="b">
        <v>0</v>
      </c>
      <c r="V925" s="55" t="b">
        <v>0</v>
      </c>
    </row>
    <row r="926" ht="69" customHeight="1" s="211">
      <c r="A926" s="92">
        <f>Accounts!A926</f>
        <v/>
      </c>
      <c r="B926" s="12" t="b">
        <v>0</v>
      </c>
      <c r="C926" s="93">
        <f>Accounts!N926</f>
        <v/>
      </c>
      <c r="D926" s="94" t="n"/>
      <c r="E926" s="93">
        <f>Accounts!F926</f>
        <v/>
      </c>
      <c r="F926" s="94">
        <f>Accounts!Q926</f>
        <v/>
      </c>
      <c r="G926" s="94">
        <f>Accounts!R926</f>
        <v/>
      </c>
      <c r="H926" s="94">
        <f>Accounts!I926</f>
        <v/>
      </c>
      <c r="I926" s="94">
        <f>Accounts!J926</f>
        <v/>
      </c>
      <c r="J926" s="93">
        <f>Accounts!S926</f>
        <v/>
      </c>
      <c r="K926" s="88" t="n"/>
      <c r="L926" s="95" t="n"/>
      <c r="M926" s="55" t="b">
        <v>0</v>
      </c>
      <c r="N926" s="96" t="b">
        <v>0</v>
      </c>
      <c r="O926" s="55" t="b">
        <v>0</v>
      </c>
      <c r="P926" s="55" t="b">
        <v>0</v>
      </c>
      <c r="Q926" s="55" t="b">
        <v>0</v>
      </c>
      <c r="R926" s="55" t="b">
        <v>0</v>
      </c>
      <c r="S926" s="55" t="b">
        <v>0</v>
      </c>
      <c r="T926" s="55" t="b">
        <v>0</v>
      </c>
      <c r="U926" s="55" t="b">
        <v>0</v>
      </c>
      <c r="V926" s="55" t="b">
        <v>0</v>
      </c>
    </row>
    <row r="927" ht="69" customHeight="1" s="211">
      <c r="A927" s="92">
        <f>Accounts!A927</f>
        <v/>
      </c>
      <c r="B927" s="12" t="b">
        <v>0</v>
      </c>
      <c r="C927" s="93">
        <f>Accounts!N927</f>
        <v/>
      </c>
      <c r="D927" s="94" t="n"/>
      <c r="E927" s="93">
        <f>Accounts!F927</f>
        <v/>
      </c>
      <c r="F927" s="94">
        <f>Accounts!Q927</f>
        <v/>
      </c>
      <c r="G927" s="94">
        <f>Accounts!R927</f>
        <v/>
      </c>
      <c r="H927" s="94">
        <f>Accounts!I927</f>
        <v/>
      </c>
      <c r="I927" s="94">
        <f>Accounts!J927</f>
        <v/>
      </c>
      <c r="J927" s="93">
        <f>Accounts!S927</f>
        <v/>
      </c>
      <c r="K927" s="88" t="n"/>
      <c r="L927" s="95" t="n"/>
      <c r="M927" s="55" t="b">
        <v>0</v>
      </c>
      <c r="N927" s="96" t="b">
        <v>0</v>
      </c>
      <c r="O927" s="55" t="b">
        <v>0</v>
      </c>
      <c r="P927" s="55" t="b">
        <v>0</v>
      </c>
      <c r="Q927" s="55" t="b">
        <v>0</v>
      </c>
      <c r="R927" s="55" t="b">
        <v>0</v>
      </c>
      <c r="S927" s="55" t="b">
        <v>0</v>
      </c>
      <c r="T927" s="55" t="b">
        <v>0</v>
      </c>
      <c r="U927" s="55" t="b">
        <v>0</v>
      </c>
      <c r="V927" s="55" t="b">
        <v>0</v>
      </c>
    </row>
    <row r="928" ht="69" customHeight="1" s="211">
      <c r="A928" s="92">
        <f>Accounts!A928</f>
        <v/>
      </c>
      <c r="B928" s="12" t="b">
        <v>0</v>
      </c>
      <c r="C928" s="93">
        <f>Accounts!N928</f>
        <v/>
      </c>
      <c r="D928" s="94" t="n"/>
      <c r="E928" s="93">
        <f>Accounts!F928</f>
        <v/>
      </c>
      <c r="F928" s="94">
        <f>Accounts!Q928</f>
        <v/>
      </c>
      <c r="G928" s="94">
        <f>Accounts!R928</f>
        <v/>
      </c>
      <c r="H928" s="94">
        <f>Accounts!I928</f>
        <v/>
      </c>
      <c r="I928" s="94">
        <f>Accounts!J928</f>
        <v/>
      </c>
      <c r="J928" s="93">
        <f>Accounts!S928</f>
        <v/>
      </c>
      <c r="K928" s="88" t="n"/>
      <c r="L928" s="95" t="n"/>
      <c r="M928" s="55" t="b">
        <v>0</v>
      </c>
      <c r="N928" s="96" t="b">
        <v>0</v>
      </c>
      <c r="O928" s="55" t="b">
        <v>0</v>
      </c>
      <c r="P928" s="55" t="b">
        <v>0</v>
      </c>
      <c r="Q928" s="55" t="b">
        <v>0</v>
      </c>
      <c r="R928" s="55" t="b">
        <v>0</v>
      </c>
      <c r="S928" s="55" t="b">
        <v>0</v>
      </c>
      <c r="T928" s="55" t="b">
        <v>0</v>
      </c>
      <c r="U928" s="55" t="b">
        <v>0</v>
      </c>
      <c r="V928" s="55" t="b">
        <v>0</v>
      </c>
    </row>
    <row r="929" ht="69" customHeight="1" s="211">
      <c r="A929" s="92">
        <f>Accounts!A929</f>
        <v/>
      </c>
      <c r="B929" s="12" t="b">
        <v>0</v>
      </c>
      <c r="C929" s="93">
        <f>Accounts!N929</f>
        <v/>
      </c>
      <c r="D929" s="94" t="n"/>
      <c r="E929" s="93">
        <f>Accounts!F929</f>
        <v/>
      </c>
      <c r="F929" s="94">
        <f>Accounts!Q929</f>
        <v/>
      </c>
      <c r="G929" s="94">
        <f>Accounts!R929</f>
        <v/>
      </c>
      <c r="H929" s="94">
        <f>Accounts!I929</f>
        <v/>
      </c>
      <c r="I929" s="94">
        <f>Accounts!J929</f>
        <v/>
      </c>
      <c r="J929" s="93">
        <f>Accounts!S929</f>
        <v/>
      </c>
      <c r="K929" s="88" t="n"/>
      <c r="L929" s="95" t="n"/>
      <c r="M929" s="55" t="b">
        <v>0</v>
      </c>
      <c r="N929" s="96" t="b">
        <v>0</v>
      </c>
      <c r="O929" s="55" t="b">
        <v>0</v>
      </c>
      <c r="P929" s="55" t="b">
        <v>0</v>
      </c>
      <c r="Q929" s="55" t="b">
        <v>0</v>
      </c>
      <c r="R929" s="55" t="b">
        <v>0</v>
      </c>
      <c r="S929" s="55" t="b">
        <v>0</v>
      </c>
      <c r="T929" s="55" t="b">
        <v>0</v>
      </c>
      <c r="U929" s="55" t="b">
        <v>0</v>
      </c>
      <c r="V929" s="55" t="b">
        <v>0</v>
      </c>
    </row>
    <row r="930" ht="69" customHeight="1" s="211">
      <c r="A930" s="92">
        <f>Accounts!A930</f>
        <v/>
      </c>
      <c r="B930" s="12" t="b">
        <v>0</v>
      </c>
      <c r="C930" s="93">
        <f>Accounts!N930</f>
        <v/>
      </c>
      <c r="D930" s="94" t="n"/>
      <c r="E930" s="93">
        <f>Accounts!F930</f>
        <v/>
      </c>
      <c r="F930" s="94">
        <f>Accounts!Q930</f>
        <v/>
      </c>
      <c r="G930" s="94">
        <f>Accounts!R930</f>
        <v/>
      </c>
      <c r="H930" s="94">
        <f>Accounts!I930</f>
        <v/>
      </c>
      <c r="I930" s="94">
        <f>Accounts!J930</f>
        <v/>
      </c>
      <c r="J930" s="93">
        <f>Accounts!S930</f>
        <v/>
      </c>
      <c r="K930" s="88" t="n"/>
      <c r="L930" s="95" t="n"/>
      <c r="M930" s="55" t="b">
        <v>0</v>
      </c>
      <c r="N930" s="96" t="b">
        <v>0</v>
      </c>
      <c r="O930" s="55" t="b">
        <v>0</v>
      </c>
      <c r="P930" s="55" t="b">
        <v>0</v>
      </c>
      <c r="Q930" s="55" t="b">
        <v>0</v>
      </c>
      <c r="R930" s="55" t="b">
        <v>0</v>
      </c>
      <c r="S930" s="55" t="b">
        <v>0</v>
      </c>
      <c r="T930" s="55" t="b">
        <v>0</v>
      </c>
      <c r="U930" s="55" t="b">
        <v>0</v>
      </c>
      <c r="V930" s="55" t="b">
        <v>0</v>
      </c>
    </row>
    <row r="931" ht="69" customHeight="1" s="211">
      <c r="A931" s="92">
        <f>Accounts!A931</f>
        <v/>
      </c>
      <c r="B931" s="12" t="b">
        <v>0</v>
      </c>
      <c r="C931" s="93">
        <f>Accounts!N931</f>
        <v/>
      </c>
      <c r="D931" s="94" t="n"/>
      <c r="E931" s="93">
        <f>Accounts!F931</f>
        <v/>
      </c>
      <c r="F931" s="94">
        <f>Accounts!Q931</f>
        <v/>
      </c>
      <c r="G931" s="94">
        <f>Accounts!R931</f>
        <v/>
      </c>
      <c r="H931" s="94">
        <f>Accounts!I931</f>
        <v/>
      </c>
      <c r="I931" s="94">
        <f>Accounts!J931</f>
        <v/>
      </c>
      <c r="J931" s="93">
        <f>Accounts!S931</f>
        <v/>
      </c>
      <c r="K931" s="88" t="n"/>
      <c r="L931" s="95" t="n"/>
      <c r="M931" s="55" t="b">
        <v>0</v>
      </c>
      <c r="N931" s="96" t="b">
        <v>0</v>
      </c>
      <c r="O931" s="55" t="b">
        <v>0</v>
      </c>
      <c r="P931" s="55" t="b">
        <v>0</v>
      </c>
      <c r="Q931" s="55" t="b">
        <v>0</v>
      </c>
      <c r="R931" s="55" t="b">
        <v>0</v>
      </c>
      <c r="S931" s="55" t="b">
        <v>0</v>
      </c>
      <c r="T931" s="55" t="b">
        <v>0</v>
      </c>
      <c r="U931" s="55" t="b">
        <v>0</v>
      </c>
      <c r="V931" s="55" t="b">
        <v>0</v>
      </c>
    </row>
    <row r="932" ht="69" customHeight="1" s="211">
      <c r="A932" s="92">
        <f>Accounts!A932</f>
        <v/>
      </c>
      <c r="B932" s="12" t="b">
        <v>0</v>
      </c>
      <c r="C932" s="93">
        <f>Accounts!N932</f>
        <v/>
      </c>
      <c r="D932" s="94" t="n"/>
      <c r="E932" s="93">
        <f>Accounts!F932</f>
        <v/>
      </c>
      <c r="F932" s="94">
        <f>Accounts!Q932</f>
        <v/>
      </c>
      <c r="G932" s="94">
        <f>Accounts!R932</f>
        <v/>
      </c>
      <c r="H932" s="94">
        <f>Accounts!I932</f>
        <v/>
      </c>
      <c r="I932" s="94">
        <f>Accounts!J932</f>
        <v/>
      </c>
      <c r="J932" s="93">
        <f>Accounts!S932</f>
        <v/>
      </c>
      <c r="K932" s="88" t="n"/>
      <c r="L932" s="95" t="n"/>
      <c r="M932" s="55" t="b">
        <v>0</v>
      </c>
      <c r="N932" s="96" t="b">
        <v>0</v>
      </c>
      <c r="O932" s="55" t="b">
        <v>0</v>
      </c>
      <c r="P932" s="55" t="b">
        <v>0</v>
      </c>
      <c r="Q932" s="55" t="b">
        <v>0</v>
      </c>
      <c r="R932" s="55" t="b">
        <v>0</v>
      </c>
      <c r="S932" s="55" t="b">
        <v>0</v>
      </c>
      <c r="T932" s="55" t="b">
        <v>0</v>
      </c>
      <c r="U932" s="55" t="b">
        <v>0</v>
      </c>
      <c r="V932" s="55" t="b">
        <v>0</v>
      </c>
    </row>
    <row r="933" ht="69" customHeight="1" s="211">
      <c r="A933" s="92">
        <f>Accounts!A933</f>
        <v/>
      </c>
      <c r="B933" s="12" t="b">
        <v>0</v>
      </c>
      <c r="C933" s="93">
        <f>Accounts!N933</f>
        <v/>
      </c>
      <c r="D933" s="94" t="n"/>
      <c r="E933" s="93">
        <f>Accounts!F933</f>
        <v/>
      </c>
      <c r="F933" s="94">
        <f>Accounts!Q933</f>
        <v/>
      </c>
      <c r="G933" s="94">
        <f>Accounts!R933</f>
        <v/>
      </c>
      <c r="H933" s="94">
        <f>Accounts!I933</f>
        <v/>
      </c>
      <c r="I933" s="94">
        <f>Accounts!J933</f>
        <v/>
      </c>
      <c r="J933" s="93">
        <f>Accounts!S933</f>
        <v/>
      </c>
      <c r="K933" s="88" t="n"/>
      <c r="L933" s="95" t="n"/>
      <c r="M933" s="55" t="b">
        <v>0</v>
      </c>
      <c r="N933" s="96" t="b">
        <v>0</v>
      </c>
      <c r="O933" s="55" t="b">
        <v>0</v>
      </c>
      <c r="P933" s="55" t="b">
        <v>0</v>
      </c>
      <c r="Q933" s="55" t="b">
        <v>0</v>
      </c>
      <c r="R933" s="55" t="b">
        <v>0</v>
      </c>
      <c r="S933" s="55" t="b">
        <v>0</v>
      </c>
      <c r="T933" s="55" t="b">
        <v>0</v>
      </c>
      <c r="U933" s="55" t="b">
        <v>0</v>
      </c>
      <c r="V933" s="55" t="b">
        <v>0</v>
      </c>
    </row>
    <row r="934" ht="69" customHeight="1" s="211">
      <c r="A934" s="92">
        <f>Accounts!A934</f>
        <v/>
      </c>
      <c r="B934" s="12" t="b">
        <v>0</v>
      </c>
      <c r="C934" s="93">
        <f>Accounts!N934</f>
        <v/>
      </c>
      <c r="D934" s="94" t="n"/>
      <c r="E934" s="93">
        <f>Accounts!F934</f>
        <v/>
      </c>
      <c r="F934" s="94">
        <f>Accounts!Q934</f>
        <v/>
      </c>
      <c r="G934" s="94">
        <f>Accounts!R934</f>
        <v/>
      </c>
      <c r="H934" s="94">
        <f>Accounts!I934</f>
        <v/>
      </c>
      <c r="I934" s="94">
        <f>Accounts!J934</f>
        <v/>
      </c>
      <c r="J934" s="93">
        <f>Accounts!S934</f>
        <v/>
      </c>
      <c r="K934" s="88" t="n"/>
      <c r="L934" s="95" t="n"/>
      <c r="M934" s="55" t="b">
        <v>0</v>
      </c>
      <c r="N934" s="96" t="b">
        <v>0</v>
      </c>
      <c r="O934" s="55" t="b">
        <v>0</v>
      </c>
      <c r="P934" s="55" t="b">
        <v>0</v>
      </c>
      <c r="Q934" s="55" t="b">
        <v>0</v>
      </c>
      <c r="R934" s="55" t="b">
        <v>0</v>
      </c>
      <c r="S934" s="55" t="b">
        <v>0</v>
      </c>
      <c r="T934" s="55" t="b">
        <v>0</v>
      </c>
      <c r="U934" s="55" t="b">
        <v>0</v>
      </c>
      <c r="V934" s="55" t="b">
        <v>0</v>
      </c>
    </row>
    <row r="935" ht="69" customHeight="1" s="211">
      <c r="A935" s="92">
        <f>Accounts!A935</f>
        <v/>
      </c>
      <c r="B935" s="12" t="b">
        <v>0</v>
      </c>
      <c r="C935" s="93">
        <f>Accounts!N935</f>
        <v/>
      </c>
      <c r="D935" s="94" t="n"/>
      <c r="E935" s="93">
        <f>Accounts!F935</f>
        <v/>
      </c>
      <c r="F935" s="94">
        <f>Accounts!Q935</f>
        <v/>
      </c>
      <c r="G935" s="94">
        <f>Accounts!R935</f>
        <v/>
      </c>
      <c r="H935" s="94">
        <f>Accounts!I935</f>
        <v/>
      </c>
      <c r="I935" s="94">
        <f>Accounts!J935</f>
        <v/>
      </c>
      <c r="J935" s="93">
        <f>Accounts!S935</f>
        <v/>
      </c>
      <c r="K935" s="88" t="n"/>
      <c r="L935" s="95" t="n"/>
      <c r="M935" s="55" t="b">
        <v>0</v>
      </c>
      <c r="N935" s="96" t="b">
        <v>0</v>
      </c>
      <c r="O935" s="55" t="b">
        <v>0</v>
      </c>
      <c r="P935" s="55" t="b">
        <v>0</v>
      </c>
      <c r="Q935" s="55" t="b">
        <v>0</v>
      </c>
      <c r="R935" s="55" t="b">
        <v>0</v>
      </c>
      <c r="S935" s="55" t="b">
        <v>0</v>
      </c>
      <c r="T935" s="55" t="b">
        <v>0</v>
      </c>
      <c r="U935" s="55" t="b">
        <v>0</v>
      </c>
      <c r="V935" s="55" t="b">
        <v>0</v>
      </c>
    </row>
    <row r="936" ht="69" customHeight="1" s="211">
      <c r="A936" s="92">
        <f>Accounts!A936</f>
        <v/>
      </c>
      <c r="B936" s="12" t="b">
        <v>0</v>
      </c>
      <c r="C936" s="93">
        <f>Accounts!N936</f>
        <v/>
      </c>
      <c r="D936" s="94" t="n"/>
      <c r="E936" s="93">
        <f>Accounts!F936</f>
        <v/>
      </c>
      <c r="F936" s="94">
        <f>Accounts!Q936</f>
        <v/>
      </c>
      <c r="G936" s="94">
        <f>Accounts!R936</f>
        <v/>
      </c>
      <c r="H936" s="94">
        <f>Accounts!I936</f>
        <v/>
      </c>
      <c r="I936" s="94">
        <f>Accounts!J936</f>
        <v/>
      </c>
      <c r="J936" s="93">
        <f>Accounts!S936</f>
        <v/>
      </c>
      <c r="K936" s="88" t="n"/>
      <c r="L936" s="95" t="n"/>
      <c r="M936" s="55" t="b">
        <v>0</v>
      </c>
      <c r="N936" s="96" t="b">
        <v>0</v>
      </c>
      <c r="O936" s="55" t="b">
        <v>0</v>
      </c>
      <c r="P936" s="55" t="b">
        <v>0</v>
      </c>
      <c r="Q936" s="55" t="b">
        <v>0</v>
      </c>
      <c r="R936" s="55" t="b">
        <v>0</v>
      </c>
      <c r="S936" s="55" t="b">
        <v>0</v>
      </c>
      <c r="T936" s="55" t="b">
        <v>0</v>
      </c>
      <c r="U936" s="55" t="b">
        <v>0</v>
      </c>
      <c r="V936" s="55" t="b">
        <v>0</v>
      </c>
    </row>
    <row r="937" ht="69" customHeight="1" s="211">
      <c r="A937" s="92">
        <f>Accounts!A937</f>
        <v/>
      </c>
      <c r="B937" s="12" t="b">
        <v>0</v>
      </c>
      <c r="C937" s="93">
        <f>Accounts!N937</f>
        <v/>
      </c>
      <c r="D937" s="94" t="n"/>
      <c r="E937" s="93">
        <f>Accounts!F937</f>
        <v/>
      </c>
      <c r="F937" s="94">
        <f>Accounts!Q937</f>
        <v/>
      </c>
      <c r="G937" s="94">
        <f>Accounts!R937</f>
        <v/>
      </c>
      <c r="H937" s="94">
        <f>Accounts!I937</f>
        <v/>
      </c>
      <c r="I937" s="94">
        <f>Accounts!J937</f>
        <v/>
      </c>
      <c r="J937" s="93">
        <f>Accounts!S937</f>
        <v/>
      </c>
      <c r="K937" s="88" t="n"/>
      <c r="L937" s="95" t="n"/>
      <c r="M937" s="55" t="b">
        <v>0</v>
      </c>
      <c r="N937" s="96" t="b">
        <v>0</v>
      </c>
      <c r="O937" s="55" t="b">
        <v>0</v>
      </c>
      <c r="P937" s="55" t="b">
        <v>0</v>
      </c>
      <c r="Q937" s="55" t="b">
        <v>0</v>
      </c>
      <c r="R937" s="55" t="b">
        <v>0</v>
      </c>
      <c r="S937" s="55" t="b">
        <v>0</v>
      </c>
      <c r="T937" s="55" t="b">
        <v>0</v>
      </c>
      <c r="U937" s="55" t="b">
        <v>0</v>
      </c>
      <c r="V937" s="55" t="b">
        <v>0</v>
      </c>
    </row>
    <row r="938" ht="69" customHeight="1" s="211">
      <c r="A938" s="92">
        <f>Accounts!A938</f>
        <v/>
      </c>
      <c r="B938" s="12" t="b">
        <v>0</v>
      </c>
      <c r="C938" s="93">
        <f>Accounts!N938</f>
        <v/>
      </c>
      <c r="D938" s="94" t="n"/>
      <c r="E938" s="93">
        <f>Accounts!F938</f>
        <v/>
      </c>
      <c r="F938" s="94">
        <f>Accounts!Q938</f>
        <v/>
      </c>
      <c r="G938" s="94">
        <f>Accounts!R938</f>
        <v/>
      </c>
      <c r="H938" s="94">
        <f>Accounts!I938</f>
        <v/>
      </c>
      <c r="I938" s="94">
        <f>Accounts!J938</f>
        <v/>
      </c>
      <c r="J938" s="93">
        <f>Accounts!S938</f>
        <v/>
      </c>
      <c r="K938" s="88" t="n"/>
      <c r="L938" s="95" t="n"/>
      <c r="M938" s="55" t="b">
        <v>0</v>
      </c>
      <c r="N938" s="96" t="b">
        <v>0</v>
      </c>
      <c r="O938" s="55" t="b">
        <v>0</v>
      </c>
      <c r="P938" s="55" t="b">
        <v>0</v>
      </c>
      <c r="Q938" s="55" t="b">
        <v>0</v>
      </c>
      <c r="R938" s="55" t="b">
        <v>0</v>
      </c>
      <c r="S938" s="55" t="b">
        <v>0</v>
      </c>
      <c r="T938" s="55" t="b">
        <v>0</v>
      </c>
      <c r="U938" s="55" t="b">
        <v>0</v>
      </c>
      <c r="V938" s="55" t="b">
        <v>0</v>
      </c>
    </row>
    <row r="939" ht="69" customHeight="1" s="211">
      <c r="A939" s="92">
        <f>Accounts!A939</f>
        <v/>
      </c>
      <c r="B939" s="12" t="b">
        <v>0</v>
      </c>
      <c r="C939" s="93">
        <f>Accounts!N939</f>
        <v/>
      </c>
      <c r="D939" s="94" t="n"/>
      <c r="E939" s="93">
        <f>Accounts!F939</f>
        <v/>
      </c>
      <c r="F939" s="94">
        <f>Accounts!Q939</f>
        <v/>
      </c>
      <c r="G939" s="94">
        <f>Accounts!R939</f>
        <v/>
      </c>
      <c r="H939" s="94">
        <f>Accounts!I939</f>
        <v/>
      </c>
      <c r="I939" s="94">
        <f>Accounts!J939</f>
        <v/>
      </c>
      <c r="J939" s="93">
        <f>Accounts!S939</f>
        <v/>
      </c>
      <c r="K939" s="88" t="n"/>
      <c r="L939" s="95" t="n"/>
      <c r="M939" s="55" t="b">
        <v>0</v>
      </c>
      <c r="N939" s="96" t="b">
        <v>0</v>
      </c>
      <c r="O939" s="55" t="b">
        <v>0</v>
      </c>
      <c r="P939" s="55" t="b">
        <v>0</v>
      </c>
      <c r="Q939" s="55" t="b">
        <v>0</v>
      </c>
      <c r="R939" s="55" t="b">
        <v>0</v>
      </c>
      <c r="S939" s="55" t="b">
        <v>0</v>
      </c>
      <c r="T939" s="55" t="b">
        <v>0</v>
      </c>
      <c r="U939" s="55" t="b">
        <v>0</v>
      </c>
      <c r="V939" s="55" t="b">
        <v>0</v>
      </c>
    </row>
    <row r="940" ht="69" customHeight="1" s="211">
      <c r="A940" s="92">
        <f>Accounts!A940</f>
        <v/>
      </c>
      <c r="B940" s="12" t="b">
        <v>0</v>
      </c>
      <c r="C940" s="93">
        <f>Accounts!N940</f>
        <v/>
      </c>
      <c r="D940" s="94" t="n"/>
      <c r="E940" s="93">
        <f>Accounts!F940</f>
        <v/>
      </c>
      <c r="F940" s="94">
        <f>Accounts!Q940</f>
        <v/>
      </c>
      <c r="G940" s="94">
        <f>Accounts!R940</f>
        <v/>
      </c>
      <c r="H940" s="94">
        <f>Accounts!I940</f>
        <v/>
      </c>
      <c r="I940" s="94">
        <f>Accounts!J940</f>
        <v/>
      </c>
      <c r="J940" s="93">
        <f>Accounts!S940</f>
        <v/>
      </c>
      <c r="K940" s="88" t="n"/>
      <c r="L940" s="95" t="n"/>
      <c r="M940" s="55" t="b">
        <v>0</v>
      </c>
      <c r="N940" s="96" t="b">
        <v>0</v>
      </c>
      <c r="O940" s="55" t="b">
        <v>0</v>
      </c>
      <c r="P940" s="55" t="b">
        <v>0</v>
      </c>
      <c r="Q940" s="55" t="b">
        <v>0</v>
      </c>
      <c r="R940" s="55" t="b">
        <v>0</v>
      </c>
      <c r="S940" s="55" t="b">
        <v>0</v>
      </c>
      <c r="T940" s="55" t="b">
        <v>0</v>
      </c>
      <c r="U940" s="55" t="b">
        <v>0</v>
      </c>
      <c r="V940" s="55" t="b">
        <v>0</v>
      </c>
    </row>
    <row r="941" ht="69" customHeight="1" s="211">
      <c r="A941" s="92">
        <f>Accounts!A941</f>
        <v/>
      </c>
      <c r="B941" s="12" t="b">
        <v>0</v>
      </c>
      <c r="C941" s="93">
        <f>Accounts!N941</f>
        <v/>
      </c>
      <c r="D941" s="94" t="n"/>
      <c r="E941" s="93">
        <f>Accounts!F941</f>
        <v/>
      </c>
      <c r="F941" s="94">
        <f>Accounts!Q941</f>
        <v/>
      </c>
      <c r="G941" s="94">
        <f>Accounts!R941</f>
        <v/>
      </c>
      <c r="H941" s="94">
        <f>Accounts!I941</f>
        <v/>
      </c>
      <c r="I941" s="94">
        <f>Accounts!J941</f>
        <v/>
      </c>
      <c r="J941" s="93">
        <f>Accounts!S941</f>
        <v/>
      </c>
      <c r="K941" s="88" t="n"/>
      <c r="L941" s="95" t="n"/>
      <c r="M941" s="55" t="b">
        <v>0</v>
      </c>
      <c r="N941" s="96" t="b">
        <v>0</v>
      </c>
      <c r="O941" s="55" t="b">
        <v>0</v>
      </c>
      <c r="P941" s="55" t="b">
        <v>0</v>
      </c>
      <c r="Q941" s="55" t="b">
        <v>0</v>
      </c>
      <c r="R941" s="55" t="b">
        <v>0</v>
      </c>
      <c r="S941" s="55" t="b">
        <v>0</v>
      </c>
      <c r="T941" s="55" t="b">
        <v>0</v>
      </c>
      <c r="U941" s="55" t="b">
        <v>0</v>
      </c>
      <c r="V941" s="55" t="b">
        <v>0</v>
      </c>
    </row>
    <row r="942" ht="69" customHeight="1" s="211">
      <c r="A942" s="92">
        <f>Accounts!A942</f>
        <v/>
      </c>
      <c r="B942" s="12" t="b">
        <v>0</v>
      </c>
      <c r="C942" s="93">
        <f>Accounts!N942</f>
        <v/>
      </c>
      <c r="D942" s="94" t="n"/>
      <c r="E942" s="93">
        <f>Accounts!F942</f>
        <v/>
      </c>
      <c r="F942" s="94">
        <f>Accounts!Q942</f>
        <v/>
      </c>
      <c r="G942" s="94">
        <f>Accounts!R942</f>
        <v/>
      </c>
      <c r="H942" s="94">
        <f>Accounts!I942</f>
        <v/>
      </c>
      <c r="I942" s="94">
        <f>Accounts!J942</f>
        <v/>
      </c>
      <c r="J942" s="93">
        <f>Accounts!S942</f>
        <v/>
      </c>
      <c r="K942" s="88" t="n"/>
      <c r="L942" s="95" t="n"/>
      <c r="M942" s="55" t="b">
        <v>0</v>
      </c>
      <c r="N942" s="96" t="b">
        <v>0</v>
      </c>
      <c r="O942" s="55" t="b">
        <v>0</v>
      </c>
      <c r="P942" s="55" t="b">
        <v>0</v>
      </c>
      <c r="Q942" s="55" t="b">
        <v>0</v>
      </c>
      <c r="R942" s="55" t="b">
        <v>0</v>
      </c>
      <c r="S942" s="55" t="b">
        <v>0</v>
      </c>
      <c r="T942" s="55" t="b">
        <v>0</v>
      </c>
      <c r="U942" s="55" t="b">
        <v>0</v>
      </c>
      <c r="V942" s="55" t="b">
        <v>0</v>
      </c>
    </row>
    <row r="943" ht="69" customHeight="1" s="211">
      <c r="A943" s="92">
        <f>Accounts!A943</f>
        <v/>
      </c>
      <c r="B943" s="12" t="b">
        <v>0</v>
      </c>
      <c r="C943" s="93">
        <f>Accounts!N943</f>
        <v/>
      </c>
      <c r="D943" s="94" t="n"/>
      <c r="E943" s="93">
        <f>Accounts!F943</f>
        <v/>
      </c>
      <c r="F943" s="94">
        <f>Accounts!Q943</f>
        <v/>
      </c>
      <c r="G943" s="94">
        <f>Accounts!R943</f>
        <v/>
      </c>
      <c r="H943" s="94">
        <f>Accounts!I943</f>
        <v/>
      </c>
      <c r="I943" s="94">
        <f>Accounts!J943</f>
        <v/>
      </c>
      <c r="J943" s="93">
        <f>Accounts!S943</f>
        <v/>
      </c>
      <c r="K943" s="88" t="n"/>
      <c r="L943" s="95" t="n"/>
      <c r="M943" s="55" t="b">
        <v>0</v>
      </c>
      <c r="N943" s="96" t="b">
        <v>0</v>
      </c>
      <c r="O943" s="55" t="b">
        <v>0</v>
      </c>
      <c r="P943" s="55" t="b">
        <v>0</v>
      </c>
      <c r="Q943" s="55" t="b">
        <v>0</v>
      </c>
      <c r="R943" s="55" t="b">
        <v>0</v>
      </c>
      <c r="S943" s="55" t="b">
        <v>0</v>
      </c>
      <c r="T943" s="55" t="b">
        <v>0</v>
      </c>
      <c r="U943" s="55" t="b">
        <v>0</v>
      </c>
      <c r="V943" s="55" t="b">
        <v>0</v>
      </c>
    </row>
    <row r="944" ht="69" customHeight="1" s="211">
      <c r="A944" s="92">
        <f>Accounts!A944</f>
        <v/>
      </c>
      <c r="B944" s="12" t="b">
        <v>0</v>
      </c>
      <c r="C944" s="93">
        <f>Accounts!N944</f>
        <v/>
      </c>
      <c r="D944" s="94" t="n"/>
      <c r="E944" s="93">
        <f>Accounts!F944</f>
        <v/>
      </c>
      <c r="F944" s="94">
        <f>Accounts!Q944</f>
        <v/>
      </c>
      <c r="G944" s="94">
        <f>Accounts!R944</f>
        <v/>
      </c>
      <c r="H944" s="94">
        <f>Accounts!I944</f>
        <v/>
      </c>
      <c r="I944" s="94">
        <f>Accounts!J944</f>
        <v/>
      </c>
      <c r="J944" s="93">
        <f>Accounts!S944</f>
        <v/>
      </c>
      <c r="K944" s="88" t="n"/>
      <c r="L944" s="95" t="n"/>
      <c r="M944" s="55" t="b">
        <v>0</v>
      </c>
      <c r="N944" s="96" t="b">
        <v>0</v>
      </c>
      <c r="O944" s="55" t="b">
        <v>0</v>
      </c>
      <c r="P944" s="55" t="b">
        <v>0</v>
      </c>
      <c r="Q944" s="55" t="b">
        <v>0</v>
      </c>
      <c r="R944" s="55" t="b">
        <v>0</v>
      </c>
      <c r="S944" s="55" t="b">
        <v>0</v>
      </c>
      <c r="T944" s="55" t="b">
        <v>0</v>
      </c>
      <c r="U944" s="55" t="b">
        <v>0</v>
      </c>
      <c r="V944" s="55" t="b">
        <v>0</v>
      </c>
    </row>
    <row r="945" ht="69" customHeight="1" s="211">
      <c r="A945" s="92">
        <f>Accounts!A945</f>
        <v/>
      </c>
      <c r="B945" s="12" t="b">
        <v>0</v>
      </c>
      <c r="C945" s="93">
        <f>Accounts!N945</f>
        <v/>
      </c>
      <c r="D945" s="94" t="n"/>
      <c r="E945" s="93">
        <f>Accounts!F945</f>
        <v/>
      </c>
      <c r="F945" s="94">
        <f>Accounts!Q945</f>
        <v/>
      </c>
      <c r="G945" s="94">
        <f>Accounts!R945</f>
        <v/>
      </c>
      <c r="H945" s="94">
        <f>Accounts!I945</f>
        <v/>
      </c>
      <c r="I945" s="94">
        <f>Accounts!J945</f>
        <v/>
      </c>
      <c r="J945" s="93">
        <f>Accounts!S945</f>
        <v/>
      </c>
      <c r="K945" s="88" t="n"/>
      <c r="L945" s="95" t="n"/>
      <c r="M945" s="55" t="b">
        <v>0</v>
      </c>
      <c r="N945" s="96" t="b">
        <v>0</v>
      </c>
      <c r="O945" s="55" t="b">
        <v>0</v>
      </c>
      <c r="P945" s="55" t="b">
        <v>0</v>
      </c>
      <c r="Q945" s="55" t="b">
        <v>0</v>
      </c>
      <c r="R945" s="55" t="b">
        <v>0</v>
      </c>
      <c r="S945" s="55" t="b">
        <v>0</v>
      </c>
      <c r="T945" s="55" t="b">
        <v>0</v>
      </c>
      <c r="U945" s="55" t="b">
        <v>0</v>
      </c>
      <c r="V945" s="55" t="b">
        <v>0</v>
      </c>
    </row>
    <row r="946" ht="69" customHeight="1" s="211">
      <c r="A946" s="92">
        <f>Accounts!A946</f>
        <v/>
      </c>
      <c r="B946" s="12" t="b">
        <v>0</v>
      </c>
      <c r="C946" s="93">
        <f>Accounts!N946</f>
        <v/>
      </c>
      <c r="D946" s="94" t="n"/>
      <c r="E946" s="93">
        <f>Accounts!F946</f>
        <v/>
      </c>
      <c r="F946" s="94">
        <f>Accounts!Q946</f>
        <v/>
      </c>
      <c r="G946" s="94">
        <f>Accounts!R946</f>
        <v/>
      </c>
      <c r="H946" s="94">
        <f>Accounts!I946</f>
        <v/>
      </c>
      <c r="I946" s="94">
        <f>Accounts!J946</f>
        <v/>
      </c>
      <c r="J946" s="93">
        <f>Accounts!S946</f>
        <v/>
      </c>
      <c r="K946" s="88" t="n"/>
      <c r="L946" s="95" t="n"/>
      <c r="M946" s="55" t="b">
        <v>0</v>
      </c>
      <c r="N946" s="96" t="b">
        <v>0</v>
      </c>
      <c r="O946" s="55" t="b">
        <v>0</v>
      </c>
      <c r="P946" s="55" t="b">
        <v>0</v>
      </c>
      <c r="Q946" s="55" t="b">
        <v>0</v>
      </c>
      <c r="R946" s="55" t="b">
        <v>0</v>
      </c>
      <c r="S946" s="55" t="b">
        <v>0</v>
      </c>
      <c r="T946" s="55" t="b">
        <v>0</v>
      </c>
      <c r="U946" s="55" t="b">
        <v>0</v>
      </c>
      <c r="V946" s="55" t="b">
        <v>0</v>
      </c>
    </row>
    <row r="947" ht="69" customHeight="1" s="211">
      <c r="A947" s="92">
        <f>Accounts!A947</f>
        <v/>
      </c>
      <c r="B947" s="12" t="b">
        <v>0</v>
      </c>
      <c r="C947" s="93">
        <f>Accounts!N947</f>
        <v/>
      </c>
      <c r="D947" s="94" t="n"/>
      <c r="E947" s="93">
        <f>Accounts!F947</f>
        <v/>
      </c>
      <c r="F947" s="94">
        <f>Accounts!Q947</f>
        <v/>
      </c>
      <c r="G947" s="94">
        <f>Accounts!R947</f>
        <v/>
      </c>
      <c r="H947" s="94">
        <f>Accounts!I947</f>
        <v/>
      </c>
      <c r="I947" s="94">
        <f>Accounts!J947</f>
        <v/>
      </c>
      <c r="J947" s="93">
        <f>Accounts!S947</f>
        <v/>
      </c>
      <c r="K947" s="88" t="n"/>
      <c r="L947" s="95" t="n"/>
      <c r="M947" s="55" t="b">
        <v>0</v>
      </c>
      <c r="N947" s="96" t="b">
        <v>0</v>
      </c>
      <c r="O947" s="55" t="b">
        <v>0</v>
      </c>
      <c r="P947" s="55" t="b">
        <v>0</v>
      </c>
      <c r="Q947" s="55" t="b">
        <v>0</v>
      </c>
      <c r="R947" s="55" t="b">
        <v>0</v>
      </c>
      <c r="S947" s="55" t="b">
        <v>0</v>
      </c>
      <c r="T947" s="55" t="b">
        <v>0</v>
      </c>
      <c r="U947" s="55" t="b">
        <v>0</v>
      </c>
      <c r="V947" s="55" t="b">
        <v>0</v>
      </c>
    </row>
    <row r="948" ht="69" customHeight="1" s="211">
      <c r="A948" s="92">
        <f>Accounts!A948</f>
        <v/>
      </c>
      <c r="B948" s="12" t="b">
        <v>0</v>
      </c>
      <c r="C948" s="93">
        <f>Accounts!N948</f>
        <v/>
      </c>
      <c r="D948" s="94" t="n"/>
      <c r="E948" s="93">
        <f>Accounts!F948</f>
        <v/>
      </c>
      <c r="F948" s="94">
        <f>Accounts!Q948</f>
        <v/>
      </c>
      <c r="G948" s="94">
        <f>Accounts!R948</f>
        <v/>
      </c>
      <c r="H948" s="94">
        <f>Accounts!I948</f>
        <v/>
      </c>
      <c r="I948" s="94">
        <f>Accounts!J948</f>
        <v/>
      </c>
      <c r="J948" s="93">
        <f>Accounts!S948</f>
        <v/>
      </c>
      <c r="K948" s="88" t="n"/>
      <c r="L948" s="95" t="n"/>
      <c r="M948" s="55" t="b">
        <v>0</v>
      </c>
      <c r="N948" s="96" t="b">
        <v>0</v>
      </c>
      <c r="O948" s="55" t="b">
        <v>0</v>
      </c>
      <c r="P948" s="55" t="b">
        <v>0</v>
      </c>
      <c r="Q948" s="55" t="b">
        <v>0</v>
      </c>
      <c r="R948" s="55" t="b">
        <v>0</v>
      </c>
      <c r="S948" s="55" t="b">
        <v>0</v>
      </c>
      <c r="T948" s="55" t="b">
        <v>0</v>
      </c>
      <c r="U948" s="55" t="b">
        <v>0</v>
      </c>
      <c r="V948" s="55" t="b">
        <v>0</v>
      </c>
    </row>
    <row r="949" ht="69" customHeight="1" s="211">
      <c r="A949" s="92">
        <f>Accounts!A949</f>
        <v/>
      </c>
      <c r="B949" s="12" t="b">
        <v>0</v>
      </c>
      <c r="C949" s="93">
        <f>Accounts!N949</f>
        <v/>
      </c>
      <c r="D949" s="94" t="n"/>
      <c r="E949" s="93">
        <f>Accounts!F949</f>
        <v/>
      </c>
      <c r="F949" s="94">
        <f>Accounts!Q949</f>
        <v/>
      </c>
      <c r="G949" s="94">
        <f>Accounts!R949</f>
        <v/>
      </c>
      <c r="H949" s="94">
        <f>Accounts!I949</f>
        <v/>
      </c>
      <c r="I949" s="94">
        <f>Accounts!J949</f>
        <v/>
      </c>
      <c r="J949" s="93">
        <f>Accounts!S949</f>
        <v/>
      </c>
      <c r="K949" s="88" t="n"/>
      <c r="L949" s="95" t="n"/>
      <c r="M949" s="55" t="b">
        <v>0</v>
      </c>
      <c r="N949" s="96" t="b">
        <v>0</v>
      </c>
      <c r="O949" s="55" t="b">
        <v>0</v>
      </c>
      <c r="P949" s="55" t="b">
        <v>0</v>
      </c>
      <c r="Q949" s="55" t="b">
        <v>0</v>
      </c>
      <c r="R949" s="55" t="b">
        <v>0</v>
      </c>
      <c r="S949" s="55" t="b">
        <v>0</v>
      </c>
      <c r="T949" s="55" t="b">
        <v>0</v>
      </c>
      <c r="U949" s="55" t="b">
        <v>0</v>
      </c>
      <c r="V949" s="55" t="b">
        <v>0</v>
      </c>
    </row>
    <row r="950" ht="69" customHeight="1" s="211">
      <c r="A950" s="92">
        <f>Accounts!A950</f>
        <v/>
      </c>
      <c r="B950" s="12" t="b">
        <v>0</v>
      </c>
      <c r="C950" s="93">
        <f>Accounts!N950</f>
        <v/>
      </c>
      <c r="D950" s="94" t="n"/>
      <c r="E950" s="93">
        <f>Accounts!F950</f>
        <v/>
      </c>
      <c r="F950" s="94">
        <f>Accounts!Q950</f>
        <v/>
      </c>
      <c r="G950" s="94">
        <f>Accounts!R950</f>
        <v/>
      </c>
      <c r="H950" s="94">
        <f>Accounts!I950</f>
        <v/>
      </c>
      <c r="I950" s="94">
        <f>Accounts!J950</f>
        <v/>
      </c>
      <c r="J950" s="93">
        <f>Accounts!S950</f>
        <v/>
      </c>
      <c r="K950" s="88" t="n"/>
      <c r="L950" s="95" t="n"/>
      <c r="M950" s="55" t="b">
        <v>0</v>
      </c>
      <c r="N950" s="96" t="b">
        <v>0</v>
      </c>
      <c r="O950" s="55" t="b">
        <v>0</v>
      </c>
      <c r="P950" s="55" t="b">
        <v>0</v>
      </c>
      <c r="Q950" s="55" t="b">
        <v>0</v>
      </c>
      <c r="R950" s="55" t="b">
        <v>0</v>
      </c>
      <c r="S950" s="55" t="b">
        <v>0</v>
      </c>
      <c r="T950" s="55" t="b">
        <v>0</v>
      </c>
      <c r="U950" s="55" t="b">
        <v>0</v>
      </c>
      <c r="V950" s="55" t="b">
        <v>0</v>
      </c>
    </row>
    <row r="951" ht="69" customHeight="1" s="211">
      <c r="A951" s="92">
        <f>Accounts!A951</f>
        <v/>
      </c>
      <c r="B951" s="12" t="b">
        <v>0</v>
      </c>
      <c r="C951" s="93">
        <f>Accounts!N951</f>
        <v/>
      </c>
      <c r="D951" s="94" t="n"/>
      <c r="E951" s="93">
        <f>Accounts!F951</f>
        <v/>
      </c>
      <c r="F951" s="94">
        <f>Accounts!Q951</f>
        <v/>
      </c>
      <c r="G951" s="94">
        <f>Accounts!R951</f>
        <v/>
      </c>
      <c r="H951" s="94">
        <f>Accounts!I951</f>
        <v/>
      </c>
      <c r="I951" s="94">
        <f>Accounts!J951</f>
        <v/>
      </c>
      <c r="J951" s="93">
        <f>Accounts!S951</f>
        <v/>
      </c>
      <c r="K951" s="88" t="n"/>
      <c r="L951" s="95" t="n"/>
      <c r="M951" s="55" t="b">
        <v>0</v>
      </c>
      <c r="N951" s="96" t="b">
        <v>0</v>
      </c>
      <c r="O951" s="55" t="b">
        <v>0</v>
      </c>
      <c r="P951" s="55" t="b">
        <v>0</v>
      </c>
      <c r="Q951" s="55" t="b">
        <v>0</v>
      </c>
      <c r="R951" s="55" t="b">
        <v>0</v>
      </c>
      <c r="S951" s="55" t="b">
        <v>0</v>
      </c>
      <c r="T951" s="55" t="b">
        <v>0</v>
      </c>
      <c r="U951" s="55" t="b">
        <v>0</v>
      </c>
      <c r="V951" s="55" t="b">
        <v>0</v>
      </c>
    </row>
    <row r="952" ht="69" customHeight="1" s="211">
      <c r="A952" s="92">
        <f>Accounts!A952</f>
        <v/>
      </c>
      <c r="B952" s="12" t="b">
        <v>0</v>
      </c>
      <c r="C952" s="93">
        <f>Accounts!N952</f>
        <v/>
      </c>
      <c r="D952" s="94" t="n"/>
      <c r="E952" s="93">
        <f>Accounts!F952</f>
        <v/>
      </c>
      <c r="F952" s="94">
        <f>Accounts!Q952</f>
        <v/>
      </c>
      <c r="G952" s="94">
        <f>Accounts!R952</f>
        <v/>
      </c>
      <c r="H952" s="94">
        <f>Accounts!I952</f>
        <v/>
      </c>
      <c r="I952" s="94">
        <f>Accounts!J952</f>
        <v/>
      </c>
      <c r="J952" s="93">
        <f>Accounts!S952</f>
        <v/>
      </c>
      <c r="K952" s="88" t="n"/>
      <c r="L952" s="95" t="n"/>
      <c r="M952" s="55" t="b">
        <v>0</v>
      </c>
      <c r="N952" s="96" t="b">
        <v>0</v>
      </c>
      <c r="O952" s="55" t="b">
        <v>0</v>
      </c>
      <c r="P952" s="55" t="b">
        <v>0</v>
      </c>
      <c r="Q952" s="55" t="b">
        <v>0</v>
      </c>
      <c r="R952" s="55" t="b">
        <v>0</v>
      </c>
      <c r="S952" s="55" t="b">
        <v>0</v>
      </c>
      <c r="T952" s="55" t="b">
        <v>0</v>
      </c>
      <c r="U952" s="55" t="b">
        <v>0</v>
      </c>
      <c r="V952" s="55" t="b">
        <v>0</v>
      </c>
    </row>
    <row r="953" ht="69" customHeight="1" s="211">
      <c r="A953" s="92">
        <f>Accounts!A953</f>
        <v/>
      </c>
      <c r="B953" s="12" t="b">
        <v>0</v>
      </c>
      <c r="C953" s="93">
        <f>Accounts!N953</f>
        <v/>
      </c>
      <c r="D953" s="94" t="n"/>
      <c r="E953" s="93">
        <f>Accounts!F953</f>
        <v/>
      </c>
      <c r="F953" s="94">
        <f>Accounts!Q953</f>
        <v/>
      </c>
      <c r="G953" s="94">
        <f>Accounts!R953</f>
        <v/>
      </c>
      <c r="H953" s="94">
        <f>Accounts!I953</f>
        <v/>
      </c>
      <c r="I953" s="94">
        <f>Accounts!J953</f>
        <v/>
      </c>
      <c r="J953" s="93">
        <f>Accounts!S953</f>
        <v/>
      </c>
      <c r="K953" s="88" t="n"/>
      <c r="L953" s="95" t="n"/>
      <c r="M953" s="55" t="b">
        <v>0</v>
      </c>
      <c r="N953" s="96" t="b">
        <v>0</v>
      </c>
      <c r="O953" s="55" t="b">
        <v>0</v>
      </c>
      <c r="P953" s="55" t="b">
        <v>0</v>
      </c>
      <c r="Q953" s="55" t="b">
        <v>0</v>
      </c>
      <c r="R953" s="55" t="b">
        <v>0</v>
      </c>
      <c r="S953" s="55" t="b">
        <v>0</v>
      </c>
      <c r="T953" s="55" t="b">
        <v>0</v>
      </c>
      <c r="U953" s="55" t="b">
        <v>0</v>
      </c>
      <c r="V953" s="55" t="b">
        <v>0</v>
      </c>
    </row>
    <row r="954" ht="69" customHeight="1" s="211">
      <c r="A954" s="92">
        <f>Accounts!A954</f>
        <v/>
      </c>
      <c r="B954" s="12" t="b">
        <v>0</v>
      </c>
      <c r="C954" s="93">
        <f>Accounts!N954</f>
        <v/>
      </c>
      <c r="D954" s="94" t="n"/>
      <c r="E954" s="93">
        <f>Accounts!F954</f>
        <v/>
      </c>
      <c r="F954" s="94">
        <f>Accounts!Q954</f>
        <v/>
      </c>
      <c r="G954" s="94">
        <f>Accounts!R954</f>
        <v/>
      </c>
      <c r="H954" s="94">
        <f>Accounts!I954</f>
        <v/>
      </c>
      <c r="I954" s="94">
        <f>Accounts!J954</f>
        <v/>
      </c>
      <c r="J954" s="93">
        <f>Accounts!S954</f>
        <v/>
      </c>
      <c r="K954" s="88" t="n"/>
      <c r="L954" s="95" t="n"/>
      <c r="M954" s="55" t="b">
        <v>0</v>
      </c>
      <c r="N954" s="96" t="b">
        <v>0</v>
      </c>
      <c r="O954" s="55" t="b">
        <v>0</v>
      </c>
      <c r="P954" s="55" t="b">
        <v>0</v>
      </c>
      <c r="Q954" s="55" t="b">
        <v>0</v>
      </c>
      <c r="R954" s="55" t="b">
        <v>0</v>
      </c>
      <c r="S954" s="55" t="b">
        <v>0</v>
      </c>
      <c r="T954" s="55" t="b">
        <v>0</v>
      </c>
      <c r="U954" s="55" t="b">
        <v>0</v>
      </c>
      <c r="V954" s="55" t="b">
        <v>0</v>
      </c>
    </row>
    <row r="955" ht="69" customHeight="1" s="211">
      <c r="A955" s="92">
        <f>Accounts!A955</f>
        <v/>
      </c>
      <c r="B955" s="12" t="b">
        <v>0</v>
      </c>
      <c r="C955" s="93">
        <f>Accounts!N955</f>
        <v/>
      </c>
      <c r="D955" s="94" t="n"/>
      <c r="E955" s="93">
        <f>Accounts!F955</f>
        <v/>
      </c>
      <c r="F955" s="94">
        <f>Accounts!Q955</f>
        <v/>
      </c>
      <c r="G955" s="94">
        <f>Accounts!R955</f>
        <v/>
      </c>
      <c r="H955" s="94">
        <f>Accounts!I955</f>
        <v/>
      </c>
      <c r="I955" s="94">
        <f>Accounts!J955</f>
        <v/>
      </c>
      <c r="J955" s="93">
        <f>Accounts!S955</f>
        <v/>
      </c>
      <c r="K955" s="88" t="n"/>
      <c r="L955" s="95" t="n"/>
      <c r="M955" s="55" t="b">
        <v>0</v>
      </c>
      <c r="N955" s="96" t="b">
        <v>0</v>
      </c>
      <c r="O955" s="55" t="b">
        <v>0</v>
      </c>
      <c r="P955" s="55" t="b">
        <v>0</v>
      </c>
      <c r="Q955" s="55" t="b">
        <v>0</v>
      </c>
      <c r="R955" s="55" t="b">
        <v>0</v>
      </c>
      <c r="S955" s="55" t="b">
        <v>0</v>
      </c>
      <c r="T955" s="55" t="b">
        <v>0</v>
      </c>
      <c r="U955" s="55" t="b">
        <v>0</v>
      </c>
      <c r="V955" s="55" t="b">
        <v>0</v>
      </c>
    </row>
    <row r="956" ht="69" customHeight="1" s="211">
      <c r="A956" s="92">
        <f>Accounts!A956</f>
        <v/>
      </c>
      <c r="B956" s="12" t="b">
        <v>0</v>
      </c>
      <c r="C956" s="93">
        <f>Accounts!N956</f>
        <v/>
      </c>
      <c r="D956" s="94" t="n"/>
      <c r="E956" s="93">
        <f>Accounts!F956</f>
        <v/>
      </c>
      <c r="F956" s="94">
        <f>Accounts!Q956</f>
        <v/>
      </c>
      <c r="G956" s="94">
        <f>Accounts!R956</f>
        <v/>
      </c>
      <c r="H956" s="94">
        <f>Accounts!I956</f>
        <v/>
      </c>
      <c r="I956" s="94">
        <f>Accounts!J956</f>
        <v/>
      </c>
      <c r="J956" s="93">
        <f>Accounts!S956</f>
        <v/>
      </c>
      <c r="K956" s="88" t="n"/>
      <c r="L956" s="95" t="n"/>
      <c r="M956" s="55" t="b">
        <v>0</v>
      </c>
      <c r="N956" s="96" t="b">
        <v>0</v>
      </c>
      <c r="O956" s="55" t="b">
        <v>0</v>
      </c>
      <c r="P956" s="55" t="b">
        <v>0</v>
      </c>
      <c r="Q956" s="55" t="b">
        <v>0</v>
      </c>
      <c r="R956" s="55" t="b">
        <v>0</v>
      </c>
      <c r="S956" s="55" t="b">
        <v>0</v>
      </c>
      <c r="T956" s="55" t="b">
        <v>0</v>
      </c>
      <c r="U956" s="55" t="b">
        <v>0</v>
      </c>
      <c r="V956" s="55" t="b">
        <v>0</v>
      </c>
    </row>
    <row r="957" ht="69" customHeight="1" s="211">
      <c r="A957" s="92">
        <f>Accounts!A957</f>
        <v/>
      </c>
      <c r="B957" s="12" t="b">
        <v>0</v>
      </c>
      <c r="C957" s="93">
        <f>Accounts!N957</f>
        <v/>
      </c>
      <c r="D957" s="94" t="n"/>
      <c r="E957" s="93">
        <f>Accounts!F957</f>
        <v/>
      </c>
      <c r="F957" s="94">
        <f>Accounts!Q957</f>
        <v/>
      </c>
      <c r="G957" s="94">
        <f>Accounts!R957</f>
        <v/>
      </c>
      <c r="H957" s="94">
        <f>Accounts!I957</f>
        <v/>
      </c>
      <c r="I957" s="94">
        <f>Accounts!J957</f>
        <v/>
      </c>
      <c r="J957" s="93">
        <f>Accounts!S957</f>
        <v/>
      </c>
      <c r="K957" s="88" t="n"/>
      <c r="L957" s="95" t="n"/>
      <c r="M957" s="55" t="b">
        <v>0</v>
      </c>
      <c r="N957" s="96" t="b">
        <v>0</v>
      </c>
      <c r="O957" s="55" t="b">
        <v>0</v>
      </c>
      <c r="P957" s="55" t="b">
        <v>0</v>
      </c>
      <c r="Q957" s="55" t="b">
        <v>0</v>
      </c>
      <c r="R957" s="55" t="b">
        <v>0</v>
      </c>
      <c r="S957" s="55" t="b">
        <v>0</v>
      </c>
      <c r="T957" s="55" t="b">
        <v>0</v>
      </c>
      <c r="U957" s="55" t="b">
        <v>0</v>
      </c>
      <c r="V957" s="55" t="b">
        <v>0</v>
      </c>
    </row>
    <row r="958" ht="69" customHeight="1" s="211">
      <c r="A958" s="92">
        <f>Accounts!A958</f>
        <v/>
      </c>
      <c r="B958" s="12" t="b">
        <v>0</v>
      </c>
      <c r="C958" s="93">
        <f>Accounts!N958</f>
        <v/>
      </c>
      <c r="D958" s="94" t="n"/>
      <c r="E958" s="93">
        <f>Accounts!F958</f>
        <v/>
      </c>
      <c r="F958" s="94">
        <f>Accounts!Q958</f>
        <v/>
      </c>
      <c r="G958" s="94">
        <f>Accounts!R958</f>
        <v/>
      </c>
      <c r="H958" s="94">
        <f>Accounts!I958</f>
        <v/>
      </c>
      <c r="I958" s="94">
        <f>Accounts!J958</f>
        <v/>
      </c>
      <c r="J958" s="93">
        <f>Accounts!S958</f>
        <v/>
      </c>
      <c r="K958" s="88" t="n"/>
      <c r="L958" s="95" t="n"/>
      <c r="M958" s="55" t="b">
        <v>0</v>
      </c>
      <c r="N958" s="96" t="b">
        <v>0</v>
      </c>
      <c r="O958" s="55" t="b">
        <v>0</v>
      </c>
      <c r="P958" s="55" t="b">
        <v>0</v>
      </c>
      <c r="Q958" s="55" t="b">
        <v>0</v>
      </c>
      <c r="R958" s="55" t="b">
        <v>0</v>
      </c>
      <c r="S958" s="55" t="b">
        <v>0</v>
      </c>
      <c r="T958" s="55" t="b">
        <v>0</v>
      </c>
      <c r="U958" s="55" t="b">
        <v>0</v>
      </c>
      <c r="V958" s="55" t="b">
        <v>0</v>
      </c>
    </row>
    <row r="959" ht="69" customHeight="1" s="211">
      <c r="A959" s="92">
        <f>Accounts!A959</f>
        <v/>
      </c>
      <c r="B959" s="12" t="b">
        <v>0</v>
      </c>
      <c r="C959" s="93">
        <f>Accounts!N959</f>
        <v/>
      </c>
      <c r="D959" s="94" t="n"/>
      <c r="E959" s="93">
        <f>Accounts!F959</f>
        <v/>
      </c>
      <c r="F959" s="94">
        <f>Accounts!Q959</f>
        <v/>
      </c>
      <c r="G959" s="94">
        <f>Accounts!R959</f>
        <v/>
      </c>
      <c r="H959" s="94">
        <f>Accounts!I959</f>
        <v/>
      </c>
      <c r="I959" s="94">
        <f>Accounts!J959</f>
        <v/>
      </c>
      <c r="J959" s="93">
        <f>Accounts!S959</f>
        <v/>
      </c>
      <c r="K959" s="88" t="n"/>
      <c r="L959" s="95" t="n"/>
      <c r="M959" s="55" t="b">
        <v>0</v>
      </c>
      <c r="N959" s="96" t="b">
        <v>0</v>
      </c>
      <c r="O959" s="55" t="b">
        <v>0</v>
      </c>
      <c r="P959" s="55" t="b">
        <v>0</v>
      </c>
      <c r="Q959" s="55" t="b">
        <v>0</v>
      </c>
      <c r="R959" s="55" t="b">
        <v>0</v>
      </c>
      <c r="S959" s="55" t="b">
        <v>0</v>
      </c>
      <c r="T959" s="55" t="b">
        <v>0</v>
      </c>
      <c r="U959" s="55" t="b">
        <v>0</v>
      </c>
      <c r="V959" s="55" t="b">
        <v>0</v>
      </c>
    </row>
    <row r="960" ht="69" customHeight="1" s="211">
      <c r="A960" s="92">
        <f>Accounts!A960</f>
        <v/>
      </c>
      <c r="B960" s="12" t="b">
        <v>0</v>
      </c>
      <c r="C960" s="93">
        <f>Accounts!N960</f>
        <v/>
      </c>
      <c r="D960" s="94" t="n"/>
      <c r="E960" s="93">
        <f>Accounts!F960</f>
        <v/>
      </c>
      <c r="F960" s="94">
        <f>Accounts!Q960</f>
        <v/>
      </c>
      <c r="G960" s="94">
        <f>Accounts!R960</f>
        <v/>
      </c>
      <c r="H960" s="94">
        <f>Accounts!I960</f>
        <v/>
      </c>
      <c r="I960" s="94">
        <f>Accounts!J960</f>
        <v/>
      </c>
      <c r="J960" s="93">
        <f>Accounts!S960</f>
        <v/>
      </c>
      <c r="K960" s="88" t="n"/>
      <c r="L960" s="95" t="n"/>
      <c r="M960" s="55" t="b">
        <v>0</v>
      </c>
      <c r="N960" s="96" t="b">
        <v>0</v>
      </c>
      <c r="O960" s="55" t="b">
        <v>0</v>
      </c>
      <c r="P960" s="55" t="b">
        <v>0</v>
      </c>
      <c r="Q960" s="55" t="b">
        <v>0</v>
      </c>
      <c r="R960" s="55" t="b">
        <v>0</v>
      </c>
      <c r="S960" s="55" t="b">
        <v>0</v>
      </c>
      <c r="T960" s="55" t="b">
        <v>0</v>
      </c>
      <c r="U960" s="55" t="b">
        <v>0</v>
      </c>
      <c r="V960" s="55" t="b">
        <v>0</v>
      </c>
    </row>
    <row r="961" ht="69" customHeight="1" s="211">
      <c r="A961" s="92">
        <f>Accounts!A961</f>
        <v/>
      </c>
      <c r="B961" s="12" t="b">
        <v>0</v>
      </c>
      <c r="C961" s="93">
        <f>Accounts!N961</f>
        <v/>
      </c>
      <c r="D961" s="94" t="n"/>
      <c r="E961" s="93">
        <f>Accounts!F961</f>
        <v/>
      </c>
      <c r="F961" s="94">
        <f>Accounts!Q961</f>
        <v/>
      </c>
      <c r="G961" s="94">
        <f>Accounts!R961</f>
        <v/>
      </c>
      <c r="H961" s="94">
        <f>Accounts!I961</f>
        <v/>
      </c>
      <c r="I961" s="94">
        <f>Accounts!J961</f>
        <v/>
      </c>
      <c r="J961" s="93">
        <f>Accounts!S961</f>
        <v/>
      </c>
      <c r="K961" s="88" t="n"/>
      <c r="L961" s="95" t="n"/>
      <c r="M961" s="55" t="b">
        <v>0</v>
      </c>
      <c r="N961" s="96" t="b">
        <v>0</v>
      </c>
      <c r="O961" s="55" t="b">
        <v>0</v>
      </c>
      <c r="P961" s="55" t="b">
        <v>0</v>
      </c>
      <c r="Q961" s="55" t="b">
        <v>0</v>
      </c>
      <c r="R961" s="55" t="b">
        <v>0</v>
      </c>
      <c r="S961" s="55" t="b">
        <v>0</v>
      </c>
      <c r="T961" s="55" t="b">
        <v>0</v>
      </c>
      <c r="U961" s="55" t="b">
        <v>0</v>
      </c>
      <c r="V961" s="55" t="b">
        <v>0</v>
      </c>
    </row>
    <row r="962" ht="69" customHeight="1" s="211">
      <c r="A962" s="92">
        <f>Accounts!A962</f>
        <v/>
      </c>
      <c r="B962" s="12" t="b">
        <v>0</v>
      </c>
      <c r="C962" s="93">
        <f>Accounts!N962</f>
        <v/>
      </c>
      <c r="D962" s="94" t="n"/>
      <c r="E962" s="93">
        <f>Accounts!F962</f>
        <v/>
      </c>
      <c r="F962" s="94">
        <f>Accounts!Q962</f>
        <v/>
      </c>
      <c r="G962" s="94">
        <f>Accounts!R962</f>
        <v/>
      </c>
      <c r="H962" s="94">
        <f>Accounts!I962</f>
        <v/>
      </c>
      <c r="I962" s="94">
        <f>Accounts!J962</f>
        <v/>
      </c>
      <c r="J962" s="93">
        <f>Accounts!S962</f>
        <v/>
      </c>
      <c r="K962" s="88" t="n"/>
      <c r="L962" s="95" t="n"/>
      <c r="M962" s="55" t="b">
        <v>0</v>
      </c>
      <c r="N962" s="96" t="b">
        <v>0</v>
      </c>
      <c r="O962" s="55" t="b">
        <v>0</v>
      </c>
      <c r="P962" s="55" t="b">
        <v>0</v>
      </c>
      <c r="Q962" s="55" t="b">
        <v>0</v>
      </c>
      <c r="R962" s="55" t="b">
        <v>0</v>
      </c>
      <c r="S962" s="55" t="b">
        <v>0</v>
      </c>
      <c r="T962" s="55" t="b">
        <v>0</v>
      </c>
      <c r="U962" s="55" t="b">
        <v>0</v>
      </c>
      <c r="V962" s="55" t="b">
        <v>0</v>
      </c>
    </row>
    <row r="963" ht="69" customHeight="1" s="211">
      <c r="A963" s="92">
        <f>Accounts!A963</f>
        <v/>
      </c>
      <c r="B963" s="12" t="b">
        <v>0</v>
      </c>
      <c r="C963" s="93">
        <f>Accounts!N963</f>
        <v/>
      </c>
      <c r="D963" s="94" t="n"/>
      <c r="E963" s="93">
        <f>Accounts!F963</f>
        <v/>
      </c>
      <c r="F963" s="94">
        <f>Accounts!Q963</f>
        <v/>
      </c>
      <c r="G963" s="94">
        <f>Accounts!R963</f>
        <v/>
      </c>
      <c r="H963" s="94">
        <f>Accounts!I963</f>
        <v/>
      </c>
      <c r="I963" s="94">
        <f>Accounts!J963</f>
        <v/>
      </c>
      <c r="J963" s="93">
        <f>Accounts!S963</f>
        <v/>
      </c>
      <c r="K963" s="88" t="n"/>
      <c r="L963" s="95" t="n"/>
      <c r="M963" s="55" t="b">
        <v>0</v>
      </c>
      <c r="N963" s="96" t="b">
        <v>0</v>
      </c>
      <c r="O963" s="55" t="b">
        <v>0</v>
      </c>
      <c r="P963" s="55" t="b">
        <v>0</v>
      </c>
      <c r="Q963" s="55" t="b">
        <v>0</v>
      </c>
      <c r="R963" s="55" t="b">
        <v>0</v>
      </c>
      <c r="S963" s="55" t="b">
        <v>0</v>
      </c>
      <c r="T963" s="55" t="b">
        <v>0</v>
      </c>
      <c r="U963" s="55" t="b">
        <v>0</v>
      </c>
      <c r="V963" s="55" t="b">
        <v>0</v>
      </c>
    </row>
    <row r="964" ht="69" customHeight="1" s="211">
      <c r="A964" s="92">
        <f>Accounts!A964</f>
        <v/>
      </c>
      <c r="B964" s="12" t="b">
        <v>0</v>
      </c>
      <c r="C964" s="93">
        <f>Accounts!N964</f>
        <v/>
      </c>
      <c r="D964" s="94" t="n"/>
      <c r="E964" s="93">
        <f>Accounts!F964</f>
        <v/>
      </c>
      <c r="F964" s="94">
        <f>Accounts!Q964</f>
        <v/>
      </c>
      <c r="G964" s="94">
        <f>Accounts!R964</f>
        <v/>
      </c>
      <c r="H964" s="94">
        <f>Accounts!I964</f>
        <v/>
      </c>
      <c r="I964" s="94">
        <f>Accounts!J964</f>
        <v/>
      </c>
      <c r="J964" s="93">
        <f>Accounts!S964</f>
        <v/>
      </c>
      <c r="K964" s="88" t="n"/>
      <c r="L964" s="95" t="n"/>
      <c r="M964" s="55" t="b">
        <v>0</v>
      </c>
      <c r="N964" s="96" t="b">
        <v>0</v>
      </c>
      <c r="O964" s="55" t="b">
        <v>0</v>
      </c>
      <c r="P964" s="55" t="b">
        <v>0</v>
      </c>
      <c r="Q964" s="55" t="b">
        <v>0</v>
      </c>
      <c r="R964" s="55" t="b">
        <v>0</v>
      </c>
      <c r="S964" s="55" t="b">
        <v>0</v>
      </c>
      <c r="T964" s="55" t="b">
        <v>0</v>
      </c>
      <c r="U964" s="55" t="b">
        <v>0</v>
      </c>
      <c r="V964" s="55" t="b">
        <v>0</v>
      </c>
    </row>
    <row r="965" ht="69" customHeight="1" s="211">
      <c r="A965" s="92">
        <f>Accounts!A965</f>
        <v/>
      </c>
      <c r="B965" s="12" t="b">
        <v>0</v>
      </c>
      <c r="C965" s="93">
        <f>Accounts!N965</f>
        <v/>
      </c>
      <c r="D965" s="94" t="n"/>
      <c r="E965" s="93">
        <f>Accounts!F965</f>
        <v/>
      </c>
      <c r="F965" s="94">
        <f>Accounts!Q965</f>
        <v/>
      </c>
      <c r="G965" s="94">
        <f>Accounts!R965</f>
        <v/>
      </c>
      <c r="H965" s="94">
        <f>Accounts!I965</f>
        <v/>
      </c>
      <c r="I965" s="94">
        <f>Accounts!J965</f>
        <v/>
      </c>
      <c r="J965" s="93">
        <f>Accounts!S965</f>
        <v/>
      </c>
      <c r="K965" s="88" t="n"/>
      <c r="L965" s="95" t="n"/>
      <c r="M965" s="55" t="b">
        <v>0</v>
      </c>
      <c r="N965" s="96" t="b">
        <v>0</v>
      </c>
      <c r="O965" s="55" t="b">
        <v>0</v>
      </c>
      <c r="P965" s="55" t="b">
        <v>0</v>
      </c>
      <c r="Q965" s="55" t="b">
        <v>0</v>
      </c>
      <c r="R965" s="55" t="b">
        <v>0</v>
      </c>
      <c r="S965" s="55" t="b">
        <v>0</v>
      </c>
      <c r="T965" s="55" t="b">
        <v>0</v>
      </c>
      <c r="U965" s="55" t="b">
        <v>0</v>
      </c>
      <c r="V965" s="55" t="b">
        <v>0</v>
      </c>
    </row>
    <row r="966" ht="69" customHeight="1" s="211">
      <c r="A966" s="92">
        <f>Accounts!A966</f>
        <v/>
      </c>
      <c r="B966" s="12" t="b">
        <v>0</v>
      </c>
      <c r="C966" s="93">
        <f>Accounts!N966</f>
        <v/>
      </c>
      <c r="D966" s="94" t="n"/>
      <c r="E966" s="93">
        <f>Accounts!F966</f>
        <v/>
      </c>
      <c r="F966" s="94">
        <f>Accounts!Q966</f>
        <v/>
      </c>
      <c r="G966" s="94">
        <f>Accounts!R966</f>
        <v/>
      </c>
      <c r="H966" s="94">
        <f>Accounts!I966</f>
        <v/>
      </c>
      <c r="I966" s="94">
        <f>Accounts!J966</f>
        <v/>
      </c>
      <c r="J966" s="93">
        <f>Accounts!S966</f>
        <v/>
      </c>
      <c r="K966" s="88" t="n"/>
      <c r="L966" s="95" t="n"/>
      <c r="M966" s="55" t="b">
        <v>0</v>
      </c>
      <c r="N966" s="96" t="b">
        <v>0</v>
      </c>
      <c r="O966" s="55" t="b">
        <v>0</v>
      </c>
      <c r="P966" s="55" t="b">
        <v>0</v>
      </c>
      <c r="Q966" s="55" t="b">
        <v>0</v>
      </c>
      <c r="R966" s="55" t="b">
        <v>0</v>
      </c>
      <c r="S966" s="55" t="b">
        <v>0</v>
      </c>
      <c r="T966" s="55" t="b">
        <v>0</v>
      </c>
      <c r="U966" s="55" t="b">
        <v>0</v>
      </c>
      <c r="V966" s="55" t="b">
        <v>0</v>
      </c>
    </row>
    <row r="967" ht="69" customHeight="1" s="211">
      <c r="A967" s="92">
        <f>Accounts!A967</f>
        <v/>
      </c>
      <c r="B967" s="12" t="b">
        <v>0</v>
      </c>
      <c r="C967" s="93">
        <f>Accounts!N967</f>
        <v/>
      </c>
      <c r="D967" s="94" t="n"/>
      <c r="E967" s="93">
        <f>Accounts!F967</f>
        <v/>
      </c>
      <c r="F967" s="94">
        <f>Accounts!Q967</f>
        <v/>
      </c>
      <c r="G967" s="94">
        <f>Accounts!R967</f>
        <v/>
      </c>
      <c r="H967" s="94">
        <f>Accounts!I967</f>
        <v/>
      </c>
      <c r="I967" s="94">
        <f>Accounts!J967</f>
        <v/>
      </c>
      <c r="J967" s="93">
        <f>Accounts!S967</f>
        <v/>
      </c>
      <c r="K967" s="88" t="n"/>
      <c r="L967" s="95" t="n"/>
      <c r="M967" s="55" t="b">
        <v>0</v>
      </c>
      <c r="N967" s="96" t="b">
        <v>0</v>
      </c>
      <c r="O967" s="55" t="b">
        <v>0</v>
      </c>
      <c r="P967" s="55" t="b">
        <v>0</v>
      </c>
      <c r="Q967" s="55" t="b">
        <v>0</v>
      </c>
      <c r="R967" s="55" t="b">
        <v>0</v>
      </c>
      <c r="S967" s="55" t="b">
        <v>0</v>
      </c>
      <c r="T967" s="55" t="b">
        <v>0</v>
      </c>
      <c r="U967" s="55" t="b">
        <v>0</v>
      </c>
      <c r="V967" s="55" t="b">
        <v>0</v>
      </c>
    </row>
    <row r="968" ht="69" customHeight="1" s="211">
      <c r="A968" s="92">
        <f>Accounts!A968</f>
        <v/>
      </c>
      <c r="B968" s="12" t="b">
        <v>0</v>
      </c>
      <c r="C968" s="93">
        <f>Accounts!N968</f>
        <v/>
      </c>
      <c r="D968" s="94" t="n"/>
      <c r="E968" s="93">
        <f>Accounts!F968</f>
        <v/>
      </c>
      <c r="F968" s="94">
        <f>Accounts!Q968</f>
        <v/>
      </c>
      <c r="G968" s="94">
        <f>Accounts!R968</f>
        <v/>
      </c>
      <c r="H968" s="94">
        <f>Accounts!I968</f>
        <v/>
      </c>
      <c r="I968" s="94">
        <f>Accounts!J968</f>
        <v/>
      </c>
      <c r="J968" s="93">
        <f>Accounts!S968</f>
        <v/>
      </c>
      <c r="K968" s="88" t="n"/>
      <c r="L968" s="95" t="n"/>
      <c r="M968" s="55" t="b">
        <v>0</v>
      </c>
      <c r="N968" s="96" t="b">
        <v>0</v>
      </c>
      <c r="O968" s="55" t="b">
        <v>0</v>
      </c>
      <c r="P968" s="55" t="b">
        <v>0</v>
      </c>
      <c r="Q968" s="55" t="b">
        <v>0</v>
      </c>
      <c r="R968" s="55" t="b">
        <v>0</v>
      </c>
      <c r="S968" s="55" t="b">
        <v>0</v>
      </c>
      <c r="T968" s="55" t="b">
        <v>0</v>
      </c>
      <c r="U968" s="55" t="b">
        <v>0</v>
      </c>
      <c r="V968" s="55" t="b">
        <v>0</v>
      </c>
    </row>
    <row r="969" ht="69" customHeight="1" s="211">
      <c r="A969" s="92">
        <f>Accounts!A969</f>
        <v/>
      </c>
      <c r="B969" s="12" t="b">
        <v>0</v>
      </c>
      <c r="C969" s="93">
        <f>Accounts!N969</f>
        <v/>
      </c>
      <c r="D969" s="94" t="n"/>
      <c r="E969" s="93">
        <f>Accounts!F969</f>
        <v/>
      </c>
      <c r="F969" s="94">
        <f>Accounts!Q969</f>
        <v/>
      </c>
      <c r="G969" s="94">
        <f>Accounts!R969</f>
        <v/>
      </c>
      <c r="H969" s="94">
        <f>Accounts!I969</f>
        <v/>
      </c>
      <c r="I969" s="94">
        <f>Accounts!J969</f>
        <v/>
      </c>
      <c r="J969" s="93">
        <f>Accounts!S969</f>
        <v/>
      </c>
      <c r="K969" s="88" t="n"/>
      <c r="L969" s="95" t="n"/>
      <c r="M969" s="55" t="b">
        <v>0</v>
      </c>
      <c r="N969" s="96" t="b">
        <v>0</v>
      </c>
      <c r="O969" s="55" t="b">
        <v>0</v>
      </c>
      <c r="P969" s="55" t="b">
        <v>0</v>
      </c>
      <c r="Q969" s="55" t="b">
        <v>0</v>
      </c>
      <c r="R969" s="55" t="b">
        <v>0</v>
      </c>
      <c r="S969" s="55" t="b">
        <v>0</v>
      </c>
      <c r="T969" s="55" t="b">
        <v>0</v>
      </c>
      <c r="U969" s="55" t="b">
        <v>0</v>
      </c>
      <c r="V969" s="55" t="b">
        <v>0</v>
      </c>
    </row>
    <row r="970" ht="69" customHeight="1" s="211">
      <c r="A970" s="92">
        <f>Accounts!A970</f>
        <v/>
      </c>
      <c r="B970" s="12" t="b">
        <v>0</v>
      </c>
      <c r="C970" s="93">
        <f>Accounts!N970</f>
        <v/>
      </c>
      <c r="D970" s="94" t="n"/>
      <c r="E970" s="93">
        <f>Accounts!F970</f>
        <v/>
      </c>
      <c r="F970" s="94">
        <f>Accounts!Q970</f>
        <v/>
      </c>
      <c r="G970" s="94">
        <f>Accounts!R970</f>
        <v/>
      </c>
      <c r="H970" s="94">
        <f>Accounts!I970</f>
        <v/>
      </c>
      <c r="I970" s="94">
        <f>Accounts!J970</f>
        <v/>
      </c>
      <c r="J970" s="93">
        <f>Accounts!S970</f>
        <v/>
      </c>
      <c r="K970" s="88" t="n"/>
      <c r="L970" s="95" t="n"/>
      <c r="M970" s="55" t="b">
        <v>0</v>
      </c>
      <c r="N970" s="96" t="b">
        <v>0</v>
      </c>
      <c r="O970" s="55" t="b">
        <v>0</v>
      </c>
      <c r="P970" s="55" t="b">
        <v>0</v>
      </c>
      <c r="Q970" s="55" t="b">
        <v>0</v>
      </c>
      <c r="R970" s="55" t="b">
        <v>0</v>
      </c>
      <c r="S970" s="55" t="b">
        <v>0</v>
      </c>
      <c r="T970" s="55" t="b">
        <v>0</v>
      </c>
      <c r="U970" s="55" t="b">
        <v>0</v>
      </c>
      <c r="V970" s="55" t="b">
        <v>0</v>
      </c>
    </row>
    <row r="971" ht="69" customHeight="1" s="211">
      <c r="A971" s="92">
        <f>Accounts!A971</f>
        <v/>
      </c>
      <c r="B971" s="12" t="b">
        <v>0</v>
      </c>
      <c r="C971" s="93">
        <f>Accounts!N971</f>
        <v/>
      </c>
      <c r="D971" s="94" t="n"/>
      <c r="E971" s="93">
        <f>Accounts!F971</f>
        <v/>
      </c>
      <c r="F971" s="94">
        <f>Accounts!Q971</f>
        <v/>
      </c>
      <c r="G971" s="94">
        <f>Accounts!R971</f>
        <v/>
      </c>
      <c r="H971" s="94">
        <f>Accounts!I971</f>
        <v/>
      </c>
      <c r="I971" s="94">
        <f>Accounts!J971</f>
        <v/>
      </c>
      <c r="J971" s="93">
        <f>Accounts!S971</f>
        <v/>
      </c>
      <c r="K971" s="88" t="n"/>
      <c r="L971" s="95" t="n"/>
      <c r="M971" s="55" t="b">
        <v>0</v>
      </c>
      <c r="N971" s="96" t="b">
        <v>0</v>
      </c>
      <c r="O971" s="55" t="b">
        <v>0</v>
      </c>
      <c r="P971" s="55" t="b">
        <v>0</v>
      </c>
      <c r="Q971" s="55" t="b">
        <v>0</v>
      </c>
      <c r="R971" s="55" t="b">
        <v>0</v>
      </c>
      <c r="S971" s="55" t="b">
        <v>0</v>
      </c>
      <c r="T971" s="55" t="b">
        <v>0</v>
      </c>
      <c r="U971" s="55" t="b">
        <v>0</v>
      </c>
      <c r="V971" s="55" t="b">
        <v>0</v>
      </c>
    </row>
    <row r="972" ht="69" customHeight="1" s="211">
      <c r="A972" s="92">
        <f>Accounts!A972</f>
        <v/>
      </c>
      <c r="B972" s="12" t="b">
        <v>0</v>
      </c>
      <c r="C972" s="93">
        <f>Accounts!N972</f>
        <v/>
      </c>
      <c r="D972" s="94" t="n"/>
      <c r="E972" s="93">
        <f>Accounts!F972</f>
        <v/>
      </c>
      <c r="F972" s="94">
        <f>Accounts!Q972</f>
        <v/>
      </c>
      <c r="G972" s="94">
        <f>Accounts!R972</f>
        <v/>
      </c>
      <c r="H972" s="94">
        <f>Accounts!I972</f>
        <v/>
      </c>
      <c r="I972" s="94">
        <f>Accounts!J972</f>
        <v/>
      </c>
      <c r="J972" s="93">
        <f>Accounts!S972</f>
        <v/>
      </c>
      <c r="K972" s="88" t="n"/>
      <c r="L972" s="95" t="n"/>
      <c r="M972" s="55" t="b">
        <v>0</v>
      </c>
      <c r="N972" s="96" t="b">
        <v>0</v>
      </c>
      <c r="O972" s="55" t="b">
        <v>0</v>
      </c>
      <c r="P972" s="55" t="b">
        <v>0</v>
      </c>
      <c r="Q972" s="55" t="b">
        <v>0</v>
      </c>
      <c r="R972" s="55" t="b">
        <v>0</v>
      </c>
      <c r="S972" s="55" t="b">
        <v>0</v>
      </c>
      <c r="T972" s="55" t="b">
        <v>0</v>
      </c>
      <c r="U972" s="55" t="b">
        <v>0</v>
      </c>
      <c r="V972" s="55" t="b">
        <v>0</v>
      </c>
    </row>
    <row r="973" ht="69" customHeight="1" s="211">
      <c r="A973" s="92">
        <f>Accounts!A973</f>
        <v/>
      </c>
      <c r="B973" s="12" t="b">
        <v>0</v>
      </c>
      <c r="C973" s="93">
        <f>Accounts!N973</f>
        <v/>
      </c>
      <c r="D973" s="94" t="n"/>
      <c r="E973" s="93">
        <f>Accounts!F973</f>
        <v/>
      </c>
      <c r="F973" s="94">
        <f>Accounts!Q973</f>
        <v/>
      </c>
      <c r="G973" s="94">
        <f>Accounts!R973</f>
        <v/>
      </c>
      <c r="H973" s="94">
        <f>Accounts!I973</f>
        <v/>
      </c>
      <c r="I973" s="94">
        <f>Accounts!J973</f>
        <v/>
      </c>
      <c r="J973" s="93">
        <f>Accounts!S973</f>
        <v/>
      </c>
      <c r="K973" s="88" t="n"/>
      <c r="L973" s="95" t="n"/>
      <c r="M973" s="55" t="b">
        <v>0</v>
      </c>
      <c r="N973" s="96" t="b">
        <v>0</v>
      </c>
      <c r="O973" s="55" t="b">
        <v>0</v>
      </c>
      <c r="P973" s="55" t="b">
        <v>0</v>
      </c>
      <c r="Q973" s="55" t="b">
        <v>0</v>
      </c>
      <c r="R973" s="55" t="b">
        <v>0</v>
      </c>
      <c r="S973" s="55" t="b">
        <v>0</v>
      </c>
      <c r="T973" s="55" t="b">
        <v>0</v>
      </c>
      <c r="U973" s="55" t="b">
        <v>0</v>
      </c>
      <c r="V973" s="55" t="b">
        <v>0</v>
      </c>
    </row>
    <row r="974" ht="69" customHeight="1" s="211">
      <c r="A974" s="92">
        <f>Accounts!A974</f>
        <v/>
      </c>
      <c r="B974" s="12" t="b">
        <v>0</v>
      </c>
      <c r="C974" s="93">
        <f>Accounts!N974</f>
        <v/>
      </c>
      <c r="D974" s="94" t="n"/>
      <c r="E974" s="93">
        <f>Accounts!F974</f>
        <v/>
      </c>
      <c r="F974" s="94">
        <f>Accounts!Q974</f>
        <v/>
      </c>
      <c r="G974" s="94">
        <f>Accounts!R974</f>
        <v/>
      </c>
      <c r="H974" s="94">
        <f>Accounts!I974</f>
        <v/>
      </c>
      <c r="I974" s="94">
        <f>Accounts!J974</f>
        <v/>
      </c>
      <c r="J974" s="93">
        <f>Accounts!S974</f>
        <v/>
      </c>
      <c r="K974" s="88" t="n"/>
      <c r="L974" s="95" t="n"/>
      <c r="M974" s="55" t="b">
        <v>0</v>
      </c>
      <c r="N974" s="96" t="b">
        <v>0</v>
      </c>
      <c r="O974" s="55" t="b">
        <v>0</v>
      </c>
      <c r="P974" s="55" t="b">
        <v>0</v>
      </c>
      <c r="Q974" s="55" t="b">
        <v>0</v>
      </c>
      <c r="R974" s="55" t="b">
        <v>0</v>
      </c>
      <c r="S974" s="55" t="b">
        <v>0</v>
      </c>
      <c r="T974" s="55" t="b">
        <v>0</v>
      </c>
      <c r="U974" s="55" t="b">
        <v>0</v>
      </c>
      <c r="V974" s="55" t="b">
        <v>0</v>
      </c>
    </row>
    <row r="975" ht="69" customHeight="1" s="211">
      <c r="A975" s="92">
        <f>Accounts!A975</f>
        <v/>
      </c>
      <c r="B975" s="12" t="b">
        <v>0</v>
      </c>
      <c r="C975" s="93">
        <f>Accounts!N975</f>
        <v/>
      </c>
      <c r="D975" s="94" t="n"/>
      <c r="E975" s="93">
        <f>Accounts!F975</f>
        <v/>
      </c>
      <c r="F975" s="94">
        <f>Accounts!Q975</f>
        <v/>
      </c>
      <c r="G975" s="94">
        <f>Accounts!R975</f>
        <v/>
      </c>
      <c r="H975" s="94">
        <f>Accounts!I975</f>
        <v/>
      </c>
      <c r="I975" s="94">
        <f>Accounts!J975</f>
        <v/>
      </c>
      <c r="J975" s="93">
        <f>Accounts!S975</f>
        <v/>
      </c>
      <c r="K975" s="88" t="n"/>
      <c r="L975" s="95" t="n"/>
      <c r="M975" s="55" t="b">
        <v>0</v>
      </c>
      <c r="N975" s="96" t="b">
        <v>0</v>
      </c>
      <c r="O975" s="55" t="b">
        <v>0</v>
      </c>
      <c r="P975" s="55" t="b">
        <v>0</v>
      </c>
      <c r="Q975" s="55" t="b">
        <v>0</v>
      </c>
      <c r="R975" s="55" t="b">
        <v>0</v>
      </c>
      <c r="S975" s="55" t="b">
        <v>0</v>
      </c>
      <c r="T975" s="55" t="b">
        <v>0</v>
      </c>
      <c r="U975" s="55" t="b">
        <v>0</v>
      </c>
      <c r="V975" s="55" t="b">
        <v>0</v>
      </c>
    </row>
    <row r="976" ht="69" customHeight="1" s="211">
      <c r="A976" s="92">
        <f>Accounts!A976</f>
        <v/>
      </c>
      <c r="B976" s="12" t="b">
        <v>0</v>
      </c>
      <c r="C976" s="93">
        <f>Accounts!N976</f>
        <v/>
      </c>
      <c r="D976" s="94" t="n"/>
      <c r="E976" s="93">
        <f>Accounts!F976</f>
        <v/>
      </c>
      <c r="F976" s="94">
        <f>Accounts!Q976</f>
        <v/>
      </c>
      <c r="G976" s="94">
        <f>Accounts!R976</f>
        <v/>
      </c>
      <c r="H976" s="94">
        <f>Accounts!I976</f>
        <v/>
      </c>
      <c r="I976" s="94">
        <f>Accounts!J976</f>
        <v/>
      </c>
      <c r="J976" s="93">
        <f>Accounts!S976</f>
        <v/>
      </c>
      <c r="K976" s="88" t="n"/>
      <c r="L976" s="95" t="n"/>
      <c r="M976" s="55" t="b">
        <v>0</v>
      </c>
      <c r="N976" s="96" t="b">
        <v>0</v>
      </c>
      <c r="O976" s="55" t="b">
        <v>0</v>
      </c>
      <c r="P976" s="55" t="b">
        <v>0</v>
      </c>
      <c r="Q976" s="55" t="b">
        <v>0</v>
      </c>
      <c r="R976" s="55" t="b">
        <v>0</v>
      </c>
      <c r="S976" s="55" t="b">
        <v>0</v>
      </c>
      <c r="T976" s="55" t="b">
        <v>0</v>
      </c>
      <c r="U976" s="55" t="b">
        <v>0</v>
      </c>
      <c r="V976" s="55" t="b">
        <v>0</v>
      </c>
    </row>
    <row r="977" ht="69" customHeight="1" s="211">
      <c r="A977" s="92">
        <f>Accounts!A977</f>
        <v/>
      </c>
      <c r="B977" s="12" t="b">
        <v>0</v>
      </c>
      <c r="C977" s="93">
        <f>Accounts!N977</f>
        <v/>
      </c>
      <c r="D977" s="94" t="n"/>
      <c r="E977" s="93">
        <f>Accounts!F977</f>
        <v/>
      </c>
      <c r="F977" s="94">
        <f>Accounts!Q977</f>
        <v/>
      </c>
      <c r="G977" s="94">
        <f>Accounts!R977</f>
        <v/>
      </c>
      <c r="H977" s="94">
        <f>Accounts!I977</f>
        <v/>
      </c>
      <c r="I977" s="94">
        <f>Accounts!J977</f>
        <v/>
      </c>
      <c r="J977" s="93">
        <f>Accounts!S977</f>
        <v/>
      </c>
      <c r="K977" s="88" t="n"/>
      <c r="L977" s="95" t="n"/>
      <c r="M977" s="55" t="b">
        <v>0</v>
      </c>
      <c r="N977" s="96" t="b">
        <v>0</v>
      </c>
      <c r="O977" s="55" t="b">
        <v>0</v>
      </c>
      <c r="P977" s="55" t="b">
        <v>0</v>
      </c>
      <c r="Q977" s="55" t="b">
        <v>0</v>
      </c>
      <c r="R977" s="55" t="b">
        <v>0</v>
      </c>
      <c r="S977" s="55" t="b">
        <v>0</v>
      </c>
      <c r="T977" s="55" t="b">
        <v>0</v>
      </c>
      <c r="U977" s="55" t="b">
        <v>0</v>
      </c>
      <c r="V977" s="55" t="b">
        <v>0</v>
      </c>
    </row>
    <row r="978" ht="69" customHeight="1" s="211">
      <c r="A978" s="92">
        <f>Accounts!A978</f>
        <v/>
      </c>
      <c r="B978" s="12" t="b">
        <v>0</v>
      </c>
      <c r="C978" s="93">
        <f>Accounts!N978</f>
        <v/>
      </c>
      <c r="D978" s="94" t="n"/>
      <c r="E978" s="93">
        <f>Accounts!F978</f>
        <v/>
      </c>
      <c r="F978" s="94">
        <f>Accounts!Q978</f>
        <v/>
      </c>
      <c r="G978" s="94">
        <f>Accounts!R978</f>
        <v/>
      </c>
      <c r="H978" s="94">
        <f>Accounts!I978</f>
        <v/>
      </c>
      <c r="I978" s="94">
        <f>Accounts!J978</f>
        <v/>
      </c>
      <c r="J978" s="93">
        <f>Accounts!S978</f>
        <v/>
      </c>
      <c r="K978" s="88" t="n"/>
      <c r="L978" s="95" t="n"/>
      <c r="M978" s="55" t="b">
        <v>0</v>
      </c>
      <c r="N978" s="96" t="b">
        <v>0</v>
      </c>
      <c r="O978" s="55" t="b">
        <v>0</v>
      </c>
      <c r="P978" s="55" t="b">
        <v>0</v>
      </c>
      <c r="Q978" s="55" t="b">
        <v>0</v>
      </c>
      <c r="R978" s="55" t="b">
        <v>0</v>
      </c>
      <c r="S978" s="55" t="b">
        <v>0</v>
      </c>
      <c r="T978" s="55" t="b">
        <v>0</v>
      </c>
      <c r="U978" s="55" t="b">
        <v>0</v>
      </c>
      <c r="V978" s="55" t="b">
        <v>0</v>
      </c>
    </row>
    <row r="979" ht="69" customHeight="1" s="211">
      <c r="A979" s="92">
        <f>Accounts!A979</f>
        <v/>
      </c>
      <c r="B979" s="12" t="b">
        <v>0</v>
      </c>
      <c r="C979" s="93">
        <f>Accounts!N979</f>
        <v/>
      </c>
      <c r="D979" s="94" t="n"/>
      <c r="E979" s="93">
        <f>Accounts!F979</f>
        <v/>
      </c>
      <c r="F979" s="94">
        <f>Accounts!Q979</f>
        <v/>
      </c>
      <c r="G979" s="94">
        <f>Accounts!R979</f>
        <v/>
      </c>
      <c r="H979" s="94">
        <f>Accounts!I979</f>
        <v/>
      </c>
      <c r="I979" s="94">
        <f>Accounts!J979</f>
        <v/>
      </c>
      <c r="J979" s="93">
        <f>Accounts!S979</f>
        <v/>
      </c>
      <c r="K979" s="88" t="n"/>
      <c r="L979" s="95" t="n"/>
      <c r="M979" s="55" t="b">
        <v>0</v>
      </c>
      <c r="N979" s="96" t="b">
        <v>0</v>
      </c>
      <c r="O979" s="55" t="b">
        <v>0</v>
      </c>
      <c r="P979" s="55" t="b">
        <v>0</v>
      </c>
      <c r="Q979" s="55" t="b">
        <v>0</v>
      </c>
      <c r="R979" s="55" t="b">
        <v>0</v>
      </c>
      <c r="S979" s="55" t="b">
        <v>0</v>
      </c>
      <c r="T979" s="55" t="b">
        <v>0</v>
      </c>
      <c r="U979" s="55" t="b">
        <v>0</v>
      </c>
      <c r="V979" s="55" t="b">
        <v>0</v>
      </c>
    </row>
    <row r="980" ht="69" customHeight="1" s="211">
      <c r="A980" s="92">
        <f>Accounts!A980</f>
        <v/>
      </c>
      <c r="B980" s="12" t="b">
        <v>0</v>
      </c>
      <c r="C980" s="93">
        <f>Accounts!N980</f>
        <v/>
      </c>
      <c r="D980" s="94" t="n"/>
      <c r="E980" s="93">
        <f>Accounts!F980</f>
        <v/>
      </c>
      <c r="F980" s="94">
        <f>Accounts!Q980</f>
        <v/>
      </c>
      <c r="G980" s="94">
        <f>Accounts!R980</f>
        <v/>
      </c>
      <c r="H980" s="94">
        <f>Accounts!I980</f>
        <v/>
      </c>
      <c r="I980" s="94">
        <f>Accounts!J980</f>
        <v/>
      </c>
      <c r="J980" s="93">
        <f>Accounts!S980</f>
        <v/>
      </c>
      <c r="K980" s="88" t="n"/>
      <c r="L980" s="95" t="n"/>
      <c r="M980" s="55" t="b">
        <v>0</v>
      </c>
      <c r="N980" s="96" t="b">
        <v>0</v>
      </c>
      <c r="O980" s="55" t="b">
        <v>0</v>
      </c>
      <c r="P980" s="55" t="b">
        <v>0</v>
      </c>
      <c r="Q980" s="55" t="b">
        <v>0</v>
      </c>
      <c r="R980" s="55" t="b">
        <v>0</v>
      </c>
      <c r="S980" s="55" t="b">
        <v>0</v>
      </c>
      <c r="T980" s="55" t="b">
        <v>0</v>
      </c>
      <c r="U980" s="55" t="b">
        <v>0</v>
      </c>
      <c r="V980" s="55" t="b">
        <v>0</v>
      </c>
    </row>
    <row r="981" ht="69" customHeight="1" s="211">
      <c r="A981" s="92">
        <f>Accounts!A981</f>
        <v/>
      </c>
      <c r="B981" s="12" t="b">
        <v>0</v>
      </c>
      <c r="C981" s="93">
        <f>Accounts!N981</f>
        <v/>
      </c>
      <c r="D981" s="94" t="n"/>
      <c r="E981" s="93">
        <f>Accounts!F981</f>
        <v/>
      </c>
      <c r="F981" s="94">
        <f>Accounts!Q981</f>
        <v/>
      </c>
      <c r="G981" s="94">
        <f>Accounts!R981</f>
        <v/>
      </c>
      <c r="H981" s="94">
        <f>Accounts!I981</f>
        <v/>
      </c>
      <c r="I981" s="94">
        <f>Accounts!J981</f>
        <v/>
      </c>
      <c r="J981" s="93">
        <f>Accounts!S981</f>
        <v/>
      </c>
      <c r="K981" s="88" t="n"/>
      <c r="L981" s="95" t="n"/>
      <c r="M981" s="55" t="b">
        <v>0</v>
      </c>
      <c r="N981" s="96" t="b">
        <v>0</v>
      </c>
      <c r="O981" s="55" t="b">
        <v>0</v>
      </c>
      <c r="P981" s="55" t="b">
        <v>0</v>
      </c>
      <c r="Q981" s="55" t="b">
        <v>0</v>
      </c>
      <c r="R981" s="55" t="b">
        <v>0</v>
      </c>
      <c r="S981" s="55" t="b">
        <v>0</v>
      </c>
      <c r="T981" s="55" t="b">
        <v>0</v>
      </c>
      <c r="U981" s="55" t="b">
        <v>0</v>
      </c>
      <c r="V981" s="55" t="b">
        <v>0</v>
      </c>
    </row>
    <row r="982" ht="69" customHeight="1" s="211">
      <c r="A982" s="92">
        <f>Accounts!A982</f>
        <v/>
      </c>
      <c r="B982" s="12" t="b">
        <v>0</v>
      </c>
      <c r="C982" s="93">
        <f>Accounts!N982</f>
        <v/>
      </c>
      <c r="D982" s="94" t="n"/>
      <c r="E982" s="93">
        <f>Accounts!F982</f>
        <v/>
      </c>
      <c r="F982" s="94">
        <f>Accounts!Q982</f>
        <v/>
      </c>
      <c r="G982" s="94">
        <f>Accounts!R982</f>
        <v/>
      </c>
      <c r="H982" s="94">
        <f>Accounts!I982</f>
        <v/>
      </c>
      <c r="I982" s="94">
        <f>Accounts!J982</f>
        <v/>
      </c>
      <c r="J982" s="93">
        <f>Accounts!S982</f>
        <v/>
      </c>
      <c r="K982" s="88" t="n"/>
      <c r="L982" s="95" t="n"/>
      <c r="M982" s="55" t="b">
        <v>0</v>
      </c>
      <c r="N982" s="96" t="b">
        <v>0</v>
      </c>
      <c r="O982" s="55" t="b">
        <v>0</v>
      </c>
      <c r="P982" s="55" t="b">
        <v>0</v>
      </c>
      <c r="Q982" s="55" t="b">
        <v>0</v>
      </c>
      <c r="R982" s="55" t="b">
        <v>0</v>
      </c>
      <c r="S982" s="55" t="b">
        <v>0</v>
      </c>
      <c r="T982" s="55" t="b">
        <v>0</v>
      </c>
      <c r="U982" s="55" t="b">
        <v>0</v>
      </c>
      <c r="V982" s="55" t="b">
        <v>0</v>
      </c>
    </row>
    <row r="983" ht="69" customHeight="1" s="211">
      <c r="A983" s="92">
        <f>Accounts!A983</f>
        <v/>
      </c>
      <c r="B983" s="12" t="b">
        <v>0</v>
      </c>
      <c r="C983" s="93">
        <f>Accounts!N983</f>
        <v/>
      </c>
      <c r="D983" s="94" t="n"/>
      <c r="E983" s="93">
        <f>Accounts!F983</f>
        <v/>
      </c>
      <c r="F983" s="94">
        <f>Accounts!Q983</f>
        <v/>
      </c>
      <c r="G983" s="94">
        <f>Accounts!R983</f>
        <v/>
      </c>
      <c r="H983" s="94">
        <f>Accounts!I983</f>
        <v/>
      </c>
      <c r="I983" s="94">
        <f>Accounts!J983</f>
        <v/>
      </c>
      <c r="J983" s="93">
        <f>Accounts!S983</f>
        <v/>
      </c>
      <c r="K983" s="88" t="n"/>
      <c r="L983" s="95" t="n"/>
      <c r="M983" s="55" t="b">
        <v>0</v>
      </c>
      <c r="N983" s="96" t="b">
        <v>0</v>
      </c>
      <c r="O983" s="55" t="b">
        <v>0</v>
      </c>
      <c r="P983" s="55" t="b">
        <v>0</v>
      </c>
      <c r="Q983" s="55" t="b">
        <v>0</v>
      </c>
      <c r="R983" s="55" t="b">
        <v>0</v>
      </c>
      <c r="S983" s="55" t="b">
        <v>0</v>
      </c>
      <c r="T983" s="55" t="b">
        <v>0</v>
      </c>
      <c r="U983" s="55" t="b">
        <v>0</v>
      </c>
      <c r="V983" s="55" t="b">
        <v>0</v>
      </c>
    </row>
    <row r="984" ht="69" customHeight="1" s="211">
      <c r="A984" s="92">
        <f>Accounts!A984</f>
        <v/>
      </c>
      <c r="B984" s="12" t="b">
        <v>0</v>
      </c>
      <c r="C984" s="93">
        <f>Accounts!N984</f>
        <v/>
      </c>
      <c r="D984" s="94" t="n"/>
      <c r="E984" s="93">
        <f>Accounts!F984</f>
        <v/>
      </c>
      <c r="F984" s="94">
        <f>Accounts!Q984</f>
        <v/>
      </c>
      <c r="G984" s="94">
        <f>Accounts!R984</f>
        <v/>
      </c>
      <c r="H984" s="94">
        <f>Accounts!I984</f>
        <v/>
      </c>
      <c r="I984" s="94">
        <f>Accounts!J984</f>
        <v/>
      </c>
      <c r="J984" s="93">
        <f>Accounts!S984</f>
        <v/>
      </c>
      <c r="K984" s="88" t="n"/>
      <c r="L984" s="95" t="n"/>
      <c r="M984" s="55" t="b">
        <v>0</v>
      </c>
      <c r="N984" s="96" t="b">
        <v>0</v>
      </c>
      <c r="O984" s="55" t="b">
        <v>0</v>
      </c>
      <c r="P984" s="55" t="b">
        <v>0</v>
      </c>
      <c r="Q984" s="55" t="b">
        <v>0</v>
      </c>
      <c r="R984" s="55" t="b">
        <v>0</v>
      </c>
      <c r="S984" s="55" t="b">
        <v>0</v>
      </c>
      <c r="T984" s="55" t="b">
        <v>0</v>
      </c>
      <c r="U984" s="55" t="b">
        <v>0</v>
      </c>
      <c r="V984" s="55" t="b">
        <v>0</v>
      </c>
    </row>
    <row r="985" ht="69" customHeight="1" s="211">
      <c r="A985" s="92">
        <f>Accounts!A985</f>
        <v/>
      </c>
      <c r="B985" s="12" t="b">
        <v>0</v>
      </c>
      <c r="C985" s="93">
        <f>Accounts!N985</f>
        <v/>
      </c>
      <c r="D985" s="94" t="n"/>
      <c r="E985" s="93">
        <f>Accounts!F985</f>
        <v/>
      </c>
      <c r="F985" s="94">
        <f>Accounts!Q985</f>
        <v/>
      </c>
      <c r="G985" s="94">
        <f>Accounts!R985</f>
        <v/>
      </c>
      <c r="H985" s="94">
        <f>Accounts!I985</f>
        <v/>
      </c>
      <c r="I985" s="94">
        <f>Accounts!J985</f>
        <v/>
      </c>
      <c r="J985" s="93">
        <f>Accounts!S985</f>
        <v/>
      </c>
      <c r="K985" s="88" t="n"/>
      <c r="L985" s="95" t="n"/>
      <c r="M985" s="55" t="b">
        <v>0</v>
      </c>
      <c r="N985" s="96" t="b">
        <v>0</v>
      </c>
      <c r="O985" s="55" t="b">
        <v>0</v>
      </c>
      <c r="P985" s="55" t="b">
        <v>0</v>
      </c>
      <c r="Q985" s="55" t="b">
        <v>0</v>
      </c>
      <c r="R985" s="55" t="b">
        <v>0</v>
      </c>
      <c r="S985" s="55" t="b">
        <v>0</v>
      </c>
      <c r="T985" s="55" t="b">
        <v>0</v>
      </c>
      <c r="U985" s="55" t="b">
        <v>0</v>
      </c>
      <c r="V985" s="55" t="b">
        <v>0</v>
      </c>
    </row>
    <row r="986" ht="69" customHeight="1" s="211">
      <c r="A986" s="92">
        <f>Accounts!A986</f>
        <v/>
      </c>
      <c r="B986" s="12" t="b">
        <v>0</v>
      </c>
      <c r="C986" s="93">
        <f>Accounts!N986</f>
        <v/>
      </c>
      <c r="D986" s="94" t="n"/>
      <c r="E986" s="93">
        <f>Accounts!F986</f>
        <v/>
      </c>
      <c r="F986" s="94">
        <f>Accounts!Q986</f>
        <v/>
      </c>
      <c r="G986" s="94">
        <f>Accounts!R986</f>
        <v/>
      </c>
      <c r="H986" s="94">
        <f>Accounts!I986</f>
        <v/>
      </c>
      <c r="I986" s="94">
        <f>Accounts!J986</f>
        <v/>
      </c>
      <c r="J986" s="93">
        <f>Accounts!S986</f>
        <v/>
      </c>
      <c r="K986" s="88" t="n"/>
      <c r="L986" s="95" t="n"/>
      <c r="M986" s="55" t="b">
        <v>0</v>
      </c>
      <c r="N986" s="96" t="b">
        <v>0</v>
      </c>
      <c r="O986" s="55" t="b">
        <v>0</v>
      </c>
      <c r="P986" s="55" t="b">
        <v>0</v>
      </c>
      <c r="Q986" s="55" t="b">
        <v>0</v>
      </c>
      <c r="R986" s="55" t="b">
        <v>0</v>
      </c>
      <c r="S986" s="55" t="b">
        <v>0</v>
      </c>
      <c r="T986" s="55" t="b">
        <v>0</v>
      </c>
      <c r="U986" s="55" t="b">
        <v>0</v>
      </c>
      <c r="V986" s="55" t="b">
        <v>0</v>
      </c>
    </row>
    <row r="987" ht="69" customHeight="1" s="211">
      <c r="A987" s="92">
        <f>Accounts!A987</f>
        <v/>
      </c>
      <c r="B987" s="12" t="b">
        <v>0</v>
      </c>
      <c r="C987" s="93">
        <f>Accounts!N987</f>
        <v/>
      </c>
      <c r="D987" s="94" t="n"/>
      <c r="E987" s="93">
        <f>Accounts!F987</f>
        <v/>
      </c>
      <c r="F987" s="94">
        <f>Accounts!Q987</f>
        <v/>
      </c>
      <c r="G987" s="94">
        <f>Accounts!R987</f>
        <v/>
      </c>
      <c r="H987" s="94">
        <f>Accounts!I987</f>
        <v/>
      </c>
      <c r="I987" s="94">
        <f>Accounts!J987</f>
        <v/>
      </c>
      <c r="J987" s="93">
        <f>Accounts!S987</f>
        <v/>
      </c>
      <c r="K987" s="88" t="n"/>
      <c r="L987" s="95" t="n"/>
      <c r="M987" s="55" t="b">
        <v>0</v>
      </c>
      <c r="N987" s="96" t="b">
        <v>0</v>
      </c>
      <c r="O987" s="55" t="b">
        <v>0</v>
      </c>
      <c r="P987" s="55" t="b">
        <v>0</v>
      </c>
      <c r="Q987" s="55" t="b">
        <v>0</v>
      </c>
      <c r="R987" s="55" t="b">
        <v>0</v>
      </c>
      <c r="S987" s="55" t="b">
        <v>0</v>
      </c>
      <c r="T987" s="55" t="b">
        <v>0</v>
      </c>
      <c r="U987" s="55" t="b">
        <v>0</v>
      </c>
      <c r="V987" s="55" t="b">
        <v>0</v>
      </c>
    </row>
    <row r="988" ht="69" customHeight="1" s="211">
      <c r="A988" s="92">
        <f>Accounts!A988</f>
        <v/>
      </c>
      <c r="B988" s="12" t="b">
        <v>0</v>
      </c>
      <c r="C988" s="93">
        <f>Accounts!N988</f>
        <v/>
      </c>
      <c r="D988" s="94" t="n"/>
      <c r="E988" s="93">
        <f>Accounts!F988</f>
        <v/>
      </c>
      <c r="F988" s="94">
        <f>Accounts!Q988</f>
        <v/>
      </c>
      <c r="G988" s="94">
        <f>Accounts!R988</f>
        <v/>
      </c>
      <c r="H988" s="94">
        <f>Accounts!I988</f>
        <v/>
      </c>
      <c r="I988" s="94">
        <f>Accounts!J988</f>
        <v/>
      </c>
      <c r="J988" s="93">
        <f>Accounts!S988</f>
        <v/>
      </c>
      <c r="K988" s="88" t="n"/>
      <c r="L988" s="95" t="n"/>
      <c r="M988" s="55" t="b">
        <v>0</v>
      </c>
      <c r="N988" s="96" t="b">
        <v>0</v>
      </c>
      <c r="O988" s="55" t="b">
        <v>0</v>
      </c>
      <c r="P988" s="55" t="b">
        <v>0</v>
      </c>
      <c r="Q988" s="55" t="b">
        <v>0</v>
      </c>
      <c r="R988" s="55" t="b">
        <v>0</v>
      </c>
      <c r="S988" s="55" t="b">
        <v>0</v>
      </c>
      <c r="T988" s="55" t="b">
        <v>0</v>
      </c>
      <c r="U988" s="55" t="b">
        <v>0</v>
      </c>
      <c r="V988" s="55" t="b">
        <v>0</v>
      </c>
    </row>
    <row r="989" ht="69" customHeight="1" s="211">
      <c r="A989" s="92">
        <f>Accounts!A989</f>
        <v/>
      </c>
      <c r="B989" s="12" t="b">
        <v>0</v>
      </c>
      <c r="C989" s="93">
        <f>Accounts!N989</f>
        <v/>
      </c>
      <c r="D989" s="94" t="n"/>
      <c r="E989" s="93">
        <f>Accounts!F989</f>
        <v/>
      </c>
      <c r="F989" s="94">
        <f>Accounts!Q989</f>
        <v/>
      </c>
      <c r="G989" s="94">
        <f>Accounts!R989</f>
        <v/>
      </c>
      <c r="H989" s="94">
        <f>Accounts!I989</f>
        <v/>
      </c>
      <c r="I989" s="94">
        <f>Accounts!J989</f>
        <v/>
      </c>
      <c r="J989" s="93">
        <f>Accounts!S989</f>
        <v/>
      </c>
      <c r="K989" s="88" t="n"/>
      <c r="L989" s="95" t="n"/>
      <c r="M989" s="55" t="b">
        <v>0</v>
      </c>
      <c r="N989" s="96" t="b">
        <v>0</v>
      </c>
      <c r="O989" s="55" t="b">
        <v>0</v>
      </c>
      <c r="P989" s="55" t="b">
        <v>0</v>
      </c>
      <c r="Q989" s="55" t="b">
        <v>0</v>
      </c>
      <c r="R989" s="55" t="b">
        <v>0</v>
      </c>
      <c r="S989" s="55" t="b">
        <v>0</v>
      </c>
      <c r="T989" s="55" t="b">
        <v>0</v>
      </c>
      <c r="U989" s="55" t="b">
        <v>0</v>
      </c>
      <c r="V989" s="55" t="b">
        <v>0</v>
      </c>
    </row>
    <row r="990" ht="69" customHeight="1" s="211">
      <c r="A990" s="92">
        <f>Accounts!A990</f>
        <v/>
      </c>
      <c r="B990" s="12" t="b">
        <v>0</v>
      </c>
      <c r="C990" s="93">
        <f>Accounts!N990</f>
        <v/>
      </c>
      <c r="D990" s="94" t="n"/>
      <c r="E990" s="93">
        <f>Accounts!F990</f>
        <v/>
      </c>
      <c r="F990" s="94">
        <f>Accounts!Q990</f>
        <v/>
      </c>
      <c r="G990" s="94">
        <f>Accounts!R990</f>
        <v/>
      </c>
      <c r="H990" s="94">
        <f>Accounts!I990</f>
        <v/>
      </c>
      <c r="I990" s="94">
        <f>Accounts!J990</f>
        <v/>
      </c>
      <c r="J990" s="93">
        <f>Accounts!S990</f>
        <v/>
      </c>
      <c r="K990" s="88" t="n"/>
      <c r="L990" s="95" t="n"/>
      <c r="M990" s="55" t="b">
        <v>0</v>
      </c>
      <c r="N990" s="96" t="b">
        <v>0</v>
      </c>
      <c r="O990" s="55" t="b">
        <v>0</v>
      </c>
      <c r="P990" s="55" t="b">
        <v>0</v>
      </c>
      <c r="Q990" s="55" t="b">
        <v>0</v>
      </c>
      <c r="R990" s="55" t="b">
        <v>0</v>
      </c>
      <c r="S990" s="55" t="b">
        <v>0</v>
      </c>
      <c r="T990" s="55" t="b">
        <v>0</v>
      </c>
      <c r="U990" s="55" t="b">
        <v>0</v>
      </c>
      <c r="V990" s="55" t="b">
        <v>0</v>
      </c>
    </row>
    <row r="991" ht="69" customHeight="1" s="211">
      <c r="A991" s="92">
        <f>Accounts!A991</f>
        <v/>
      </c>
      <c r="B991" s="12" t="b">
        <v>0</v>
      </c>
      <c r="C991" s="93">
        <f>Accounts!N991</f>
        <v/>
      </c>
      <c r="D991" s="94" t="n"/>
      <c r="E991" s="93">
        <f>Accounts!F991</f>
        <v/>
      </c>
      <c r="F991" s="94">
        <f>Accounts!Q991</f>
        <v/>
      </c>
      <c r="G991" s="94">
        <f>Accounts!R991</f>
        <v/>
      </c>
      <c r="H991" s="94">
        <f>Accounts!I991</f>
        <v/>
      </c>
      <c r="I991" s="94">
        <f>Accounts!J991</f>
        <v/>
      </c>
      <c r="J991" s="93">
        <f>Accounts!S991</f>
        <v/>
      </c>
      <c r="K991" s="88" t="n"/>
      <c r="L991" s="95" t="n"/>
      <c r="M991" s="55" t="b">
        <v>0</v>
      </c>
      <c r="N991" s="96" t="b">
        <v>0</v>
      </c>
      <c r="O991" s="55" t="b">
        <v>0</v>
      </c>
      <c r="P991" s="55" t="b">
        <v>0</v>
      </c>
      <c r="Q991" s="55" t="b">
        <v>0</v>
      </c>
      <c r="R991" s="55" t="b">
        <v>0</v>
      </c>
      <c r="S991" s="55" t="b">
        <v>0</v>
      </c>
      <c r="T991" s="55" t="b">
        <v>0</v>
      </c>
      <c r="U991" s="55" t="b">
        <v>0</v>
      </c>
      <c r="V991" s="55" t="b">
        <v>0</v>
      </c>
    </row>
    <row r="992" ht="69" customHeight="1" s="211">
      <c r="A992" s="92">
        <f>Accounts!A992</f>
        <v/>
      </c>
      <c r="B992" s="12" t="b">
        <v>0</v>
      </c>
      <c r="C992" s="93">
        <f>Accounts!N992</f>
        <v/>
      </c>
      <c r="D992" s="94" t="n"/>
      <c r="E992" s="93">
        <f>Accounts!F992</f>
        <v/>
      </c>
      <c r="F992" s="94">
        <f>Accounts!Q992</f>
        <v/>
      </c>
      <c r="G992" s="94">
        <f>Accounts!R992</f>
        <v/>
      </c>
      <c r="H992" s="94">
        <f>Accounts!I992</f>
        <v/>
      </c>
      <c r="I992" s="94">
        <f>Accounts!J992</f>
        <v/>
      </c>
      <c r="J992" s="93">
        <f>Accounts!S992</f>
        <v/>
      </c>
      <c r="K992" s="88" t="n"/>
      <c r="L992" s="95" t="n"/>
      <c r="M992" s="55" t="b">
        <v>0</v>
      </c>
      <c r="N992" s="96" t="b">
        <v>0</v>
      </c>
      <c r="O992" s="55" t="b">
        <v>0</v>
      </c>
      <c r="P992" s="55" t="b">
        <v>0</v>
      </c>
      <c r="Q992" s="55" t="b">
        <v>0</v>
      </c>
      <c r="R992" s="55" t="b">
        <v>0</v>
      </c>
      <c r="S992" s="55" t="b">
        <v>0</v>
      </c>
      <c r="T992" s="55" t="b">
        <v>0</v>
      </c>
      <c r="U992" s="55" t="b">
        <v>0</v>
      </c>
      <c r="V992" s="55" t="b">
        <v>0</v>
      </c>
    </row>
    <row r="993" ht="69" customHeight="1" s="211">
      <c r="A993" s="92">
        <f>Accounts!A993</f>
        <v/>
      </c>
      <c r="B993" s="12" t="b">
        <v>0</v>
      </c>
      <c r="C993" s="93">
        <f>Accounts!N993</f>
        <v/>
      </c>
      <c r="D993" s="94" t="n"/>
      <c r="E993" s="93">
        <f>Accounts!F993</f>
        <v/>
      </c>
      <c r="F993" s="94">
        <f>Accounts!Q993</f>
        <v/>
      </c>
      <c r="G993" s="94">
        <f>Accounts!R993</f>
        <v/>
      </c>
      <c r="H993" s="94">
        <f>Accounts!I993</f>
        <v/>
      </c>
      <c r="I993" s="94">
        <f>Accounts!J993</f>
        <v/>
      </c>
      <c r="J993" s="93">
        <f>Accounts!S993</f>
        <v/>
      </c>
      <c r="K993" s="88" t="n"/>
      <c r="L993" s="95" t="n"/>
      <c r="M993" s="55" t="b">
        <v>0</v>
      </c>
      <c r="N993" s="96" t="b">
        <v>0</v>
      </c>
      <c r="O993" s="55" t="b">
        <v>0</v>
      </c>
      <c r="P993" s="55" t="b">
        <v>0</v>
      </c>
      <c r="Q993" s="55" t="b">
        <v>0</v>
      </c>
      <c r="R993" s="55" t="b">
        <v>0</v>
      </c>
      <c r="S993" s="55" t="b">
        <v>0</v>
      </c>
      <c r="T993" s="55" t="b">
        <v>0</v>
      </c>
      <c r="U993" s="55" t="b">
        <v>0</v>
      </c>
      <c r="V993" s="55" t="b">
        <v>0</v>
      </c>
    </row>
    <row r="994" ht="69" customHeight="1" s="211">
      <c r="A994" s="92">
        <f>Accounts!A994</f>
        <v/>
      </c>
      <c r="B994" s="12" t="b">
        <v>0</v>
      </c>
      <c r="C994" s="93">
        <f>Accounts!N994</f>
        <v/>
      </c>
      <c r="D994" s="94" t="n"/>
      <c r="E994" s="93">
        <f>Accounts!F994</f>
        <v/>
      </c>
      <c r="F994" s="94">
        <f>Accounts!Q994</f>
        <v/>
      </c>
      <c r="G994" s="94">
        <f>Accounts!R994</f>
        <v/>
      </c>
      <c r="H994" s="94">
        <f>Accounts!I994</f>
        <v/>
      </c>
      <c r="I994" s="94">
        <f>Accounts!J994</f>
        <v/>
      </c>
      <c r="J994" s="93">
        <f>Accounts!S994</f>
        <v/>
      </c>
      <c r="K994" s="88" t="n"/>
      <c r="L994" s="95" t="n"/>
      <c r="M994" s="55" t="b">
        <v>0</v>
      </c>
      <c r="N994" s="96" t="b">
        <v>0</v>
      </c>
      <c r="O994" s="55" t="b">
        <v>0</v>
      </c>
      <c r="P994" s="55" t="b">
        <v>0</v>
      </c>
      <c r="Q994" s="55" t="b">
        <v>0</v>
      </c>
      <c r="R994" s="55" t="b">
        <v>0</v>
      </c>
      <c r="S994" s="55" t="b">
        <v>0</v>
      </c>
      <c r="T994" s="55" t="b">
        <v>0</v>
      </c>
      <c r="U994" s="55" t="b">
        <v>0</v>
      </c>
      <c r="V994" s="55" t="b">
        <v>0</v>
      </c>
    </row>
    <row r="995" ht="69" customHeight="1" s="211">
      <c r="A995" s="92">
        <f>Accounts!A995</f>
        <v/>
      </c>
      <c r="B995" s="12" t="b">
        <v>0</v>
      </c>
      <c r="C995" s="93">
        <f>Accounts!N995</f>
        <v/>
      </c>
      <c r="D995" s="94" t="n"/>
      <c r="E995" s="93">
        <f>Accounts!F995</f>
        <v/>
      </c>
      <c r="F995" s="94">
        <f>Accounts!Q995</f>
        <v/>
      </c>
      <c r="G995" s="94">
        <f>Accounts!R995</f>
        <v/>
      </c>
      <c r="H995" s="94">
        <f>Accounts!I995</f>
        <v/>
      </c>
      <c r="I995" s="94">
        <f>Accounts!J995</f>
        <v/>
      </c>
      <c r="J995" s="93">
        <f>Accounts!S995</f>
        <v/>
      </c>
      <c r="K995" s="88" t="n"/>
      <c r="L995" s="95" t="n"/>
      <c r="M995" s="55" t="b">
        <v>0</v>
      </c>
      <c r="N995" s="96" t="b">
        <v>0</v>
      </c>
      <c r="O995" s="55" t="b">
        <v>0</v>
      </c>
      <c r="P995" s="55" t="b">
        <v>0</v>
      </c>
      <c r="Q995" s="55" t="b">
        <v>0</v>
      </c>
      <c r="R995" s="55" t="b">
        <v>0</v>
      </c>
      <c r="S995" s="55" t="b">
        <v>0</v>
      </c>
      <c r="T995" s="55" t="b">
        <v>0</v>
      </c>
      <c r="U995" s="55" t="b">
        <v>0</v>
      </c>
      <c r="V995" s="55" t="b">
        <v>0</v>
      </c>
    </row>
    <row r="996" ht="69" customHeight="1" s="211">
      <c r="A996" s="92">
        <f>Accounts!A996</f>
        <v/>
      </c>
      <c r="B996" s="12" t="b">
        <v>0</v>
      </c>
      <c r="C996" s="93">
        <f>Accounts!N996</f>
        <v/>
      </c>
      <c r="D996" s="94" t="n"/>
      <c r="E996" s="93">
        <f>Accounts!F996</f>
        <v/>
      </c>
      <c r="F996" s="94">
        <f>Accounts!Q996</f>
        <v/>
      </c>
      <c r="G996" s="94">
        <f>Accounts!R996</f>
        <v/>
      </c>
      <c r="H996" s="94">
        <f>Accounts!I996</f>
        <v/>
      </c>
      <c r="I996" s="94">
        <f>Accounts!J996</f>
        <v/>
      </c>
      <c r="J996" s="93">
        <f>Accounts!S996</f>
        <v/>
      </c>
      <c r="K996" s="88" t="n"/>
      <c r="L996" s="95" t="n"/>
      <c r="M996" s="55" t="b">
        <v>0</v>
      </c>
      <c r="N996" s="96" t="b">
        <v>0</v>
      </c>
      <c r="O996" s="55" t="b">
        <v>0</v>
      </c>
      <c r="P996" s="55" t="b">
        <v>0</v>
      </c>
      <c r="Q996" s="55" t="b">
        <v>0</v>
      </c>
      <c r="R996" s="55" t="b">
        <v>0</v>
      </c>
      <c r="S996" s="55" t="b">
        <v>0</v>
      </c>
      <c r="T996" s="55" t="b">
        <v>0</v>
      </c>
      <c r="U996" s="55" t="b">
        <v>0</v>
      </c>
      <c r="V996" s="55" t="b">
        <v>0</v>
      </c>
    </row>
    <row r="997" ht="69" customHeight="1" s="211">
      <c r="A997" s="92">
        <f>Accounts!A997</f>
        <v/>
      </c>
      <c r="B997" s="12" t="b">
        <v>0</v>
      </c>
      <c r="C997" s="93">
        <f>Accounts!N997</f>
        <v/>
      </c>
      <c r="D997" s="94" t="n"/>
      <c r="E997" s="93">
        <f>Accounts!F997</f>
        <v/>
      </c>
      <c r="F997" s="94">
        <f>Accounts!Q997</f>
        <v/>
      </c>
      <c r="G997" s="94">
        <f>Accounts!R997</f>
        <v/>
      </c>
      <c r="H997" s="94">
        <f>Accounts!I997</f>
        <v/>
      </c>
      <c r="I997" s="94">
        <f>Accounts!J997</f>
        <v/>
      </c>
      <c r="J997" s="93">
        <f>Accounts!S997</f>
        <v/>
      </c>
      <c r="K997" s="88" t="n"/>
      <c r="L997" s="95" t="n"/>
      <c r="M997" s="55" t="b">
        <v>0</v>
      </c>
      <c r="N997" s="96" t="b">
        <v>0</v>
      </c>
      <c r="O997" s="55" t="b">
        <v>0</v>
      </c>
      <c r="P997" s="55" t="b">
        <v>0</v>
      </c>
      <c r="Q997" s="55" t="b">
        <v>0</v>
      </c>
      <c r="R997" s="55" t="b">
        <v>0</v>
      </c>
      <c r="S997" s="55" t="b">
        <v>0</v>
      </c>
      <c r="T997" s="55" t="b">
        <v>0</v>
      </c>
      <c r="U997" s="55" t="b">
        <v>0</v>
      </c>
      <c r="V997" s="55" t="b">
        <v>0</v>
      </c>
    </row>
    <row r="998" ht="69" customHeight="1" s="211">
      <c r="A998" s="92">
        <f>Accounts!A998</f>
        <v/>
      </c>
      <c r="B998" s="12" t="b">
        <v>0</v>
      </c>
      <c r="C998" s="93">
        <f>Accounts!N998</f>
        <v/>
      </c>
      <c r="D998" s="94" t="n"/>
      <c r="E998" s="93">
        <f>Accounts!F998</f>
        <v/>
      </c>
      <c r="F998" s="94">
        <f>Accounts!Q998</f>
        <v/>
      </c>
      <c r="G998" s="94">
        <f>Accounts!R998</f>
        <v/>
      </c>
      <c r="H998" s="94">
        <f>Accounts!I998</f>
        <v/>
      </c>
      <c r="I998" s="94">
        <f>Accounts!J998</f>
        <v/>
      </c>
      <c r="J998" s="93">
        <f>Accounts!S998</f>
        <v/>
      </c>
      <c r="K998" s="88" t="n"/>
      <c r="L998" s="95" t="n"/>
      <c r="M998" s="55" t="b">
        <v>0</v>
      </c>
      <c r="N998" s="96" t="b">
        <v>0</v>
      </c>
      <c r="O998" s="55" t="b">
        <v>0</v>
      </c>
      <c r="P998" s="55" t="b">
        <v>0</v>
      </c>
      <c r="Q998" s="55" t="b">
        <v>0</v>
      </c>
      <c r="R998" s="55" t="b">
        <v>0</v>
      </c>
      <c r="S998" s="55" t="b">
        <v>0</v>
      </c>
      <c r="T998" s="55" t="b">
        <v>0</v>
      </c>
      <c r="U998" s="55" t="b">
        <v>0</v>
      </c>
      <c r="V998" s="55" t="b">
        <v>0</v>
      </c>
    </row>
    <row r="999" ht="69" customHeight="1" s="211">
      <c r="A999" s="92">
        <f>Accounts!A999</f>
        <v/>
      </c>
      <c r="B999" s="12" t="b">
        <v>0</v>
      </c>
      <c r="C999" s="93">
        <f>Accounts!N999</f>
        <v/>
      </c>
      <c r="D999" s="94" t="n"/>
      <c r="E999" s="93">
        <f>Accounts!F999</f>
        <v/>
      </c>
      <c r="F999" s="94">
        <f>Accounts!Q999</f>
        <v/>
      </c>
      <c r="G999" s="94">
        <f>Accounts!R999</f>
        <v/>
      </c>
      <c r="H999" s="94">
        <f>Accounts!I999</f>
        <v/>
      </c>
      <c r="I999" s="94">
        <f>Accounts!J999</f>
        <v/>
      </c>
      <c r="J999" s="93">
        <f>Accounts!S999</f>
        <v/>
      </c>
      <c r="K999" s="88" t="n"/>
      <c r="L999" s="95" t="n"/>
      <c r="M999" s="55" t="b">
        <v>0</v>
      </c>
      <c r="N999" s="96" t="b">
        <v>0</v>
      </c>
      <c r="O999" s="55" t="b">
        <v>0</v>
      </c>
      <c r="P999" s="55" t="b">
        <v>0</v>
      </c>
      <c r="Q999" s="55" t="b">
        <v>0</v>
      </c>
      <c r="R999" s="55" t="b">
        <v>0</v>
      </c>
      <c r="S999" s="55" t="b">
        <v>0</v>
      </c>
      <c r="T999" s="55" t="b">
        <v>0</v>
      </c>
      <c r="U999" s="55" t="b">
        <v>0</v>
      </c>
      <c r="V999" s="55" t="b">
        <v>0</v>
      </c>
    </row>
    <row r="1000" ht="69" customHeight="1" s="211">
      <c r="A1000" s="92">
        <f>Accounts!A1000</f>
        <v/>
      </c>
      <c r="B1000" s="12" t="b">
        <v>0</v>
      </c>
      <c r="C1000" s="93">
        <f>Accounts!N1000</f>
        <v/>
      </c>
      <c r="D1000" s="94" t="n"/>
      <c r="E1000" s="93">
        <f>Accounts!F1000</f>
        <v/>
      </c>
      <c r="F1000" s="94">
        <f>Accounts!Q1000</f>
        <v/>
      </c>
      <c r="G1000" s="94">
        <f>Accounts!R1000</f>
        <v/>
      </c>
      <c r="H1000" s="94">
        <f>Accounts!I1000</f>
        <v/>
      </c>
      <c r="I1000" s="94">
        <f>Accounts!J1000</f>
        <v/>
      </c>
      <c r="J1000" s="93">
        <f>Accounts!S1000</f>
        <v/>
      </c>
      <c r="K1000" s="88" t="n"/>
      <c r="L1000" s="95" t="n"/>
      <c r="M1000" s="55" t="b">
        <v>0</v>
      </c>
      <c r="N1000" s="96" t="b">
        <v>0</v>
      </c>
      <c r="O1000" s="55" t="b">
        <v>0</v>
      </c>
      <c r="P1000" s="55" t="b">
        <v>0</v>
      </c>
      <c r="Q1000" s="55" t="b">
        <v>0</v>
      </c>
      <c r="R1000" s="55" t="b">
        <v>0</v>
      </c>
      <c r="S1000" s="55" t="b">
        <v>0</v>
      </c>
      <c r="T1000" s="55" t="b">
        <v>0</v>
      </c>
      <c r="U1000" s="55" t="b">
        <v>0</v>
      </c>
      <c r="V1000" s="55" t="b">
        <v>0</v>
      </c>
    </row>
    <row r="1001" ht="69" customHeight="1" s="211">
      <c r="A1001" s="92" t="n"/>
      <c r="B1001" s="12" t="b">
        <v>0</v>
      </c>
      <c r="C1001" s="93">
        <f>Accounts!N1001</f>
        <v/>
      </c>
      <c r="D1001" s="94" t="n"/>
      <c r="E1001" s="93">
        <f>Accounts!F1001</f>
        <v/>
      </c>
      <c r="F1001" s="94">
        <f>Accounts!Q1001</f>
        <v/>
      </c>
      <c r="G1001" s="94">
        <f>Accounts!R1001</f>
        <v/>
      </c>
      <c r="H1001" s="94">
        <f>Accounts!I1001</f>
        <v/>
      </c>
      <c r="I1001" s="94">
        <f>Accounts!J1001</f>
        <v/>
      </c>
      <c r="J1001" s="93">
        <f>Accounts!S1001</f>
        <v/>
      </c>
      <c r="K1001" s="89" t="n"/>
      <c r="L1001" s="98" t="n"/>
      <c r="M1001" s="12" t="b">
        <v>0</v>
      </c>
      <c r="N1001" s="99" t="b">
        <v>0</v>
      </c>
      <c r="O1001" s="12" t="b">
        <v>0</v>
      </c>
      <c r="P1001" s="12" t="b">
        <v>0</v>
      </c>
      <c r="Q1001" s="12" t="b">
        <v>0</v>
      </c>
      <c r="R1001" s="12" t="b">
        <v>0</v>
      </c>
      <c r="S1001" s="12" t="b">
        <v>0</v>
      </c>
      <c r="T1001" s="12" t="b">
        <v>0</v>
      </c>
      <c r="U1001" s="12" t="b">
        <v>0</v>
      </c>
      <c r="V1001" s="12" t="b">
        <v>0</v>
      </c>
    </row>
    <row r="1002" ht="69" customHeight="1" s="211">
      <c r="A1002" s="92" t="n"/>
      <c r="B1002" s="12" t="b">
        <v>0</v>
      </c>
      <c r="C1002" s="93">
        <f>Accounts!N1002</f>
        <v/>
      </c>
      <c r="D1002" s="94" t="n"/>
      <c r="E1002" s="93">
        <f>Accounts!F1002</f>
        <v/>
      </c>
      <c r="F1002" s="94">
        <f>Accounts!Q1002</f>
        <v/>
      </c>
      <c r="G1002" s="94">
        <f>Accounts!R1002</f>
        <v/>
      </c>
      <c r="H1002" s="94">
        <f>Accounts!I1002</f>
        <v/>
      </c>
      <c r="I1002" s="94">
        <f>Accounts!J1002</f>
        <v/>
      </c>
      <c r="J1002" s="93">
        <f>Accounts!S1002</f>
        <v/>
      </c>
      <c r="K1002" s="89" t="n"/>
      <c r="L1002" s="98" t="n"/>
      <c r="M1002" s="12" t="b">
        <v>0</v>
      </c>
      <c r="N1002" s="99" t="b">
        <v>0</v>
      </c>
      <c r="O1002" s="12" t="b">
        <v>0</v>
      </c>
      <c r="P1002" s="12" t="b">
        <v>0</v>
      </c>
      <c r="Q1002" s="12" t="b">
        <v>0</v>
      </c>
      <c r="R1002" s="12" t="b">
        <v>0</v>
      </c>
      <c r="S1002" s="12" t="b">
        <v>0</v>
      </c>
      <c r="T1002" s="12" t="b">
        <v>0</v>
      </c>
      <c r="U1002" s="12" t="b">
        <v>0</v>
      </c>
      <c r="V1002" s="12" t="b">
        <v>0</v>
      </c>
    </row>
    <row r="1003" ht="69" customHeight="1" s="211">
      <c r="A1003" s="92" t="n"/>
      <c r="B1003" s="12" t="b">
        <v>0</v>
      </c>
      <c r="C1003" s="93">
        <f>Accounts!N1003</f>
        <v/>
      </c>
      <c r="D1003" s="94" t="n"/>
      <c r="E1003" s="93">
        <f>Accounts!F1003</f>
        <v/>
      </c>
      <c r="F1003" s="94">
        <f>Accounts!Q1003</f>
        <v/>
      </c>
      <c r="G1003" s="94">
        <f>Accounts!R1003</f>
        <v/>
      </c>
      <c r="H1003" s="94">
        <f>Accounts!I1003</f>
        <v/>
      </c>
      <c r="I1003" s="94">
        <f>Accounts!J1003</f>
        <v/>
      </c>
      <c r="J1003" s="93">
        <f>Accounts!S1003</f>
        <v/>
      </c>
      <c r="K1003" s="89" t="n"/>
      <c r="L1003" s="98" t="n"/>
      <c r="M1003" s="12" t="b">
        <v>0</v>
      </c>
      <c r="N1003" s="99" t="b">
        <v>0</v>
      </c>
      <c r="O1003" s="12" t="b">
        <v>0</v>
      </c>
      <c r="P1003" s="12" t="b">
        <v>0</v>
      </c>
      <c r="Q1003" s="12" t="b">
        <v>0</v>
      </c>
      <c r="R1003" s="12" t="b">
        <v>0</v>
      </c>
      <c r="S1003" s="12" t="b">
        <v>0</v>
      </c>
      <c r="T1003" s="12" t="b">
        <v>0</v>
      </c>
      <c r="U1003" s="12" t="b">
        <v>0</v>
      </c>
      <c r="V1003" s="12" t="b">
        <v>0</v>
      </c>
    </row>
    <row r="1004" ht="69" customHeight="1" s="211">
      <c r="A1004" s="92" t="n"/>
      <c r="B1004" s="12" t="b">
        <v>0</v>
      </c>
      <c r="C1004" s="93">
        <f>Accounts!N1004</f>
        <v/>
      </c>
      <c r="D1004" s="94" t="n"/>
      <c r="E1004" s="93">
        <f>Accounts!F1004</f>
        <v/>
      </c>
      <c r="F1004" s="94">
        <f>Accounts!Q1004</f>
        <v/>
      </c>
      <c r="G1004" s="94">
        <f>Accounts!R1004</f>
        <v/>
      </c>
      <c r="H1004" s="94">
        <f>Accounts!I1004</f>
        <v/>
      </c>
      <c r="I1004" s="94">
        <f>Accounts!J1004</f>
        <v/>
      </c>
      <c r="J1004" s="93">
        <f>Accounts!S1004</f>
        <v/>
      </c>
      <c r="K1004" s="89" t="n"/>
      <c r="L1004" s="98" t="n"/>
      <c r="M1004" s="12" t="b">
        <v>0</v>
      </c>
      <c r="N1004" s="99" t="b">
        <v>0</v>
      </c>
      <c r="O1004" s="12" t="b">
        <v>0</v>
      </c>
      <c r="P1004" s="12" t="b">
        <v>0</v>
      </c>
      <c r="Q1004" s="12" t="b">
        <v>0</v>
      </c>
      <c r="R1004" s="12" t="b">
        <v>0</v>
      </c>
      <c r="S1004" s="12" t="b">
        <v>0</v>
      </c>
      <c r="T1004" s="12" t="b">
        <v>0</v>
      </c>
      <c r="U1004" s="12" t="b">
        <v>0</v>
      </c>
      <c r="V1004" s="12" t="b">
        <v>0</v>
      </c>
    </row>
    <row r="1005" ht="69" customHeight="1" s="211">
      <c r="A1005" s="92" t="n"/>
      <c r="B1005" s="12" t="b">
        <v>0</v>
      </c>
      <c r="C1005" s="93">
        <f>Accounts!N1005</f>
        <v/>
      </c>
      <c r="D1005" s="94" t="n"/>
      <c r="E1005" s="93">
        <f>Accounts!F1005</f>
        <v/>
      </c>
      <c r="F1005" s="94">
        <f>Accounts!Q1005</f>
        <v/>
      </c>
      <c r="G1005" s="94">
        <f>Accounts!R1005</f>
        <v/>
      </c>
      <c r="H1005" s="94">
        <f>Accounts!I1005</f>
        <v/>
      </c>
      <c r="I1005" s="94">
        <f>Accounts!J1005</f>
        <v/>
      </c>
      <c r="J1005" s="93">
        <f>Accounts!S1005</f>
        <v/>
      </c>
      <c r="K1005" s="89" t="n"/>
      <c r="L1005" s="98" t="n"/>
      <c r="M1005" s="12" t="b">
        <v>0</v>
      </c>
      <c r="N1005" s="99" t="b">
        <v>0</v>
      </c>
      <c r="O1005" s="12" t="b">
        <v>0</v>
      </c>
      <c r="P1005" s="12" t="b">
        <v>0</v>
      </c>
      <c r="Q1005" s="12" t="b">
        <v>0</v>
      </c>
      <c r="R1005" s="12" t="b">
        <v>0</v>
      </c>
      <c r="S1005" s="12" t="b">
        <v>0</v>
      </c>
      <c r="T1005" s="12" t="b">
        <v>0</v>
      </c>
      <c r="U1005" s="12" t="b">
        <v>0</v>
      </c>
      <c r="V1005" s="12" t="b">
        <v>0</v>
      </c>
    </row>
    <row r="1006" ht="69" customHeight="1" s="211">
      <c r="A1006" s="92" t="n"/>
      <c r="B1006" s="12" t="b">
        <v>0</v>
      </c>
      <c r="C1006" s="93">
        <f>Accounts!N1006</f>
        <v/>
      </c>
      <c r="D1006" s="94" t="n"/>
      <c r="E1006" s="93">
        <f>Accounts!F1006</f>
        <v/>
      </c>
      <c r="F1006" s="94">
        <f>Accounts!Q1006</f>
        <v/>
      </c>
      <c r="G1006" s="94">
        <f>Accounts!R1006</f>
        <v/>
      </c>
      <c r="H1006" s="94">
        <f>Accounts!I1006</f>
        <v/>
      </c>
      <c r="I1006" s="94">
        <f>Accounts!J1006</f>
        <v/>
      </c>
      <c r="J1006" s="93">
        <f>Accounts!S1006</f>
        <v/>
      </c>
      <c r="K1006" s="89" t="n"/>
      <c r="L1006" s="98" t="n"/>
      <c r="M1006" s="12" t="b">
        <v>0</v>
      </c>
      <c r="N1006" s="99" t="b">
        <v>0</v>
      </c>
      <c r="O1006" s="12" t="b">
        <v>0</v>
      </c>
      <c r="P1006" s="12" t="b">
        <v>0</v>
      </c>
      <c r="Q1006" s="12" t="b">
        <v>0</v>
      </c>
      <c r="R1006" s="12" t="b">
        <v>0</v>
      </c>
      <c r="S1006" s="12" t="b">
        <v>0</v>
      </c>
      <c r="T1006" s="12" t="b">
        <v>0</v>
      </c>
      <c r="U1006" s="12" t="b">
        <v>0</v>
      </c>
      <c r="V1006" s="12" t="b">
        <v>0</v>
      </c>
    </row>
    <row r="1007" ht="69" customHeight="1" s="211">
      <c r="A1007" s="92" t="n"/>
      <c r="B1007" s="12" t="b">
        <v>0</v>
      </c>
      <c r="C1007" s="93">
        <f>Accounts!N1007</f>
        <v/>
      </c>
      <c r="D1007" s="94" t="n"/>
      <c r="E1007" s="93">
        <f>Accounts!F1007</f>
        <v/>
      </c>
      <c r="F1007" s="94">
        <f>Accounts!Q1007</f>
        <v/>
      </c>
      <c r="G1007" s="94">
        <f>Accounts!R1007</f>
        <v/>
      </c>
      <c r="H1007" s="94">
        <f>Accounts!I1007</f>
        <v/>
      </c>
      <c r="I1007" s="94">
        <f>Accounts!J1007</f>
        <v/>
      </c>
      <c r="J1007" s="93">
        <f>Accounts!S1007</f>
        <v/>
      </c>
      <c r="K1007" s="89" t="n"/>
      <c r="L1007" s="98" t="n"/>
      <c r="M1007" s="12" t="b">
        <v>0</v>
      </c>
      <c r="N1007" s="99" t="b">
        <v>0</v>
      </c>
      <c r="O1007" s="12" t="b">
        <v>0</v>
      </c>
      <c r="P1007" s="12" t="b">
        <v>0</v>
      </c>
      <c r="Q1007" s="12" t="b">
        <v>0</v>
      </c>
      <c r="R1007" s="12" t="b">
        <v>0</v>
      </c>
      <c r="S1007" s="12" t="b">
        <v>0</v>
      </c>
      <c r="T1007" s="12" t="b">
        <v>0</v>
      </c>
      <c r="U1007" s="12" t="b">
        <v>0</v>
      </c>
      <c r="V1007" s="12" t="b">
        <v>0</v>
      </c>
    </row>
    <row r="1008" ht="69" customHeight="1" s="211">
      <c r="A1008" s="92" t="n"/>
      <c r="B1008" s="12" t="b">
        <v>0</v>
      </c>
      <c r="C1008" s="93">
        <f>Accounts!N1008</f>
        <v/>
      </c>
      <c r="D1008" s="94" t="n"/>
      <c r="E1008" s="93">
        <f>Accounts!F1008</f>
        <v/>
      </c>
      <c r="F1008" s="94">
        <f>Accounts!Q1008</f>
        <v/>
      </c>
      <c r="G1008" s="94">
        <f>Accounts!R1008</f>
        <v/>
      </c>
      <c r="H1008" s="94">
        <f>Accounts!I1008</f>
        <v/>
      </c>
      <c r="I1008" s="94">
        <f>Accounts!J1008</f>
        <v/>
      </c>
      <c r="J1008" s="93">
        <f>Accounts!S1008</f>
        <v/>
      </c>
      <c r="K1008" s="89" t="n"/>
      <c r="L1008" s="98" t="n"/>
      <c r="M1008" s="12" t="b">
        <v>0</v>
      </c>
      <c r="N1008" s="99" t="b">
        <v>0</v>
      </c>
      <c r="O1008" s="12" t="b">
        <v>0</v>
      </c>
      <c r="P1008" s="12" t="b">
        <v>0</v>
      </c>
      <c r="Q1008" s="12" t="b">
        <v>0</v>
      </c>
      <c r="R1008" s="12" t="b">
        <v>0</v>
      </c>
      <c r="S1008" s="12" t="b">
        <v>0</v>
      </c>
      <c r="T1008" s="12" t="b">
        <v>0</v>
      </c>
      <c r="U1008" s="12" t="b">
        <v>0</v>
      </c>
      <c r="V1008" s="12" t="b">
        <v>0</v>
      </c>
    </row>
    <row r="1009" ht="69" customHeight="1" s="211">
      <c r="A1009" s="92" t="n"/>
      <c r="B1009" s="12" t="b">
        <v>0</v>
      </c>
      <c r="C1009" s="93">
        <f>Accounts!N1009</f>
        <v/>
      </c>
      <c r="D1009" s="94" t="n"/>
      <c r="E1009" s="93">
        <f>Accounts!F1009</f>
        <v/>
      </c>
      <c r="F1009" s="94">
        <f>Accounts!Q1009</f>
        <v/>
      </c>
      <c r="G1009" s="94">
        <f>Accounts!R1009</f>
        <v/>
      </c>
      <c r="H1009" s="94">
        <f>Accounts!I1009</f>
        <v/>
      </c>
      <c r="I1009" s="94">
        <f>Accounts!J1009</f>
        <v/>
      </c>
      <c r="J1009" s="93">
        <f>Accounts!S1009</f>
        <v/>
      </c>
      <c r="K1009" s="89" t="n"/>
      <c r="L1009" s="98" t="n"/>
      <c r="M1009" s="12" t="b">
        <v>0</v>
      </c>
      <c r="N1009" s="99" t="b">
        <v>0</v>
      </c>
      <c r="O1009" s="12" t="b">
        <v>0</v>
      </c>
      <c r="P1009" s="12" t="b">
        <v>0</v>
      </c>
      <c r="Q1009" s="12" t="b">
        <v>0</v>
      </c>
      <c r="R1009" s="12" t="b">
        <v>0</v>
      </c>
      <c r="S1009" s="12" t="b">
        <v>0</v>
      </c>
      <c r="T1009" s="12" t="b">
        <v>0</v>
      </c>
      <c r="U1009" s="12" t="b">
        <v>0</v>
      </c>
      <c r="V1009" s="12" t="b">
        <v>0</v>
      </c>
    </row>
    <row r="1010" ht="69" customHeight="1" s="211">
      <c r="A1010" s="92" t="n"/>
      <c r="B1010" s="12" t="b">
        <v>0</v>
      </c>
      <c r="C1010" s="93">
        <f>Accounts!N1010</f>
        <v/>
      </c>
      <c r="D1010" s="94" t="n"/>
      <c r="E1010" s="93">
        <f>Accounts!F1010</f>
        <v/>
      </c>
      <c r="F1010" s="94">
        <f>Accounts!Q1010</f>
        <v/>
      </c>
      <c r="G1010" s="94">
        <f>Accounts!R1010</f>
        <v/>
      </c>
      <c r="H1010" s="94">
        <f>Accounts!I1010</f>
        <v/>
      </c>
      <c r="I1010" s="94">
        <f>Accounts!J1010</f>
        <v/>
      </c>
      <c r="J1010" s="93">
        <f>Accounts!S1010</f>
        <v/>
      </c>
      <c r="K1010" s="89" t="n"/>
      <c r="L1010" s="98" t="n"/>
      <c r="M1010" s="12" t="b">
        <v>0</v>
      </c>
      <c r="N1010" s="99" t="b">
        <v>0</v>
      </c>
      <c r="O1010" s="12" t="b">
        <v>0</v>
      </c>
      <c r="P1010" s="12" t="b">
        <v>0</v>
      </c>
      <c r="Q1010" s="12" t="b">
        <v>0</v>
      </c>
      <c r="R1010" s="12" t="b">
        <v>0</v>
      </c>
      <c r="S1010" s="12" t="b">
        <v>0</v>
      </c>
      <c r="T1010" s="12" t="b">
        <v>0</v>
      </c>
      <c r="U1010" s="12" t="b">
        <v>0</v>
      </c>
      <c r="V1010" s="12" t="b">
        <v>0</v>
      </c>
    </row>
    <row r="1011" ht="69" customHeight="1" s="211">
      <c r="A1011" s="92" t="n"/>
      <c r="B1011" s="12" t="b">
        <v>0</v>
      </c>
      <c r="C1011" s="93">
        <f>Accounts!N1011</f>
        <v/>
      </c>
      <c r="D1011" s="94" t="n"/>
      <c r="E1011" s="93">
        <f>Accounts!F1011</f>
        <v/>
      </c>
      <c r="F1011" s="94">
        <f>Accounts!Q1011</f>
        <v/>
      </c>
      <c r="G1011" s="94">
        <f>Accounts!R1011</f>
        <v/>
      </c>
      <c r="H1011" s="94">
        <f>Accounts!I1011</f>
        <v/>
      </c>
      <c r="I1011" s="94">
        <f>Accounts!J1011</f>
        <v/>
      </c>
      <c r="J1011" s="93">
        <f>Accounts!S1011</f>
        <v/>
      </c>
      <c r="K1011" s="89" t="n"/>
      <c r="L1011" s="98" t="n"/>
      <c r="M1011" s="12" t="b">
        <v>0</v>
      </c>
      <c r="N1011" s="99" t="b">
        <v>0</v>
      </c>
      <c r="O1011" s="12" t="b">
        <v>0</v>
      </c>
      <c r="P1011" s="12" t="b">
        <v>0</v>
      </c>
      <c r="Q1011" s="12" t="b">
        <v>0</v>
      </c>
      <c r="R1011" s="12" t="b">
        <v>0</v>
      </c>
      <c r="S1011" s="12" t="b">
        <v>0</v>
      </c>
      <c r="T1011" s="12" t="b">
        <v>0</v>
      </c>
      <c r="U1011" s="12" t="b">
        <v>0</v>
      </c>
      <c r="V1011" s="12" t="b">
        <v>0</v>
      </c>
    </row>
    <row r="1012" ht="69" customHeight="1" s="211">
      <c r="A1012" s="92" t="n"/>
      <c r="B1012" s="12" t="b">
        <v>0</v>
      </c>
      <c r="C1012" s="93">
        <f>Accounts!N1012</f>
        <v/>
      </c>
      <c r="D1012" s="94" t="n"/>
      <c r="E1012" s="93">
        <f>Accounts!F1012</f>
        <v/>
      </c>
      <c r="F1012" s="94">
        <f>Accounts!Q1012</f>
        <v/>
      </c>
      <c r="G1012" s="94">
        <f>Accounts!R1012</f>
        <v/>
      </c>
      <c r="H1012" s="94">
        <f>Accounts!I1012</f>
        <v/>
      </c>
      <c r="I1012" s="94">
        <f>Accounts!J1012</f>
        <v/>
      </c>
      <c r="J1012" s="93">
        <f>Accounts!S1012</f>
        <v/>
      </c>
      <c r="K1012" s="89" t="n"/>
      <c r="L1012" s="98" t="n"/>
      <c r="M1012" s="12" t="b">
        <v>0</v>
      </c>
      <c r="N1012" s="99" t="b">
        <v>0</v>
      </c>
      <c r="O1012" s="12" t="b">
        <v>0</v>
      </c>
      <c r="P1012" s="12" t="b">
        <v>0</v>
      </c>
      <c r="Q1012" s="12" t="b">
        <v>0</v>
      </c>
      <c r="R1012" s="12" t="b">
        <v>0</v>
      </c>
      <c r="S1012" s="12" t="b">
        <v>0</v>
      </c>
      <c r="T1012" s="12" t="b">
        <v>0</v>
      </c>
      <c r="U1012" s="12" t="b">
        <v>0</v>
      </c>
      <c r="V1012" s="12" t="b">
        <v>0</v>
      </c>
    </row>
    <row r="1013" ht="69" customHeight="1" s="211">
      <c r="A1013" s="92" t="n"/>
      <c r="B1013" s="12" t="b">
        <v>0</v>
      </c>
      <c r="C1013" s="93">
        <f>Accounts!N1013</f>
        <v/>
      </c>
      <c r="D1013" s="94" t="n"/>
      <c r="E1013" s="93">
        <f>Accounts!F1013</f>
        <v/>
      </c>
      <c r="F1013" s="94">
        <f>Accounts!Q1013</f>
        <v/>
      </c>
      <c r="G1013" s="94">
        <f>Accounts!R1013</f>
        <v/>
      </c>
      <c r="H1013" s="94">
        <f>Accounts!I1013</f>
        <v/>
      </c>
      <c r="I1013" s="94">
        <f>Accounts!J1013</f>
        <v/>
      </c>
      <c r="J1013" s="93">
        <f>Accounts!S1013</f>
        <v/>
      </c>
      <c r="K1013" s="89" t="n"/>
      <c r="L1013" s="98" t="n"/>
      <c r="M1013" s="12" t="b">
        <v>0</v>
      </c>
      <c r="N1013" s="99" t="b">
        <v>0</v>
      </c>
      <c r="O1013" s="12" t="b">
        <v>0</v>
      </c>
      <c r="P1013" s="12" t="b">
        <v>0</v>
      </c>
      <c r="Q1013" s="12" t="b">
        <v>0</v>
      </c>
      <c r="R1013" s="12" t="b">
        <v>0</v>
      </c>
      <c r="S1013" s="12" t="b">
        <v>0</v>
      </c>
      <c r="T1013" s="12" t="b">
        <v>0</v>
      </c>
      <c r="U1013" s="12" t="b">
        <v>0</v>
      </c>
      <c r="V1013" s="12" t="b">
        <v>0</v>
      </c>
    </row>
    <row r="1014" ht="69" customHeight="1" s="211">
      <c r="A1014" s="92" t="n"/>
      <c r="B1014" s="12" t="b">
        <v>0</v>
      </c>
      <c r="C1014" s="93">
        <f>Accounts!N1014</f>
        <v/>
      </c>
      <c r="D1014" s="94" t="n"/>
      <c r="E1014" s="93">
        <f>Accounts!F1014</f>
        <v/>
      </c>
      <c r="F1014" s="94">
        <f>Accounts!Q1014</f>
        <v/>
      </c>
      <c r="G1014" s="94">
        <f>Accounts!R1014</f>
        <v/>
      </c>
      <c r="H1014" s="94">
        <f>Accounts!I1014</f>
        <v/>
      </c>
      <c r="I1014" s="94">
        <f>Accounts!J1014</f>
        <v/>
      </c>
      <c r="J1014" s="93">
        <f>Accounts!S1014</f>
        <v/>
      </c>
      <c r="K1014" s="89" t="n"/>
      <c r="L1014" s="98" t="n"/>
      <c r="M1014" s="12" t="b">
        <v>0</v>
      </c>
      <c r="N1014" s="99" t="b">
        <v>0</v>
      </c>
      <c r="O1014" s="12" t="b">
        <v>0</v>
      </c>
      <c r="P1014" s="12" t="b">
        <v>0</v>
      </c>
      <c r="Q1014" s="12" t="b">
        <v>0</v>
      </c>
      <c r="R1014" s="12" t="b">
        <v>0</v>
      </c>
      <c r="S1014" s="12" t="b">
        <v>0</v>
      </c>
      <c r="T1014" s="12" t="b">
        <v>0</v>
      </c>
      <c r="U1014" s="12" t="b">
        <v>0</v>
      </c>
      <c r="V1014" s="12" t="b">
        <v>0</v>
      </c>
    </row>
    <row r="1015" ht="69" customHeight="1" s="211">
      <c r="A1015" s="92" t="n"/>
      <c r="B1015" s="12" t="b">
        <v>0</v>
      </c>
      <c r="C1015" s="93">
        <f>Accounts!N1015</f>
        <v/>
      </c>
      <c r="D1015" s="94" t="n"/>
      <c r="E1015" s="93">
        <f>Accounts!F1015</f>
        <v/>
      </c>
      <c r="F1015" s="94">
        <f>Accounts!Q1015</f>
        <v/>
      </c>
      <c r="G1015" s="94">
        <f>Accounts!R1015</f>
        <v/>
      </c>
      <c r="H1015" s="94">
        <f>Accounts!I1015</f>
        <v/>
      </c>
      <c r="I1015" s="94">
        <f>Accounts!J1015</f>
        <v/>
      </c>
      <c r="J1015" s="93">
        <f>Accounts!S1015</f>
        <v/>
      </c>
      <c r="K1015" s="89" t="n"/>
      <c r="L1015" s="98" t="n"/>
      <c r="M1015" s="12" t="b">
        <v>0</v>
      </c>
      <c r="N1015" s="99" t="b">
        <v>0</v>
      </c>
      <c r="O1015" s="12" t="b">
        <v>0</v>
      </c>
      <c r="P1015" s="12" t="b">
        <v>0</v>
      </c>
      <c r="Q1015" s="12" t="b">
        <v>0</v>
      </c>
      <c r="R1015" s="12" t="b">
        <v>0</v>
      </c>
      <c r="S1015" s="12" t="b">
        <v>0</v>
      </c>
      <c r="T1015" s="12" t="b">
        <v>0</v>
      </c>
      <c r="U1015" s="12" t="b">
        <v>0</v>
      </c>
      <c r="V1015" s="12" t="b">
        <v>0</v>
      </c>
    </row>
    <row r="1016" ht="69" customHeight="1" s="211">
      <c r="A1016" s="92" t="n"/>
      <c r="B1016" s="12" t="b">
        <v>0</v>
      </c>
      <c r="C1016" s="93">
        <f>Accounts!N1016</f>
        <v/>
      </c>
      <c r="D1016" s="94" t="n"/>
      <c r="E1016" s="93">
        <f>Accounts!F1016</f>
        <v/>
      </c>
      <c r="F1016" s="94">
        <f>Accounts!Q1016</f>
        <v/>
      </c>
      <c r="G1016" s="94">
        <f>Accounts!R1016</f>
        <v/>
      </c>
      <c r="H1016" s="94">
        <f>Accounts!I1016</f>
        <v/>
      </c>
      <c r="I1016" s="94">
        <f>Accounts!J1016</f>
        <v/>
      </c>
      <c r="J1016" s="93">
        <f>Accounts!S1016</f>
        <v/>
      </c>
      <c r="K1016" s="89" t="n"/>
      <c r="L1016" s="98" t="n"/>
      <c r="M1016" s="12" t="b">
        <v>0</v>
      </c>
      <c r="N1016" s="99" t="b">
        <v>0</v>
      </c>
      <c r="O1016" s="12" t="b">
        <v>0</v>
      </c>
      <c r="P1016" s="12" t="b">
        <v>0</v>
      </c>
      <c r="Q1016" s="12" t="b">
        <v>0</v>
      </c>
      <c r="R1016" s="12" t="b">
        <v>0</v>
      </c>
      <c r="S1016" s="12" t="b">
        <v>0</v>
      </c>
      <c r="T1016" s="12" t="b">
        <v>0</v>
      </c>
      <c r="U1016" s="12" t="b">
        <v>0</v>
      </c>
      <c r="V1016" s="12" t="b">
        <v>0</v>
      </c>
    </row>
    <row r="1017" ht="69" customHeight="1" s="211">
      <c r="A1017" s="92" t="n"/>
      <c r="B1017" s="12" t="b">
        <v>0</v>
      </c>
      <c r="C1017" s="93">
        <f>Accounts!N1017</f>
        <v/>
      </c>
      <c r="D1017" s="94" t="n"/>
      <c r="E1017" s="93">
        <f>Accounts!F1017</f>
        <v/>
      </c>
      <c r="F1017" s="94">
        <f>Accounts!Q1017</f>
        <v/>
      </c>
      <c r="G1017" s="94">
        <f>Accounts!R1017</f>
        <v/>
      </c>
      <c r="H1017" s="94">
        <f>Accounts!I1017</f>
        <v/>
      </c>
      <c r="I1017" s="94">
        <f>Accounts!J1017</f>
        <v/>
      </c>
      <c r="J1017" s="93">
        <f>Accounts!S1017</f>
        <v/>
      </c>
      <c r="K1017" s="89" t="n"/>
      <c r="L1017" s="98" t="n"/>
      <c r="M1017" s="12" t="b">
        <v>0</v>
      </c>
      <c r="N1017" s="99" t="b">
        <v>0</v>
      </c>
      <c r="O1017" s="12" t="b">
        <v>0</v>
      </c>
      <c r="P1017" s="12" t="b">
        <v>0</v>
      </c>
      <c r="Q1017" s="12" t="b">
        <v>0</v>
      </c>
      <c r="R1017" s="12" t="b">
        <v>0</v>
      </c>
      <c r="S1017" s="12" t="b">
        <v>0</v>
      </c>
      <c r="T1017" s="12" t="b">
        <v>0</v>
      </c>
      <c r="U1017" s="12" t="b">
        <v>0</v>
      </c>
      <c r="V1017" s="12" t="b">
        <v>0</v>
      </c>
    </row>
    <row r="1018" ht="69" customHeight="1" s="211">
      <c r="A1018" s="92" t="n"/>
      <c r="B1018" s="12" t="b">
        <v>0</v>
      </c>
      <c r="C1018" s="93">
        <f>Accounts!N1018</f>
        <v/>
      </c>
      <c r="D1018" s="94" t="n"/>
      <c r="E1018" s="93">
        <f>Accounts!F1018</f>
        <v/>
      </c>
      <c r="F1018" s="94">
        <f>Accounts!Q1018</f>
        <v/>
      </c>
      <c r="G1018" s="94">
        <f>Accounts!R1018</f>
        <v/>
      </c>
      <c r="H1018" s="94">
        <f>Accounts!I1018</f>
        <v/>
      </c>
      <c r="I1018" s="94">
        <f>Accounts!J1018</f>
        <v/>
      </c>
      <c r="J1018" s="93">
        <f>Accounts!S1018</f>
        <v/>
      </c>
      <c r="K1018" s="89" t="n"/>
      <c r="L1018" s="98" t="n"/>
      <c r="M1018" s="12" t="b">
        <v>0</v>
      </c>
      <c r="N1018" s="99" t="b">
        <v>0</v>
      </c>
      <c r="O1018" s="12" t="b">
        <v>0</v>
      </c>
      <c r="P1018" s="12" t="b">
        <v>0</v>
      </c>
      <c r="Q1018" s="12" t="b">
        <v>0</v>
      </c>
      <c r="R1018" s="12" t="b">
        <v>0</v>
      </c>
      <c r="S1018" s="12" t="b">
        <v>0</v>
      </c>
      <c r="T1018" s="12" t="b">
        <v>0</v>
      </c>
      <c r="U1018" s="12" t="b">
        <v>0</v>
      </c>
      <c r="V1018" s="12" t="b">
        <v>0</v>
      </c>
    </row>
    <row r="1019" ht="69" customHeight="1" s="211">
      <c r="A1019" s="92" t="n"/>
      <c r="B1019" s="12" t="b">
        <v>0</v>
      </c>
      <c r="C1019" s="93">
        <f>Accounts!N1019</f>
        <v/>
      </c>
      <c r="D1019" s="94" t="n"/>
      <c r="E1019" s="93">
        <f>Accounts!F1019</f>
        <v/>
      </c>
      <c r="F1019" s="94">
        <f>Accounts!Q1019</f>
        <v/>
      </c>
      <c r="G1019" s="94">
        <f>Accounts!R1019</f>
        <v/>
      </c>
      <c r="H1019" s="94">
        <f>Accounts!I1019</f>
        <v/>
      </c>
      <c r="I1019" s="94">
        <f>Accounts!J1019</f>
        <v/>
      </c>
      <c r="J1019" s="93">
        <f>Accounts!S1019</f>
        <v/>
      </c>
      <c r="K1019" s="89" t="n"/>
      <c r="L1019" s="98" t="n"/>
      <c r="M1019" s="12" t="b">
        <v>0</v>
      </c>
      <c r="N1019" s="99" t="b">
        <v>0</v>
      </c>
      <c r="O1019" s="12" t="b">
        <v>0</v>
      </c>
      <c r="P1019" s="12" t="b">
        <v>0</v>
      </c>
      <c r="Q1019" s="12" t="b">
        <v>0</v>
      </c>
      <c r="R1019" s="12" t="b">
        <v>0</v>
      </c>
      <c r="S1019" s="12" t="b">
        <v>0</v>
      </c>
      <c r="T1019" s="12" t="b">
        <v>0</v>
      </c>
      <c r="U1019" s="12" t="b">
        <v>0</v>
      </c>
      <c r="V1019" s="12" t="b">
        <v>0</v>
      </c>
    </row>
    <row r="1020" ht="69" customHeight="1" s="211">
      <c r="A1020" s="92" t="n"/>
      <c r="B1020" s="12" t="b">
        <v>0</v>
      </c>
      <c r="C1020" s="93">
        <f>Accounts!N1020</f>
        <v/>
      </c>
      <c r="D1020" s="94" t="n"/>
      <c r="E1020" s="93">
        <f>Accounts!F1020</f>
        <v/>
      </c>
      <c r="F1020" s="94">
        <f>Accounts!Q1020</f>
        <v/>
      </c>
      <c r="G1020" s="94">
        <f>Accounts!R1020</f>
        <v/>
      </c>
      <c r="H1020" s="94">
        <f>Accounts!I1020</f>
        <v/>
      </c>
      <c r="I1020" s="94">
        <f>Accounts!J1020</f>
        <v/>
      </c>
      <c r="J1020" s="93">
        <f>Accounts!S1020</f>
        <v/>
      </c>
      <c r="K1020" s="89" t="n"/>
      <c r="L1020" s="98" t="n"/>
      <c r="M1020" s="12" t="b">
        <v>0</v>
      </c>
      <c r="N1020" s="99" t="b">
        <v>0</v>
      </c>
      <c r="O1020" s="12" t="b">
        <v>0</v>
      </c>
      <c r="P1020" s="12" t="b">
        <v>0</v>
      </c>
      <c r="Q1020" s="12" t="b">
        <v>0</v>
      </c>
      <c r="R1020" s="12" t="b">
        <v>0</v>
      </c>
      <c r="S1020" s="12" t="b">
        <v>0</v>
      </c>
      <c r="T1020" s="12" t="b">
        <v>0</v>
      </c>
      <c r="U1020" s="12" t="b">
        <v>0</v>
      </c>
      <c r="V1020" s="12" t="b">
        <v>0</v>
      </c>
    </row>
    <row r="1021" ht="69" customHeight="1" s="211">
      <c r="A1021" s="92" t="n"/>
      <c r="B1021" s="12" t="b">
        <v>0</v>
      </c>
      <c r="C1021" s="93">
        <f>Accounts!N1021</f>
        <v/>
      </c>
      <c r="D1021" s="94" t="n"/>
      <c r="E1021" s="93">
        <f>Accounts!F1021</f>
        <v/>
      </c>
      <c r="F1021" s="94">
        <f>Accounts!Q1021</f>
        <v/>
      </c>
      <c r="G1021" s="94">
        <f>Accounts!R1021</f>
        <v/>
      </c>
      <c r="H1021" s="94">
        <f>Accounts!I1021</f>
        <v/>
      </c>
      <c r="I1021" s="94">
        <f>Accounts!J1021</f>
        <v/>
      </c>
      <c r="J1021" s="93">
        <f>Accounts!S1021</f>
        <v/>
      </c>
      <c r="K1021" s="89" t="n"/>
      <c r="L1021" s="98" t="n"/>
      <c r="M1021" s="12" t="b">
        <v>0</v>
      </c>
      <c r="N1021" s="99" t="b">
        <v>0</v>
      </c>
      <c r="O1021" s="12" t="b">
        <v>0</v>
      </c>
      <c r="P1021" s="12" t="b">
        <v>0</v>
      </c>
      <c r="Q1021" s="12" t="b">
        <v>0</v>
      </c>
      <c r="R1021" s="12" t="b">
        <v>0</v>
      </c>
      <c r="S1021" s="12" t="b">
        <v>0</v>
      </c>
      <c r="T1021" s="12" t="b">
        <v>0</v>
      </c>
      <c r="U1021" s="12" t="b">
        <v>0</v>
      </c>
      <c r="V1021" s="12" t="b">
        <v>0</v>
      </c>
    </row>
    <row r="1022" ht="69" customHeight="1" s="211">
      <c r="A1022" s="92" t="n"/>
      <c r="B1022" s="12" t="b">
        <v>0</v>
      </c>
      <c r="C1022" s="93">
        <f>Accounts!N1022</f>
        <v/>
      </c>
      <c r="D1022" s="94" t="n"/>
      <c r="E1022" s="93">
        <f>Accounts!F1022</f>
        <v/>
      </c>
      <c r="F1022" s="94">
        <f>Accounts!Q1022</f>
        <v/>
      </c>
      <c r="G1022" s="94">
        <f>Accounts!R1022</f>
        <v/>
      </c>
      <c r="H1022" s="94">
        <f>Accounts!I1022</f>
        <v/>
      </c>
      <c r="I1022" s="94">
        <f>Accounts!J1022</f>
        <v/>
      </c>
      <c r="J1022" s="93">
        <f>Accounts!S1022</f>
        <v/>
      </c>
      <c r="K1022" s="89" t="n"/>
      <c r="L1022" s="98" t="n"/>
      <c r="M1022" s="12" t="b">
        <v>0</v>
      </c>
      <c r="N1022" s="99" t="b">
        <v>0</v>
      </c>
      <c r="O1022" s="12" t="b">
        <v>0</v>
      </c>
      <c r="P1022" s="12" t="b">
        <v>0</v>
      </c>
      <c r="Q1022" s="12" t="b">
        <v>0</v>
      </c>
      <c r="R1022" s="12" t="b">
        <v>0</v>
      </c>
      <c r="S1022" s="12" t="b">
        <v>0</v>
      </c>
      <c r="T1022" s="12" t="b">
        <v>0</v>
      </c>
      <c r="U1022" s="12" t="b">
        <v>0</v>
      </c>
      <c r="V1022" s="12" t="b">
        <v>0</v>
      </c>
    </row>
    <row r="1023" ht="69" customHeight="1" s="211">
      <c r="A1023" s="92" t="n"/>
      <c r="B1023" s="12" t="b">
        <v>0</v>
      </c>
      <c r="C1023" s="93">
        <f>Accounts!N1023</f>
        <v/>
      </c>
      <c r="D1023" s="94" t="n"/>
      <c r="E1023" s="93">
        <f>Accounts!F1023</f>
        <v/>
      </c>
      <c r="F1023" s="94">
        <f>Accounts!Q1023</f>
        <v/>
      </c>
      <c r="G1023" s="94">
        <f>Accounts!R1023</f>
        <v/>
      </c>
      <c r="H1023" s="94">
        <f>Accounts!I1023</f>
        <v/>
      </c>
      <c r="I1023" s="94">
        <f>Accounts!J1023</f>
        <v/>
      </c>
      <c r="J1023" s="93">
        <f>Accounts!S1023</f>
        <v/>
      </c>
      <c r="K1023" s="89" t="n"/>
      <c r="L1023" s="98" t="n"/>
      <c r="M1023" s="12" t="b">
        <v>0</v>
      </c>
      <c r="N1023" s="99" t="b">
        <v>0</v>
      </c>
      <c r="O1023" s="12" t="b">
        <v>0</v>
      </c>
      <c r="P1023" s="12" t="b">
        <v>0</v>
      </c>
      <c r="Q1023" s="12" t="b">
        <v>0</v>
      </c>
      <c r="R1023" s="12" t="b">
        <v>0</v>
      </c>
      <c r="S1023" s="12" t="b">
        <v>0</v>
      </c>
      <c r="T1023" s="12" t="b">
        <v>0</v>
      </c>
      <c r="U1023" s="12" t="b">
        <v>0</v>
      </c>
      <c r="V1023" s="12" t="b">
        <v>0</v>
      </c>
    </row>
    <row r="1024" ht="69" customHeight="1" s="211">
      <c r="A1024" s="92" t="n"/>
      <c r="B1024" s="12" t="b">
        <v>0</v>
      </c>
      <c r="C1024" s="93">
        <f>Accounts!N1024</f>
        <v/>
      </c>
      <c r="D1024" s="94" t="n"/>
      <c r="E1024" s="93">
        <f>Accounts!F1024</f>
        <v/>
      </c>
      <c r="F1024" s="94">
        <f>Accounts!Q1024</f>
        <v/>
      </c>
      <c r="G1024" s="94">
        <f>Accounts!R1024</f>
        <v/>
      </c>
      <c r="H1024" s="94">
        <f>Accounts!I1024</f>
        <v/>
      </c>
      <c r="I1024" s="94">
        <f>Accounts!J1024</f>
        <v/>
      </c>
      <c r="J1024" s="93">
        <f>Accounts!S1024</f>
        <v/>
      </c>
      <c r="K1024" s="89" t="n"/>
      <c r="L1024" s="98" t="n"/>
      <c r="M1024" s="12" t="b">
        <v>0</v>
      </c>
      <c r="N1024" s="99" t="b">
        <v>0</v>
      </c>
      <c r="O1024" s="12" t="b">
        <v>0</v>
      </c>
      <c r="P1024" s="12" t="b">
        <v>0</v>
      </c>
      <c r="Q1024" s="12" t="b">
        <v>0</v>
      </c>
      <c r="R1024" s="12" t="b">
        <v>0</v>
      </c>
      <c r="S1024" s="12" t="b">
        <v>0</v>
      </c>
      <c r="T1024" s="12" t="b">
        <v>0</v>
      </c>
      <c r="U1024" s="12" t="b">
        <v>0</v>
      </c>
      <c r="V1024" s="12" t="b">
        <v>0</v>
      </c>
    </row>
    <row r="1025" ht="69" customHeight="1" s="211">
      <c r="A1025" s="92" t="n"/>
      <c r="B1025" s="12" t="b">
        <v>0</v>
      </c>
      <c r="C1025" s="93">
        <f>Accounts!N1025</f>
        <v/>
      </c>
      <c r="D1025" s="94" t="n"/>
      <c r="E1025" s="93">
        <f>Accounts!F1025</f>
        <v/>
      </c>
      <c r="F1025" s="94">
        <f>Accounts!Q1025</f>
        <v/>
      </c>
      <c r="G1025" s="94">
        <f>Accounts!R1025</f>
        <v/>
      </c>
      <c r="H1025" s="94">
        <f>Accounts!I1025</f>
        <v/>
      </c>
      <c r="I1025" s="94">
        <f>Accounts!J1025</f>
        <v/>
      </c>
      <c r="J1025" s="93">
        <f>Accounts!S1025</f>
        <v/>
      </c>
      <c r="K1025" s="89" t="n"/>
      <c r="L1025" s="98" t="n"/>
      <c r="M1025" s="12" t="b">
        <v>0</v>
      </c>
      <c r="N1025" s="99" t="b">
        <v>0</v>
      </c>
      <c r="O1025" s="12" t="b">
        <v>0</v>
      </c>
      <c r="P1025" s="12" t="b">
        <v>0</v>
      </c>
      <c r="Q1025" s="12" t="b">
        <v>0</v>
      </c>
      <c r="R1025" s="12" t="b">
        <v>0</v>
      </c>
      <c r="S1025" s="12" t="b">
        <v>0</v>
      </c>
      <c r="T1025" s="12" t="b">
        <v>0</v>
      </c>
      <c r="U1025" s="12" t="b">
        <v>0</v>
      </c>
      <c r="V1025" s="12" t="b">
        <v>0</v>
      </c>
    </row>
    <row r="1026" ht="69" customHeight="1" s="211">
      <c r="A1026" s="92" t="n"/>
      <c r="B1026" s="12" t="b">
        <v>0</v>
      </c>
      <c r="C1026" s="93">
        <f>Accounts!N1026</f>
        <v/>
      </c>
      <c r="D1026" s="94" t="n"/>
      <c r="E1026" s="93">
        <f>Accounts!F1026</f>
        <v/>
      </c>
      <c r="F1026" s="94">
        <f>Accounts!Q1026</f>
        <v/>
      </c>
      <c r="G1026" s="94">
        <f>Accounts!R1026</f>
        <v/>
      </c>
      <c r="H1026" s="94">
        <f>Accounts!I1026</f>
        <v/>
      </c>
      <c r="I1026" s="94">
        <f>Accounts!J1026</f>
        <v/>
      </c>
      <c r="J1026" s="93">
        <f>Accounts!S1026</f>
        <v/>
      </c>
      <c r="K1026" s="89" t="n"/>
      <c r="L1026" s="98" t="n"/>
      <c r="M1026" s="12" t="b">
        <v>0</v>
      </c>
      <c r="N1026" s="99" t="b">
        <v>0</v>
      </c>
      <c r="O1026" s="12" t="b">
        <v>0</v>
      </c>
      <c r="P1026" s="12" t="b">
        <v>0</v>
      </c>
      <c r="Q1026" s="12" t="b">
        <v>0</v>
      </c>
      <c r="R1026" s="12" t="b">
        <v>0</v>
      </c>
      <c r="S1026" s="12" t="b">
        <v>0</v>
      </c>
      <c r="T1026" s="12" t="b">
        <v>0</v>
      </c>
      <c r="U1026" s="12" t="b">
        <v>0</v>
      </c>
      <c r="V1026" s="12" t="b">
        <v>0</v>
      </c>
    </row>
    <row r="1027" ht="69" customHeight="1" s="211">
      <c r="A1027" s="92" t="n"/>
      <c r="B1027" s="12" t="b">
        <v>0</v>
      </c>
      <c r="C1027" s="93">
        <f>Accounts!N1027</f>
        <v/>
      </c>
      <c r="D1027" s="94" t="n"/>
      <c r="E1027" s="93">
        <f>Accounts!F1027</f>
        <v/>
      </c>
      <c r="F1027" s="94">
        <f>Accounts!Q1027</f>
        <v/>
      </c>
      <c r="G1027" s="94">
        <f>Accounts!R1027</f>
        <v/>
      </c>
      <c r="H1027" s="94">
        <f>Accounts!I1027</f>
        <v/>
      </c>
      <c r="I1027" s="94">
        <f>Accounts!J1027</f>
        <v/>
      </c>
      <c r="J1027" s="93">
        <f>Accounts!S1027</f>
        <v/>
      </c>
      <c r="K1027" s="89" t="n"/>
      <c r="L1027" s="98" t="n"/>
      <c r="M1027" s="12" t="b">
        <v>0</v>
      </c>
      <c r="N1027" s="99" t="b">
        <v>0</v>
      </c>
      <c r="O1027" s="12" t="b">
        <v>0</v>
      </c>
      <c r="P1027" s="12" t="b">
        <v>0</v>
      </c>
      <c r="Q1027" s="12" t="b">
        <v>0</v>
      </c>
      <c r="R1027" s="12" t="b">
        <v>0</v>
      </c>
      <c r="S1027" s="12" t="b">
        <v>0</v>
      </c>
      <c r="T1027" s="12" t="b">
        <v>0</v>
      </c>
      <c r="U1027" s="12" t="b">
        <v>0</v>
      </c>
      <c r="V1027" s="12" t="b">
        <v>0</v>
      </c>
    </row>
    <row r="1028" ht="69" customHeight="1" s="211">
      <c r="A1028" s="92" t="n"/>
      <c r="B1028" s="12" t="b">
        <v>0</v>
      </c>
      <c r="C1028" s="93">
        <f>Accounts!N1028</f>
        <v/>
      </c>
      <c r="D1028" s="94" t="n"/>
      <c r="E1028" s="93">
        <f>Accounts!F1028</f>
        <v/>
      </c>
      <c r="F1028" s="94">
        <f>Accounts!Q1028</f>
        <v/>
      </c>
      <c r="G1028" s="94">
        <f>Accounts!R1028</f>
        <v/>
      </c>
      <c r="H1028" s="94">
        <f>Accounts!I1028</f>
        <v/>
      </c>
      <c r="I1028" s="94">
        <f>Accounts!J1028</f>
        <v/>
      </c>
      <c r="J1028" s="93">
        <f>Accounts!S1028</f>
        <v/>
      </c>
      <c r="K1028" s="89" t="n"/>
      <c r="L1028" s="98" t="n"/>
      <c r="M1028" s="12" t="b">
        <v>0</v>
      </c>
      <c r="N1028" s="99" t="b">
        <v>0</v>
      </c>
      <c r="O1028" s="12" t="b">
        <v>0</v>
      </c>
      <c r="P1028" s="12" t="b">
        <v>0</v>
      </c>
      <c r="Q1028" s="12" t="b">
        <v>0</v>
      </c>
      <c r="R1028" s="12" t="b">
        <v>0</v>
      </c>
      <c r="S1028" s="12" t="b">
        <v>0</v>
      </c>
      <c r="T1028" s="12" t="b">
        <v>0</v>
      </c>
      <c r="U1028" s="12" t="b">
        <v>0</v>
      </c>
      <c r="V1028" s="12" t="b">
        <v>0</v>
      </c>
    </row>
    <row r="1029" ht="69" customHeight="1" s="211">
      <c r="A1029" s="92" t="n"/>
      <c r="B1029" s="12" t="b">
        <v>0</v>
      </c>
      <c r="C1029" s="93">
        <f>Accounts!N1029</f>
        <v/>
      </c>
      <c r="D1029" s="94" t="n"/>
      <c r="E1029" s="93">
        <f>Accounts!F1029</f>
        <v/>
      </c>
      <c r="F1029" s="94">
        <f>Accounts!Q1029</f>
        <v/>
      </c>
      <c r="G1029" s="94">
        <f>Accounts!R1029</f>
        <v/>
      </c>
      <c r="H1029" s="94">
        <f>Accounts!I1029</f>
        <v/>
      </c>
      <c r="I1029" s="94">
        <f>Accounts!J1029</f>
        <v/>
      </c>
      <c r="J1029" s="93">
        <f>Accounts!S1029</f>
        <v/>
      </c>
      <c r="K1029" s="89" t="n"/>
      <c r="L1029" s="98" t="n"/>
      <c r="M1029" s="12" t="b">
        <v>0</v>
      </c>
      <c r="N1029" s="99" t="b">
        <v>0</v>
      </c>
      <c r="O1029" s="12" t="b">
        <v>0</v>
      </c>
      <c r="P1029" s="12" t="b">
        <v>0</v>
      </c>
      <c r="Q1029" s="12" t="b">
        <v>0</v>
      </c>
      <c r="R1029" s="12" t="b">
        <v>0</v>
      </c>
      <c r="S1029" s="12" t="b">
        <v>0</v>
      </c>
      <c r="T1029" s="12" t="b">
        <v>0</v>
      </c>
      <c r="U1029" s="12" t="b">
        <v>0</v>
      </c>
      <c r="V1029" s="12" t="b">
        <v>0</v>
      </c>
    </row>
    <row r="1030" ht="69" customHeight="1" s="211">
      <c r="A1030" s="92" t="n"/>
      <c r="B1030" s="12" t="b">
        <v>0</v>
      </c>
      <c r="C1030" s="93">
        <f>Accounts!N1030</f>
        <v/>
      </c>
      <c r="D1030" s="94" t="n"/>
      <c r="E1030" s="93">
        <f>Accounts!F1030</f>
        <v/>
      </c>
      <c r="F1030" s="94">
        <f>Accounts!Q1030</f>
        <v/>
      </c>
      <c r="G1030" s="94">
        <f>Accounts!R1030</f>
        <v/>
      </c>
      <c r="H1030" s="94">
        <f>Accounts!I1030</f>
        <v/>
      </c>
      <c r="I1030" s="94">
        <f>Accounts!J1030</f>
        <v/>
      </c>
      <c r="J1030" s="93">
        <f>Accounts!S1030</f>
        <v/>
      </c>
      <c r="K1030" s="89" t="n"/>
      <c r="L1030" s="98" t="n"/>
      <c r="M1030" s="12" t="b">
        <v>0</v>
      </c>
      <c r="N1030" s="99" t="b">
        <v>0</v>
      </c>
      <c r="O1030" s="12" t="b">
        <v>0</v>
      </c>
      <c r="P1030" s="12" t="b">
        <v>0</v>
      </c>
      <c r="Q1030" s="12" t="b">
        <v>0</v>
      </c>
      <c r="R1030" s="12" t="b">
        <v>0</v>
      </c>
      <c r="S1030" s="12" t="b">
        <v>0</v>
      </c>
      <c r="T1030" s="12" t="b">
        <v>0</v>
      </c>
      <c r="U1030" s="12" t="b">
        <v>0</v>
      </c>
      <c r="V1030" s="12" t="b">
        <v>0</v>
      </c>
    </row>
    <row r="1031" ht="69" customHeight="1" s="211">
      <c r="A1031" s="92" t="n"/>
      <c r="B1031" s="12" t="b">
        <v>0</v>
      </c>
      <c r="C1031" s="93">
        <f>Accounts!N1031</f>
        <v/>
      </c>
      <c r="D1031" s="94" t="n"/>
      <c r="E1031" s="93">
        <f>Accounts!F1031</f>
        <v/>
      </c>
      <c r="F1031" s="94">
        <f>Accounts!Q1031</f>
        <v/>
      </c>
      <c r="G1031" s="94">
        <f>Accounts!R1031</f>
        <v/>
      </c>
      <c r="H1031" s="94">
        <f>Accounts!I1031</f>
        <v/>
      </c>
      <c r="I1031" s="94">
        <f>Accounts!J1031</f>
        <v/>
      </c>
      <c r="J1031" s="93">
        <f>Accounts!S1031</f>
        <v/>
      </c>
      <c r="K1031" s="89" t="n"/>
      <c r="L1031" s="98" t="n"/>
      <c r="M1031" s="12" t="b">
        <v>0</v>
      </c>
      <c r="N1031" s="99" t="b">
        <v>0</v>
      </c>
      <c r="O1031" s="12" t="b">
        <v>0</v>
      </c>
      <c r="P1031" s="12" t="b">
        <v>0</v>
      </c>
      <c r="Q1031" s="12" t="b">
        <v>0</v>
      </c>
      <c r="R1031" s="12" t="b">
        <v>0</v>
      </c>
      <c r="S1031" s="12" t="b">
        <v>0</v>
      </c>
      <c r="T1031" s="12" t="b">
        <v>0</v>
      </c>
      <c r="U1031" s="12" t="b">
        <v>0</v>
      </c>
      <c r="V1031" s="12" t="b">
        <v>0</v>
      </c>
    </row>
    <row r="1032" ht="69" customHeight="1" s="211">
      <c r="A1032" s="92" t="n"/>
      <c r="B1032" s="12" t="b">
        <v>0</v>
      </c>
      <c r="C1032" s="93">
        <f>Accounts!N1032</f>
        <v/>
      </c>
      <c r="D1032" s="94" t="n"/>
      <c r="E1032" s="93">
        <f>Accounts!F1032</f>
        <v/>
      </c>
      <c r="F1032" s="94">
        <f>Accounts!Q1032</f>
        <v/>
      </c>
      <c r="G1032" s="94">
        <f>Accounts!R1032</f>
        <v/>
      </c>
      <c r="H1032" s="94">
        <f>Accounts!I1032</f>
        <v/>
      </c>
      <c r="I1032" s="94">
        <f>Accounts!J1032</f>
        <v/>
      </c>
      <c r="J1032" s="93">
        <f>Accounts!S1032</f>
        <v/>
      </c>
      <c r="K1032" s="89" t="n"/>
      <c r="L1032" s="98" t="n"/>
      <c r="M1032" s="12" t="b">
        <v>0</v>
      </c>
      <c r="N1032" s="99" t="b">
        <v>0</v>
      </c>
      <c r="O1032" s="12" t="b">
        <v>0</v>
      </c>
      <c r="P1032" s="12" t="b">
        <v>0</v>
      </c>
      <c r="Q1032" s="12" t="b">
        <v>0</v>
      </c>
      <c r="R1032" s="12" t="b">
        <v>0</v>
      </c>
      <c r="S1032" s="12" t="b">
        <v>0</v>
      </c>
      <c r="T1032" s="12" t="b">
        <v>0</v>
      </c>
      <c r="U1032" s="12" t="b">
        <v>0</v>
      </c>
      <c r="V1032" s="12" t="b">
        <v>0</v>
      </c>
    </row>
    <row r="1033" ht="69" customHeight="1" s="211">
      <c r="A1033" s="92" t="n"/>
      <c r="B1033" s="12" t="b">
        <v>0</v>
      </c>
      <c r="C1033" s="93">
        <f>Accounts!N1033</f>
        <v/>
      </c>
      <c r="D1033" s="94" t="n"/>
      <c r="E1033" s="93">
        <f>Accounts!F1033</f>
        <v/>
      </c>
      <c r="F1033" s="94">
        <f>Accounts!Q1033</f>
        <v/>
      </c>
      <c r="G1033" s="94">
        <f>Accounts!R1033</f>
        <v/>
      </c>
      <c r="H1033" s="94">
        <f>Accounts!I1033</f>
        <v/>
      </c>
      <c r="I1033" s="94">
        <f>Accounts!J1033</f>
        <v/>
      </c>
      <c r="J1033" s="93">
        <f>Accounts!S1033</f>
        <v/>
      </c>
      <c r="K1033" s="89" t="n"/>
      <c r="L1033" s="98" t="n"/>
      <c r="M1033" s="12" t="b">
        <v>0</v>
      </c>
      <c r="N1033" s="99" t="b">
        <v>0</v>
      </c>
      <c r="O1033" s="12" t="b">
        <v>0</v>
      </c>
      <c r="P1033" s="12" t="b">
        <v>0</v>
      </c>
      <c r="Q1033" s="12" t="b">
        <v>0</v>
      </c>
      <c r="R1033" s="12" t="b">
        <v>0</v>
      </c>
      <c r="S1033" s="12" t="b">
        <v>0</v>
      </c>
      <c r="T1033" s="12" t="b">
        <v>0</v>
      </c>
      <c r="U1033" s="12" t="b">
        <v>0</v>
      </c>
      <c r="V1033" s="12" t="b">
        <v>0</v>
      </c>
    </row>
    <row r="1034" ht="69" customHeight="1" s="211">
      <c r="A1034" s="92" t="n"/>
      <c r="B1034" s="12" t="b">
        <v>0</v>
      </c>
      <c r="C1034" s="93">
        <f>Accounts!N1034</f>
        <v/>
      </c>
      <c r="D1034" s="94" t="n"/>
      <c r="E1034" s="93">
        <f>Accounts!F1034</f>
        <v/>
      </c>
      <c r="F1034" s="94">
        <f>Accounts!Q1034</f>
        <v/>
      </c>
      <c r="G1034" s="94">
        <f>Accounts!R1034</f>
        <v/>
      </c>
      <c r="H1034" s="94">
        <f>Accounts!I1034</f>
        <v/>
      </c>
      <c r="I1034" s="94">
        <f>Accounts!J1034</f>
        <v/>
      </c>
      <c r="J1034" s="93">
        <f>Accounts!S1034</f>
        <v/>
      </c>
      <c r="K1034" s="89" t="n"/>
      <c r="L1034" s="98" t="n"/>
      <c r="M1034" s="12" t="b">
        <v>0</v>
      </c>
      <c r="N1034" s="99" t="b">
        <v>0</v>
      </c>
      <c r="O1034" s="12" t="b">
        <v>0</v>
      </c>
      <c r="P1034" s="12" t="b">
        <v>0</v>
      </c>
      <c r="Q1034" s="12" t="b">
        <v>0</v>
      </c>
      <c r="R1034" s="12" t="b">
        <v>0</v>
      </c>
      <c r="S1034" s="12" t="b">
        <v>0</v>
      </c>
      <c r="T1034" s="12" t="b">
        <v>0</v>
      </c>
      <c r="U1034" s="12" t="b">
        <v>0</v>
      </c>
      <c r="V1034" s="12" t="b">
        <v>0</v>
      </c>
    </row>
    <row r="1035" ht="69" customHeight="1" s="211">
      <c r="A1035" s="92" t="n"/>
      <c r="B1035" s="12" t="b">
        <v>0</v>
      </c>
      <c r="C1035" s="93">
        <f>Accounts!N1035</f>
        <v/>
      </c>
      <c r="D1035" s="94" t="n"/>
      <c r="E1035" s="93">
        <f>Accounts!F1035</f>
        <v/>
      </c>
      <c r="F1035" s="94">
        <f>Accounts!Q1035</f>
        <v/>
      </c>
      <c r="G1035" s="94">
        <f>Accounts!R1035</f>
        <v/>
      </c>
      <c r="H1035" s="94">
        <f>Accounts!I1035</f>
        <v/>
      </c>
      <c r="I1035" s="94">
        <f>Accounts!J1035</f>
        <v/>
      </c>
      <c r="J1035" s="93">
        <f>Accounts!S1035</f>
        <v/>
      </c>
      <c r="K1035" s="89" t="n"/>
      <c r="L1035" s="98" t="n"/>
      <c r="M1035" s="12" t="b">
        <v>0</v>
      </c>
      <c r="N1035" s="99" t="b">
        <v>0</v>
      </c>
      <c r="O1035" s="12" t="b">
        <v>0</v>
      </c>
      <c r="P1035" s="12" t="b">
        <v>0</v>
      </c>
      <c r="Q1035" s="12" t="b">
        <v>0</v>
      </c>
      <c r="R1035" s="12" t="b">
        <v>0</v>
      </c>
      <c r="S1035" s="12" t="b">
        <v>0</v>
      </c>
      <c r="T1035" s="12" t="b">
        <v>0</v>
      </c>
      <c r="U1035" s="12" t="b">
        <v>0</v>
      </c>
      <c r="V1035" s="12" t="b">
        <v>0</v>
      </c>
    </row>
    <row r="1036" ht="69" customHeight="1" s="211">
      <c r="A1036" s="92" t="n"/>
      <c r="B1036" s="12" t="b">
        <v>0</v>
      </c>
      <c r="C1036" s="93">
        <f>Accounts!N1036</f>
        <v/>
      </c>
      <c r="D1036" s="94" t="n"/>
      <c r="E1036" s="93">
        <f>Accounts!F1036</f>
        <v/>
      </c>
      <c r="F1036" s="94">
        <f>Accounts!Q1036</f>
        <v/>
      </c>
      <c r="G1036" s="94">
        <f>Accounts!R1036</f>
        <v/>
      </c>
      <c r="H1036" s="94">
        <f>Accounts!I1036</f>
        <v/>
      </c>
      <c r="I1036" s="94">
        <f>Accounts!J1036</f>
        <v/>
      </c>
      <c r="J1036" s="93">
        <f>Accounts!S1036</f>
        <v/>
      </c>
      <c r="K1036" s="89" t="n"/>
      <c r="L1036" s="98" t="n"/>
      <c r="M1036" s="12" t="b">
        <v>0</v>
      </c>
      <c r="N1036" s="99" t="b">
        <v>0</v>
      </c>
      <c r="O1036" s="12" t="b">
        <v>0</v>
      </c>
      <c r="P1036" s="12" t="b">
        <v>0</v>
      </c>
      <c r="Q1036" s="12" t="b">
        <v>0</v>
      </c>
      <c r="R1036" s="12" t="b">
        <v>0</v>
      </c>
      <c r="S1036" s="12" t="b">
        <v>0</v>
      </c>
      <c r="T1036" s="12" t="b">
        <v>0</v>
      </c>
      <c r="U1036" s="12" t="b">
        <v>0</v>
      </c>
      <c r="V1036" s="12" t="b">
        <v>0</v>
      </c>
    </row>
    <row r="1037" ht="69" customHeight="1" s="211">
      <c r="A1037" s="92" t="n"/>
      <c r="B1037" s="12" t="b">
        <v>0</v>
      </c>
      <c r="C1037" s="93">
        <f>Accounts!N1037</f>
        <v/>
      </c>
      <c r="D1037" s="94" t="n"/>
      <c r="E1037" s="93">
        <f>Accounts!F1037</f>
        <v/>
      </c>
      <c r="F1037" s="94">
        <f>Accounts!Q1037</f>
        <v/>
      </c>
      <c r="G1037" s="94">
        <f>Accounts!R1037</f>
        <v/>
      </c>
      <c r="H1037" s="94">
        <f>Accounts!I1037</f>
        <v/>
      </c>
      <c r="I1037" s="94">
        <f>Accounts!J1037</f>
        <v/>
      </c>
      <c r="J1037" s="93">
        <f>Accounts!S1037</f>
        <v/>
      </c>
      <c r="K1037" s="89" t="n"/>
      <c r="L1037" s="98" t="n"/>
      <c r="M1037" s="12" t="b">
        <v>0</v>
      </c>
      <c r="N1037" s="99" t="b">
        <v>0</v>
      </c>
      <c r="O1037" s="12" t="b">
        <v>0</v>
      </c>
      <c r="P1037" s="12" t="b">
        <v>0</v>
      </c>
      <c r="Q1037" s="12" t="b">
        <v>0</v>
      </c>
      <c r="R1037" s="12" t="b">
        <v>0</v>
      </c>
      <c r="S1037" s="12" t="b">
        <v>0</v>
      </c>
      <c r="T1037" s="12" t="b">
        <v>0</v>
      </c>
      <c r="U1037" s="12" t="b">
        <v>0</v>
      </c>
      <c r="V1037" s="12" t="b">
        <v>0</v>
      </c>
    </row>
    <row r="1038" ht="69" customHeight="1" s="211">
      <c r="A1038" s="92" t="n"/>
      <c r="B1038" s="12" t="b">
        <v>0</v>
      </c>
      <c r="C1038" s="93">
        <f>Accounts!N1038</f>
        <v/>
      </c>
      <c r="D1038" s="94" t="n"/>
      <c r="E1038" s="93">
        <f>Accounts!F1038</f>
        <v/>
      </c>
      <c r="F1038" s="94">
        <f>Accounts!Q1038</f>
        <v/>
      </c>
      <c r="G1038" s="94">
        <f>Accounts!R1038</f>
        <v/>
      </c>
      <c r="H1038" s="94">
        <f>Accounts!I1038</f>
        <v/>
      </c>
      <c r="I1038" s="94">
        <f>Accounts!J1038</f>
        <v/>
      </c>
      <c r="J1038" s="93">
        <f>Accounts!S1038</f>
        <v/>
      </c>
      <c r="K1038" s="89" t="n"/>
      <c r="L1038" s="98" t="n"/>
      <c r="M1038" s="12" t="b">
        <v>0</v>
      </c>
      <c r="N1038" s="99" t="b">
        <v>0</v>
      </c>
      <c r="O1038" s="12" t="b">
        <v>0</v>
      </c>
      <c r="P1038" s="12" t="b">
        <v>0</v>
      </c>
      <c r="Q1038" s="12" t="b">
        <v>0</v>
      </c>
      <c r="R1038" s="12" t="b">
        <v>0</v>
      </c>
      <c r="S1038" s="12" t="b">
        <v>0</v>
      </c>
      <c r="T1038" s="12" t="b">
        <v>0</v>
      </c>
      <c r="U1038" s="12" t="b">
        <v>0</v>
      </c>
      <c r="V1038" s="12" t="b">
        <v>0</v>
      </c>
    </row>
    <row r="1039" ht="69" customHeight="1" s="211">
      <c r="A1039" s="92" t="n"/>
      <c r="B1039" s="12" t="b">
        <v>0</v>
      </c>
      <c r="C1039" s="93">
        <f>Accounts!N1039</f>
        <v/>
      </c>
      <c r="D1039" s="94" t="n"/>
      <c r="E1039" s="93">
        <f>Accounts!F1039</f>
        <v/>
      </c>
      <c r="F1039" s="94">
        <f>Accounts!Q1039</f>
        <v/>
      </c>
      <c r="G1039" s="94">
        <f>Accounts!R1039</f>
        <v/>
      </c>
      <c r="H1039" s="94">
        <f>Accounts!I1039</f>
        <v/>
      </c>
      <c r="I1039" s="94">
        <f>Accounts!J1039</f>
        <v/>
      </c>
      <c r="J1039" s="93">
        <f>Accounts!S1039</f>
        <v/>
      </c>
      <c r="K1039" s="89" t="n"/>
      <c r="L1039" s="98" t="n"/>
      <c r="M1039" s="12" t="b">
        <v>0</v>
      </c>
      <c r="N1039" s="99" t="b">
        <v>0</v>
      </c>
      <c r="O1039" s="12" t="b">
        <v>0</v>
      </c>
      <c r="P1039" s="12" t="b">
        <v>0</v>
      </c>
      <c r="Q1039" s="12" t="b">
        <v>0</v>
      </c>
      <c r="R1039" s="12" t="b">
        <v>0</v>
      </c>
      <c r="S1039" s="12" t="b">
        <v>0</v>
      </c>
      <c r="T1039" s="12" t="b">
        <v>0</v>
      </c>
      <c r="U1039" s="12" t="b">
        <v>0</v>
      </c>
      <c r="V1039" s="12" t="b">
        <v>0</v>
      </c>
    </row>
    <row r="1040" ht="69" customHeight="1" s="211">
      <c r="A1040" s="92" t="n"/>
      <c r="B1040" s="12" t="b">
        <v>0</v>
      </c>
      <c r="C1040" s="93">
        <f>Accounts!N1040</f>
        <v/>
      </c>
      <c r="D1040" s="94" t="n"/>
      <c r="E1040" s="93">
        <f>Accounts!F1040</f>
        <v/>
      </c>
      <c r="F1040" s="94">
        <f>Accounts!Q1040</f>
        <v/>
      </c>
      <c r="G1040" s="94">
        <f>Accounts!R1040</f>
        <v/>
      </c>
      <c r="H1040" s="94">
        <f>Accounts!I1040</f>
        <v/>
      </c>
      <c r="I1040" s="94">
        <f>Accounts!J1040</f>
        <v/>
      </c>
      <c r="J1040" s="93">
        <f>Accounts!S1040</f>
        <v/>
      </c>
      <c r="K1040" s="89" t="n"/>
      <c r="L1040" s="98" t="n"/>
      <c r="M1040" s="12" t="b">
        <v>0</v>
      </c>
      <c r="N1040" s="99" t="b">
        <v>0</v>
      </c>
      <c r="O1040" s="12" t="b">
        <v>0</v>
      </c>
      <c r="P1040" s="12" t="b">
        <v>0</v>
      </c>
      <c r="Q1040" s="12" t="b">
        <v>0</v>
      </c>
      <c r="R1040" s="12" t="b">
        <v>0</v>
      </c>
      <c r="S1040" s="12" t="b">
        <v>0</v>
      </c>
      <c r="T1040" s="12" t="b">
        <v>0</v>
      </c>
      <c r="U1040" s="12" t="b">
        <v>0</v>
      </c>
      <c r="V1040" s="12" t="b">
        <v>0</v>
      </c>
    </row>
    <row r="1041" ht="69" customHeight="1" s="211">
      <c r="A1041" s="92" t="n"/>
      <c r="B1041" s="12" t="b">
        <v>0</v>
      </c>
      <c r="C1041" s="93">
        <f>Accounts!N1041</f>
        <v/>
      </c>
      <c r="D1041" s="94" t="n"/>
      <c r="E1041" s="93">
        <f>Accounts!F1041</f>
        <v/>
      </c>
      <c r="F1041" s="94">
        <f>Accounts!Q1041</f>
        <v/>
      </c>
      <c r="G1041" s="94">
        <f>Accounts!R1041</f>
        <v/>
      </c>
      <c r="H1041" s="94">
        <f>Accounts!I1041</f>
        <v/>
      </c>
      <c r="I1041" s="94">
        <f>Accounts!J1041</f>
        <v/>
      </c>
      <c r="J1041" s="93">
        <f>Accounts!S1041</f>
        <v/>
      </c>
      <c r="K1041" s="89" t="n"/>
      <c r="L1041" s="98" t="n"/>
      <c r="M1041" s="12" t="b">
        <v>0</v>
      </c>
      <c r="N1041" s="99" t="b">
        <v>0</v>
      </c>
      <c r="O1041" s="12" t="b">
        <v>0</v>
      </c>
      <c r="P1041" s="12" t="b">
        <v>0</v>
      </c>
      <c r="Q1041" s="12" t="b">
        <v>0</v>
      </c>
      <c r="R1041" s="12" t="b">
        <v>0</v>
      </c>
      <c r="S1041" s="12" t="b">
        <v>0</v>
      </c>
      <c r="T1041" s="12" t="b">
        <v>0</v>
      </c>
      <c r="U1041" s="12" t="b">
        <v>0</v>
      </c>
      <c r="V1041" s="12" t="b">
        <v>0</v>
      </c>
    </row>
    <row r="1042" ht="69" customHeight="1" s="211">
      <c r="A1042" s="92" t="n"/>
      <c r="B1042" s="12" t="b">
        <v>0</v>
      </c>
      <c r="C1042" s="93">
        <f>Accounts!N1042</f>
        <v/>
      </c>
      <c r="D1042" s="94" t="n"/>
      <c r="E1042" s="93">
        <f>Accounts!F1042</f>
        <v/>
      </c>
      <c r="F1042" s="94">
        <f>Accounts!Q1042</f>
        <v/>
      </c>
      <c r="G1042" s="94">
        <f>Accounts!R1042</f>
        <v/>
      </c>
      <c r="H1042" s="94">
        <f>Accounts!I1042</f>
        <v/>
      </c>
      <c r="I1042" s="94">
        <f>Accounts!J1042</f>
        <v/>
      </c>
      <c r="J1042" s="93">
        <f>Accounts!S1042</f>
        <v/>
      </c>
      <c r="K1042" s="89" t="n"/>
      <c r="L1042" s="98" t="n"/>
      <c r="M1042" s="12" t="b">
        <v>0</v>
      </c>
      <c r="N1042" s="99" t="b">
        <v>0</v>
      </c>
      <c r="O1042" s="12" t="b">
        <v>0</v>
      </c>
      <c r="P1042" s="12" t="b">
        <v>0</v>
      </c>
      <c r="Q1042" s="12" t="b">
        <v>0</v>
      </c>
      <c r="R1042" s="12" t="b">
        <v>0</v>
      </c>
      <c r="S1042" s="12" t="b">
        <v>0</v>
      </c>
      <c r="T1042" s="12" t="b">
        <v>0</v>
      </c>
      <c r="U1042" s="12" t="b">
        <v>0</v>
      </c>
      <c r="V1042" s="12" t="b">
        <v>0</v>
      </c>
    </row>
    <row r="1043" ht="69" customHeight="1" s="211">
      <c r="A1043" s="92" t="n"/>
      <c r="B1043" s="12" t="b">
        <v>0</v>
      </c>
      <c r="C1043" s="93">
        <f>Accounts!N1043</f>
        <v/>
      </c>
      <c r="D1043" s="94" t="n"/>
      <c r="E1043" s="93">
        <f>Accounts!F1043</f>
        <v/>
      </c>
      <c r="F1043" s="94">
        <f>Accounts!Q1043</f>
        <v/>
      </c>
      <c r="G1043" s="94">
        <f>Accounts!R1043</f>
        <v/>
      </c>
      <c r="H1043" s="94">
        <f>Accounts!I1043</f>
        <v/>
      </c>
      <c r="I1043" s="94">
        <f>Accounts!J1043</f>
        <v/>
      </c>
      <c r="J1043" s="93">
        <f>Accounts!S1043</f>
        <v/>
      </c>
      <c r="K1043" s="89" t="n"/>
      <c r="L1043" s="98" t="n"/>
      <c r="M1043" s="12" t="b">
        <v>0</v>
      </c>
      <c r="N1043" s="99" t="b">
        <v>0</v>
      </c>
      <c r="O1043" s="12" t="b">
        <v>0</v>
      </c>
      <c r="P1043" s="12" t="b">
        <v>0</v>
      </c>
      <c r="Q1043" s="12" t="b">
        <v>0</v>
      </c>
      <c r="R1043" s="12" t="b">
        <v>0</v>
      </c>
      <c r="S1043" s="12" t="b">
        <v>0</v>
      </c>
      <c r="T1043" s="12" t="b">
        <v>0</v>
      </c>
      <c r="U1043" s="12" t="b">
        <v>0</v>
      </c>
      <c r="V1043" s="12" t="b">
        <v>0</v>
      </c>
    </row>
    <row r="1044" ht="69" customHeight="1" s="211">
      <c r="A1044" s="92" t="n"/>
      <c r="B1044" s="12" t="b">
        <v>0</v>
      </c>
      <c r="C1044" s="93">
        <f>Accounts!N1044</f>
        <v/>
      </c>
      <c r="D1044" s="94" t="n"/>
      <c r="E1044" s="93">
        <f>Accounts!F1044</f>
        <v/>
      </c>
      <c r="F1044" s="94">
        <f>Accounts!Q1044</f>
        <v/>
      </c>
      <c r="G1044" s="94">
        <f>Accounts!R1044</f>
        <v/>
      </c>
      <c r="H1044" s="94">
        <f>Accounts!I1044</f>
        <v/>
      </c>
      <c r="I1044" s="94">
        <f>Accounts!J1044</f>
        <v/>
      </c>
      <c r="J1044" s="93">
        <f>Accounts!S1044</f>
        <v/>
      </c>
      <c r="K1044" s="89" t="n"/>
      <c r="L1044" s="98" t="n"/>
      <c r="M1044" s="12" t="b">
        <v>0</v>
      </c>
      <c r="N1044" s="99" t="b">
        <v>0</v>
      </c>
      <c r="O1044" s="12" t="b">
        <v>0</v>
      </c>
      <c r="P1044" s="12" t="b">
        <v>0</v>
      </c>
      <c r="Q1044" s="12" t="b">
        <v>0</v>
      </c>
      <c r="R1044" s="12" t="b">
        <v>0</v>
      </c>
      <c r="S1044" s="12" t="b">
        <v>0</v>
      </c>
      <c r="T1044" s="12" t="b">
        <v>0</v>
      </c>
      <c r="U1044" s="12" t="b">
        <v>0</v>
      </c>
      <c r="V1044" s="12" t="b">
        <v>0</v>
      </c>
    </row>
    <row r="1045" ht="69" customHeight="1" s="211">
      <c r="A1045" s="92" t="n"/>
      <c r="B1045" s="12" t="b">
        <v>0</v>
      </c>
      <c r="C1045" s="93">
        <f>Accounts!N1045</f>
        <v/>
      </c>
      <c r="D1045" s="94" t="n"/>
      <c r="E1045" s="93">
        <f>Accounts!F1045</f>
        <v/>
      </c>
      <c r="F1045" s="94">
        <f>Accounts!Q1045</f>
        <v/>
      </c>
      <c r="G1045" s="94">
        <f>Accounts!R1045</f>
        <v/>
      </c>
      <c r="H1045" s="94">
        <f>Accounts!I1045</f>
        <v/>
      </c>
      <c r="I1045" s="94">
        <f>Accounts!J1045</f>
        <v/>
      </c>
      <c r="J1045" s="93">
        <f>Accounts!S1045</f>
        <v/>
      </c>
      <c r="K1045" s="89" t="n"/>
      <c r="L1045" s="98" t="n"/>
      <c r="M1045" s="12" t="b">
        <v>0</v>
      </c>
      <c r="N1045" s="99" t="b">
        <v>0</v>
      </c>
      <c r="O1045" s="12" t="b">
        <v>0</v>
      </c>
      <c r="P1045" s="12" t="b">
        <v>0</v>
      </c>
      <c r="Q1045" s="12" t="b">
        <v>0</v>
      </c>
      <c r="R1045" s="12" t="b">
        <v>0</v>
      </c>
      <c r="S1045" s="12" t="b">
        <v>0</v>
      </c>
      <c r="T1045" s="12" t="b">
        <v>0</v>
      </c>
      <c r="U1045" s="12" t="b">
        <v>0</v>
      </c>
      <c r="V1045" s="12" t="b">
        <v>0</v>
      </c>
    </row>
    <row r="1046" ht="69" customHeight="1" s="211">
      <c r="A1046" s="92" t="n"/>
      <c r="B1046" s="12" t="b">
        <v>0</v>
      </c>
      <c r="C1046" s="93">
        <f>Accounts!N1046</f>
        <v/>
      </c>
      <c r="D1046" s="94" t="n"/>
      <c r="E1046" s="93">
        <f>Accounts!F1046</f>
        <v/>
      </c>
      <c r="F1046" s="94">
        <f>Accounts!Q1046</f>
        <v/>
      </c>
      <c r="G1046" s="94">
        <f>Accounts!R1046</f>
        <v/>
      </c>
      <c r="H1046" s="94">
        <f>Accounts!I1046</f>
        <v/>
      </c>
      <c r="I1046" s="94">
        <f>Accounts!J1046</f>
        <v/>
      </c>
      <c r="J1046" s="93">
        <f>Accounts!S1046</f>
        <v/>
      </c>
      <c r="K1046" s="89" t="n"/>
      <c r="L1046" s="98" t="n"/>
      <c r="M1046" s="12" t="b">
        <v>0</v>
      </c>
      <c r="N1046" s="99" t="b">
        <v>0</v>
      </c>
      <c r="O1046" s="12" t="b">
        <v>0</v>
      </c>
      <c r="P1046" s="12" t="b">
        <v>0</v>
      </c>
      <c r="Q1046" s="12" t="b">
        <v>0</v>
      </c>
      <c r="R1046" s="12" t="b">
        <v>0</v>
      </c>
      <c r="S1046" s="12" t="b">
        <v>0</v>
      </c>
      <c r="T1046" s="12" t="b">
        <v>0</v>
      </c>
      <c r="U1046" s="12" t="b">
        <v>0</v>
      </c>
      <c r="V1046" s="12" t="b">
        <v>0</v>
      </c>
    </row>
    <row r="1047" ht="69" customHeight="1" s="211">
      <c r="A1047" s="92" t="n"/>
      <c r="B1047" s="12" t="b">
        <v>0</v>
      </c>
      <c r="C1047" s="93">
        <f>Accounts!N1047</f>
        <v/>
      </c>
      <c r="D1047" s="94" t="n"/>
      <c r="E1047" s="93">
        <f>Accounts!F1047</f>
        <v/>
      </c>
      <c r="F1047" s="94">
        <f>Accounts!Q1047</f>
        <v/>
      </c>
      <c r="G1047" s="94">
        <f>Accounts!R1047</f>
        <v/>
      </c>
      <c r="H1047" s="94">
        <f>Accounts!I1047</f>
        <v/>
      </c>
      <c r="I1047" s="94">
        <f>Accounts!J1047</f>
        <v/>
      </c>
      <c r="J1047" s="93">
        <f>Accounts!S1047</f>
        <v/>
      </c>
      <c r="K1047" s="89" t="n"/>
      <c r="L1047" s="98" t="n"/>
      <c r="M1047" s="12" t="b">
        <v>0</v>
      </c>
      <c r="N1047" s="99" t="b">
        <v>0</v>
      </c>
      <c r="O1047" s="12" t="b">
        <v>0</v>
      </c>
      <c r="P1047" s="12" t="b">
        <v>0</v>
      </c>
      <c r="Q1047" s="12" t="b">
        <v>0</v>
      </c>
      <c r="R1047" s="12" t="b">
        <v>0</v>
      </c>
      <c r="S1047" s="12" t="b">
        <v>0</v>
      </c>
      <c r="T1047" s="12" t="b">
        <v>0</v>
      </c>
      <c r="U1047" s="12" t="b">
        <v>0</v>
      </c>
      <c r="V1047" s="12" t="b">
        <v>0</v>
      </c>
    </row>
    <row r="1048" ht="69" customHeight="1" s="211">
      <c r="A1048" s="92" t="n"/>
      <c r="B1048" s="12" t="b">
        <v>0</v>
      </c>
      <c r="C1048" s="93">
        <f>Accounts!N1048</f>
        <v/>
      </c>
      <c r="D1048" s="94" t="n"/>
      <c r="E1048" s="93">
        <f>Accounts!F1048</f>
        <v/>
      </c>
      <c r="F1048" s="94">
        <f>Accounts!Q1048</f>
        <v/>
      </c>
      <c r="G1048" s="94">
        <f>Accounts!R1048</f>
        <v/>
      </c>
      <c r="H1048" s="94">
        <f>Accounts!I1048</f>
        <v/>
      </c>
      <c r="I1048" s="94">
        <f>Accounts!J1048</f>
        <v/>
      </c>
      <c r="J1048" s="93">
        <f>Accounts!S1048</f>
        <v/>
      </c>
      <c r="K1048" s="89" t="n"/>
      <c r="L1048" s="98" t="n"/>
      <c r="M1048" s="12" t="b">
        <v>0</v>
      </c>
      <c r="N1048" s="99" t="b">
        <v>0</v>
      </c>
      <c r="O1048" s="12" t="b">
        <v>0</v>
      </c>
      <c r="P1048" s="12" t="b">
        <v>0</v>
      </c>
      <c r="Q1048" s="12" t="b">
        <v>0</v>
      </c>
      <c r="R1048" s="12" t="b">
        <v>0</v>
      </c>
      <c r="S1048" s="12" t="b">
        <v>0</v>
      </c>
      <c r="T1048" s="12" t="b">
        <v>0</v>
      </c>
      <c r="U1048" s="12" t="b">
        <v>0</v>
      </c>
      <c r="V1048" s="12" t="b">
        <v>0</v>
      </c>
    </row>
    <row r="1049" ht="69" customHeight="1" s="211">
      <c r="A1049" s="92" t="n"/>
      <c r="B1049" s="12" t="b">
        <v>0</v>
      </c>
      <c r="C1049" s="93">
        <f>Accounts!N1049</f>
        <v/>
      </c>
      <c r="D1049" s="94" t="n"/>
      <c r="E1049" s="93">
        <f>Accounts!F1049</f>
        <v/>
      </c>
      <c r="F1049" s="94">
        <f>Accounts!Q1049</f>
        <v/>
      </c>
      <c r="G1049" s="94">
        <f>Accounts!R1049</f>
        <v/>
      </c>
      <c r="H1049" s="94">
        <f>Accounts!I1049</f>
        <v/>
      </c>
      <c r="I1049" s="94">
        <f>Accounts!J1049</f>
        <v/>
      </c>
      <c r="J1049" s="93">
        <f>Accounts!S1049</f>
        <v/>
      </c>
      <c r="K1049" s="89" t="n"/>
      <c r="L1049" s="98" t="n"/>
      <c r="M1049" s="12" t="b">
        <v>0</v>
      </c>
      <c r="N1049" s="99" t="b">
        <v>0</v>
      </c>
      <c r="O1049" s="12" t="b">
        <v>0</v>
      </c>
      <c r="P1049" s="12" t="b">
        <v>0</v>
      </c>
      <c r="Q1049" s="12" t="b">
        <v>0</v>
      </c>
      <c r="R1049" s="12" t="b">
        <v>0</v>
      </c>
      <c r="S1049" s="12" t="b">
        <v>0</v>
      </c>
      <c r="T1049" s="12" t="b">
        <v>0</v>
      </c>
      <c r="U1049" s="12" t="b">
        <v>0</v>
      </c>
      <c r="V1049" s="12" t="b">
        <v>0</v>
      </c>
    </row>
    <row r="1050" ht="69" customHeight="1" s="211">
      <c r="A1050" s="92" t="n"/>
      <c r="B1050" s="12" t="b">
        <v>0</v>
      </c>
      <c r="C1050" s="93">
        <f>Accounts!N1050</f>
        <v/>
      </c>
      <c r="D1050" s="94" t="n"/>
      <c r="E1050" s="93">
        <f>Accounts!F1050</f>
        <v/>
      </c>
      <c r="F1050" s="94">
        <f>Accounts!Q1050</f>
        <v/>
      </c>
      <c r="G1050" s="94">
        <f>Accounts!R1050</f>
        <v/>
      </c>
      <c r="H1050" s="94">
        <f>Accounts!I1050</f>
        <v/>
      </c>
      <c r="I1050" s="94">
        <f>Accounts!J1050</f>
        <v/>
      </c>
      <c r="J1050" s="93">
        <f>Accounts!S1050</f>
        <v/>
      </c>
      <c r="K1050" s="89" t="n"/>
      <c r="L1050" s="98" t="n"/>
      <c r="M1050" s="12" t="b">
        <v>0</v>
      </c>
      <c r="N1050" s="99" t="b">
        <v>0</v>
      </c>
      <c r="O1050" s="12" t="b">
        <v>0</v>
      </c>
      <c r="P1050" s="12" t="b">
        <v>0</v>
      </c>
      <c r="Q1050" s="12" t="b">
        <v>0</v>
      </c>
      <c r="R1050" s="12" t="b">
        <v>0</v>
      </c>
      <c r="S1050" s="12" t="b">
        <v>0</v>
      </c>
      <c r="T1050" s="12" t="b">
        <v>0</v>
      </c>
      <c r="U1050" s="12" t="b">
        <v>0</v>
      </c>
      <c r="V1050" s="12" t="b">
        <v>0</v>
      </c>
    </row>
    <row r="1051" ht="69" customHeight="1" s="211">
      <c r="A1051" s="92" t="n"/>
      <c r="B1051" s="12" t="b">
        <v>0</v>
      </c>
      <c r="C1051" s="93">
        <f>Accounts!N1051</f>
        <v/>
      </c>
      <c r="D1051" s="94" t="n"/>
      <c r="E1051" s="93">
        <f>Accounts!F1051</f>
        <v/>
      </c>
      <c r="F1051" s="94">
        <f>Accounts!Q1051</f>
        <v/>
      </c>
      <c r="G1051" s="94">
        <f>Accounts!R1051</f>
        <v/>
      </c>
      <c r="H1051" s="94">
        <f>Accounts!I1051</f>
        <v/>
      </c>
      <c r="I1051" s="94">
        <f>Accounts!J1051</f>
        <v/>
      </c>
      <c r="J1051" s="93">
        <f>Accounts!S1051</f>
        <v/>
      </c>
      <c r="K1051" s="89" t="n"/>
      <c r="L1051" s="98" t="n"/>
      <c r="M1051" s="12" t="b">
        <v>0</v>
      </c>
      <c r="N1051" s="99" t="b">
        <v>0</v>
      </c>
      <c r="O1051" s="12" t="b">
        <v>0</v>
      </c>
      <c r="P1051" s="12" t="b">
        <v>0</v>
      </c>
      <c r="Q1051" s="12" t="b">
        <v>0</v>
      </c>
      <c r="R1051" s="12" t="b">
        <v>0</v>
      </c>
      <c r="S1051" s="12" t="b">
        <v>0</v>
      </c>
      <c r="T1051" s="12" t="b">
        <v>0</v>
      </c>
      <c r="U1051" s="12" t="b">
        <v>0</v>
      </c>
      <c r="V1051" s="12" t="b">
        <v>0</v>
      </c>
    </row>
    <row r="1052" ht="69" customHeight="1" s="211">
      <c r="A1052" s="92" t="n"/>
      <c r="B1052" s="12" t="b">
        <v>0</v>
      </c>
      <c r="C1052" s="93">
        <f>Accounts!N1052</f>
        <v/>
      </c>
      <c r="D1052" s="94" t="n"/>
      <c r="E1052" s="93">
        <f>Accounts!F1052</f>
        <v/>
      </c>
      <c r="F1052" s="94">
        <f>Accounts!Q1052</f>
        <v/>
      </c>
      <c r="G1052" s="94">
        <f>Accounts!R1052</f>
        <v/>
      </c>
      <c r="H1052" s="94">
        <f>Accounts!I1052</f>
        <v/>
      </c>
      <c r="I1052" s="94">
        <f>Accounts!J1052</f>
        <v/>
      </c>
      <c r="J1052" s="93">
        <f>Accounts!S1052</f>
        <v/>
      </c>
      <c r="K1052" s="89" t="n"/>
      <c r="L1052" s="98" t="n"/>
      <c r="M1052" s="12" t="b">
        <v>0</v>
      </c>
      <c r="N1052" s="99" t="b">
        <v>0</v>
      </c>
      <c r="O1052" s="12" t="b">
        <v>0</v>
      </c>
      <c r="P1052" s="12" t="b">
        <v>0</v>
      </c>
      <c r="Q1052" s="12" t="b">
        <v>0</v>
      </c>
      <c r="R1052" s="12" t="b">
        <v>0</v>
      </c>
      <c r="S1052" s="12" t="b">
        <v>0</v>
      </c>
      <c r="T1052" s="12" t="b">
        <v>0</v>
      </c>
      <c r="U1052" s="12" t="b">
        <v>0</v>
      </c>
      <c r="V1052" s="12" t="b">
        <v>0</v>
      </c>
    </row>
    <row r="1053" ht="69" customHeight="1" s="211">
      <c r="A1053" s="92" t="n"/>
      <c r="B1053" s="12" t="b">
        <v>0</v>
      </c>
      <c r="C1053" s="93">
        <f>Accounts!N1053</f>
        <v/>
      </c>
      <c r="D1053" s="94" t="n"/>
      <c r="E1053" s="93">
        <f>Accounts!F1053</f>
        <v/>
      </c>
      <c r="F1053" s="94">
        <f>Accounts!Q1053</f>
        <v/>
      </c>
      <c r="G1053" s="94">
        <f>Accounts!R1053</f>
        <v/>
      </c>
      <c r="H1053" s="94">
        <f>Accounts!I1053</f>
        <v/>
      </c>
      <c r="I1053" s="94">
        <f>Accounts!J1053</f>
        <v/>
      </c>
      <c r="J1053" s="93">
        <f>Accounts!S1053</f>
        <v/>
      </c>
      <c r="K1053" s="89" t="n"/>
      <c r="L1053" s="98" t="n"/>
      <c r="M1053" s="12" t="b">
        <v>0</v>
      </c>
      <c r="N1053" s="99" t="b">
        <v>0</v>
      </c>
      <c r="O1053" s="12" t="b">
        <v>0</v>
      </c>
      <c r="P1053" s="12" t="b">
        <v>0</v>
      </c>
      <c r="Q1053" s="12" t="b">
        <v>0</v>
      </c>
      <c r="R1053" s="12" t="b">
        <v>0</v>
      </c>
      <c r="S1053" s="12" t="b">
        <v>0</v>
      </c>
      <c r="T1053" s="12" t="b">
        <v>0</v>
      </c>
      <c r="U1053" s="12" t="b">
        <v>0</v>
      </c>
      <c r="V1053" s="12" t="b">
        <v>0</v>
      </c>
    </row>
    <row r="1054" ht="69" customHeight="1" s="211">
      <c r="A1054" s="92" t="n"/>
      <c r="B1054" s="12" t="b">
        <v>0</v>
      </c>
      <c r="C1054" s="93">
        <f>Accounts!N1054</f>
        <v/>
      </c>
      <c r="D1054" s="94" t="n"/>
      <c r="E1054" s="93">
        <f>Accounts!F1054</f>
        <v/>
      </c>
      <c r="F1054" s="94">
        <f>Accounts!Q1054</f>
        <v/>
      </c>
      <c r="G1054" s="94">
        <f>Accounts!R1054</f>
        <v/>
      </c>
      <c r="H1054" s="94">
        <f>Accounts!I1054</f>
        <v/>
      </c>
      <c r="I1054" s="94">
        <f>Accounts!J1054</f>
        <v/>
      </c>
      <c r="J1054" s="93">
        <f>Accounts!S1054</f>
        <v/>
      </c>
      <c r="K1054" s="89" t="n"/>
      <c r="L1054" s="98" t="n"/>
      <c r="M1054" s="12" t="b">
        <v>0</v>
      </c>
      <c r="N1054" s="99" t="b">
        <v>0</v>
      </c>
      <c r="O1054" s="12" t="b">
        <v>0</v>
      </c>
      <c r="P1054" s="12" t="b">
        <v>0</v>
      </c>
      <c r="Q1054" s="12" t="b">
        <v>0</v>
      </c>
      <c r="R1054" s="12" t="b">
        <v>0</v>
      </c>
      <c r="S1054" s="12" t="b">
        <v>0</v>
      </c>
      <c r="T1054" s="12" t="b">
        <v>0</v>
      </c>
      <c r="U1054" s="12" t="b">
        <v>0</v>
      </c>
      <c r="V1054" s="12" t="b">
        <v>0</v>
      </c>
    </row>
    <row r="1055" ht="69" customHeight="1" s="211">
      <c r="A1055" s="92" t="n"/>
      <c r="B1055" s="12" t="b">
        <v>0</v>
      </c>
      <c r="C1055" s="93">
        <f>Accounts!N1055</f>
        <v/>
      </c>
      <c r="D1055" s="94" t="n"/>
      <c r="E1055" s="93">
        <f>Accounts!F1055</f>
        <v/>
      </c>
      <c r="F1055" s="94">
        <f>Accounts!Q1055</f>
        <v/>
      </c>
      <c r="G1055" s="94">
        <f>Accounts!R1055</f>
        <v/>
      </c>
      <c r="H1055" s="94">
        <f>Accounts!I1055</f>
        <v/>
      </c>
      <c r="I1055" s="94">
        <f>Accounts!J1055</f>
        <v/>
      </c>
      <c r="J1055" s="93">
        <f>Accounts!S1055</f>
        <v/>
      </c>
      <c r="K1055" s="89" t="n"/>
      <c r="L1055" s="98" t="n"/>
      <c r="M1055" s="12" t="b">
        <v>0</v>
      </c>
      <c r="N1055" s="99" t="b">
        <v>0</v>
      </c>
      <c r="O1055" s="12" t="b">
        <v>0</v>
      </c>
      <c r="P1055" s="12" t="b">
        <v>0</v>
      </c>
      <c r="Q1055" s="12" t="b">
        <v>0</v>
      </c>
      <c r="R1055" s="12" t="b">
        <v>0</v>
      </c>
      <c r="S1055" s="12" t="b">
        <v>0</v>
      </c>
      <c r="T1055" s="12" t="b">
        <v>0</v>
      </c>
      <c r="U1055" s="12" t="b">
        <v>0</v>
      </c>
      <c r="V1055" s="12" t="b">
        <v>0</v>
      </c>
    </row>
    <row r="1056" ht="69" customHeight="1" s="211">
      <c r="A1056" s="92" t="n"/>
      <c r="B1056" s="12" t="b">
        <v>0</v>
      </c>
      <c r="C1056" s="93">
        <f>Accounts!N1056</f>
        <v/>
      </c>
      <c r="D1056" s="94" t="n"/>
      <c r="E1056" s="93">
        <f>Accounts!F1056</f>
        <v/>
      </c>
      <c r="F1056" s="94">
        <f>Accounts!Q1056</f>
        <v/>
      </c>
      <c r="G1056" s="94">
        <f>Accounts!R1056</f>
        <v/>
      </c>
      <c r="H1056" s="94">
        <f>Accounts!I1056</f>
        <v/>
      </c>
      <c r="I1056" s="94">
        <f>Accounts!J1056</f>
        <v/>
      </c>
      <c r="J1056" s="93">
        <f>Accounts!S1056</f>
        <v/>
      </c>
      <c r="K1056" s="89" t="n"/>
      <c r="L1056" s="98" t="n"/>
      <c r="M1056" s="12" t="b">
        <v>0</v>
      </c>
      <c r="N1056" s="99" t="b">
        <v>0</v>
      </c>
      <c r="O1056" s="12" t="b">
        <v>0</v>
      </c>
      <c r="P1056" s="12" t="b">
        <v>0</v>
      </c>
      <c r="Q1056" s="12" t="b">
        <v>0</v>
      </c>
      <c r="R1056" s="12" t="b">
        <v>0</v>
      </c>
      <c r="S1056" s="12" t="b">
        <v>0</v>
      </c>
      <c r="T1056" s="12" t="b">
        <v>0</v>
      </c>
      <c r="U1056" s="12" t="b">
        <v>0</v>
      </c>
      <c r="V1056" s="12" t="b">
        <v>0</v>
      </c>
    </row>
    <row r="1057" ht="69" customHeight="1" s="211">
      <c r="A1057" s="92" t="n"/>
      <c r="B1057" s="12" t="b">
        <v>0</v>
      </c>
      <c r="C1057" s="93">
        <f>Accounts!N1057</f>
        <v/>
      </c>
      <c r="D1057" s="94" t="n"/>
      <c r="E1057" s="93">
        <f>Accounts!F1057</f>
        <v/>
      </c>
      <c r="F1057" s="94">
        <f>Accounts!Q1057</f>
        <v/>
      </c>
      <c r="G1057" s="94">
        <f>Accounts!R1057</f>
        <v/>
      </c>
      <c r="H1057" s="94">
        <f>Accounts!I1057</f>
        <v/>
      </c>
      <c r="I1057" s="94">
        <f>Accounts!J1057</f>
        <v/>
      </c>
      <c r="J1057" s="93">
        <f>Accounts!S1057</f>
        <v/>
      </c>
      <c r="K1057" s="89" t="n"/>
      <c r="L1057" s="98" t="n"/>
      <c r="M1057" s="12" t="b">
        <v>0</v>
      </c>
      <c r="N1057" s="99" t="b">
        <v>0</v>
      </c>
      <c r="O1057" s="12" t="b">
        <v>0</v>
      </c>
      <c r="P1057" s="12" t="b">
        <v>0</v>
      </c>
      <c r="Q1057" s="12" t="b">
        <v>0</v>
      </c>
      <c r="R1057" s="12" t="b">
        <v>0</v>
      </c>
      <c r="S1057" s="12" t="b">
        <v>0</v>
      </c>
      <c r="T1057" s="12" t="b">
        <v>0</v>
      </c>
      <c r="U1057" s="12" t="b">
        <v>0</v>
      </c>
      <c r="V1057" s="12" t="b">
        <v>0</v>
      </c>
    </row>
    <row r="1058" ht="69" customHeight="1" s="211">
      <c r="A1058" s="92" t="n"/>
      <c r="B1058" s="12" t="b">
        <v>0</v>
      </c>
      <c r="C1058" s="93">
        <f>Accounts!N1058</f>
        <v/>
      </c>
      <c r="D1058" s="94" t="n"/>
      <c r="E1058" s="93">
        <f>Accounts!F1058</f>
        <v/>
      </c>
      <c r="F1058" s="94">
        <f>Accounts!Q1058</f>
        <v/>
      </c>
      <c r="G1058" s="94">
        <f>Accounts!R1058</f>
        <v/>
      </c>
      <c r="H1058" s="94">
        <f>Accounts!I1058</f>
        <v/>
      </c>
      <c r="I1058" s="94">
        <f>Accounts!J1058</f>
        <v/>
      </c>
      <c r="J1058" s="93">
        <f>Accounts!S1058</f>
        <v/>
      </c>
      <c r="K1058" s="89" t="n"/>
      <c r="L1058" s="98" t="n"/>
      <c r="M1058" s="12" t="b">
        <v>0</v>
      </c>
      <c r="N1058" s="99" t="b">
        <v>0</v>
      </c>
      <c r="O1058" s="12" t="b">
        <v>0</v>
      </c>
      <c r="P1058" s="12" t="b">
        <v>0</v>
      </c>
      <c r="Q1058" s="12" t="b">
        <v>0</v>
      </c>
      <c r="R1058" s="12" t="b">
        <v>0</v>
      </c>
      <c r="S1058" s="12" t="b">
        <v>0</v>
      </c>
      <c r="T1058" s="12" t="b">
        <v>0</v>
      </c>
      <c r="U1058" s="12" t="b">
        <v>0</v>
      </c>
      <c r="V1058" s="12" t="b">
        <v>0</v>
      </c>
    </row>
    <row r="1059" ht="69" customHeight="1" s="211">
      <c r="A1059" s="92" t="n"/>
      <c r="B1059" s="12" t="b">
        <v>0</v>
      </c>
      <c r="C1059" s="93">
        <f>Accounts!N1059</f>
        <v/>
      </c>
      <c r="D1059" s="94" t="n"/>
      <c r="E1059" s="93">
        <f>Accounts!F1059</f>
        <v/>
      </c>
      <c r="F1059" s="94">
        <f>Accounts!Q1059</f>
        <v/>
      </c>
      <c r="G1059" s="94">
        <f>Accounts!R1059</f>
        <v/>
      </c>
      <c r="H1059" s="94">
        <f>Accounts!I1059</f>
        <v/>
      </c>
      <c r="I1059" s="94">
        <f>Accounts!J1059</f>
        <v/>
      </c>
      <c r="J1059" s="93">
        <f>Accounts!S1059</f>
        <v/>
      </c>
      <c r="K1059" s="89" t="n"/>
      <c r="L1059" s="98" t="n"/>
      <c r="M1059" s="12" t="b">
        <v>0</v>
      </c>
      <c r="N1059" s="99" t="b">
        <v>0</v>
      </c>
      <c r="O1059" s="12" t="b">
        <v>0</v>
      </c>
      <c r="P1059" s="12" t="b">
        <v>0</v>
      </c>
      <c r="Q1059" s="12" t="b">
        <v>0</v>
      </c>
      <c r="R1059" s="12" t="b">
        <v>0</v>
      </c>
      <c r="S1059" s="12" t="b">
        <v>0</v>
      </c>
      <c r="T1059" s="12" t="b">
        <v>0</v>
      </c>
      <c r="U1059" s="12" t="b">
        <v>0</v>
      </c>
      <c r="V1059" s="12" t="b">
        <v>0</v>
      </c>
    </row>
  </sheetData>
  <conditionalFormatting sqref="M1:V1059">
    <cfRule type="containsText" priority="1" operator="containsText" dxfId="2" text="T">
      <formula>NOT(ISERROR(SEARCH(("T"),(M1))))</formula>
    </cfRule>
  </conditionalFormatting>
  <conditionalFormatting sqref="B2:B1059">
    <cfRule type="containsText" priority="2" operator="containsText" dxfId="3" text="T">
      <formula>NOT(ISERROR(SEARCH(("T"),(B2))))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13" customWidth="1" style="211" min="1" max="1"/>
    <col width="43.88" customWidth="1" style="211" min="2" max="2"/>
    <col width="29.63" customWidth="1" style="211" min="4" max="4"/>
    <col width="20" customWidth="1" style="211" min="7" max="7"/>
    <col width="25.38" customWidth="1" style="211" min="8" max="8"/>
    <col width="21.63" customWidth="1" style="211" min="9" max="9"/>
    <col width="62.38" customWidth="1" style="211" min="10" max="10"/>
    <col width="29.38" customWidth="1" style="211" min="11" max="11"/>
    <col width="18" customWidth="1" style="211" min="12" max="12"/>
  </cols>
  <sheetData>
    <row r="1" ht="45.75" customHeight="1" s="211">
      <c r="A1" s="16" t="inlineStr">
        <is>
          <t xml:space="preserve">Loaction ID </t>
        </is>
      </c>
      <c r="B1" s="88" t="inlineStr">
        <is>
          <t>Location Name</t>
        </is>
      </c>
      <c r="C1" s="88" t="inlineStr">
        <is>
          <t>Location Type</t>
        </is>
      </c>
      <c r="D1" s="88" t="inlineStr">
        <is>
          <t>Address</t>
        </is>
      </c>
      <c r="E1" s="88" t="inlineStr">
        <is>
          <t># Spaces</t>
        </is>
      </c>
      <c r="F1" s="100" t="inlineStr">
        <is>
          <t>Unreserved Monthly Rate</t>
        </is>
      </c>
      <c r="G1" s="100" t="inlineStr">
        <is>
          <t>Operator</t>
        </is>
      </c>
      <c r="H1" s="100" t="inlineStr">
        <is>
          <t>Point of Contact</t>
        </is>
      </c>
      <c r="I1" s="100" t="inlineStr">
        <is>
          <t>POC Number</t>
        </is>
      </c>
      <c r="J1" s="100" t="inlineStr">
        <is>
          <t>URL</t>
        </is>
      </c>
      <c r="K1" s="100" t="inlineStr">
        <is>
          <t>Notes</t>
        </is>
      </c>
      <c r="L1" s="100" t="inlineStr">
        <is>
          <t>PARCs Equipment Notes</t>
        </is>
      </c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</row>
    <row r="2" ht="45.75" customHeight="1" s="211">
      <c r="A2" s="120" t="n"/>
      <c r="B2" s="103" t="inlineStr">
        <is>
          <t>Charlotte Marriott City Center</t>
        </is>
      </c>
      <c r="C2" s="104" t="inlineStr">
        <is>
          <t>Underground</t>
        </is>
      </c>
      <c r="D2" s="105" t="inlineStr">
        <is>
          <t>100 W Trade St</t>
        </is>
      </c>
      <c r="E2" s="106" t="n">
        <v>320</v>
      </c>
      <c r="F2" s="107" t="inlineStr">
        <is>
          <t>N/A</t>
        </is>
      </c>
      <c r="G2" s="131" t="inlineStr">
        <is>
          <t>Preferred</t>
        </is>
      </c>
      <c r="H2" s="16" t="n"/>
      <c r="I2" s="109" t="inlineStr">
        <is>
          <t>(704)-333-9000</t>
        </is>
      </c>
      <c r="J2" s="110" t="n"/>
      <c r="K2" s="111" t="inlineStr">
        <is>
          <t xml:space="preserve">Customer parking only; </t>
        </is>
      </c>
      <c r="L2" s="88" t="n"/>
      <c r="M2" s="101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</row>
    <row r="3" ht="45.75" customHeight="1" s="211">
      <c r="A3" s="120" t="n"/>
      <c r="B3" s="103" t="inlineStr">
        <is>
          <t>Avenue Condominium</t>
        </is>
      </c>
      <c r="C3" s="104" t="inlineStr">
        <is>
          <t>Covered</t>
        </is>
      </c>
      <c r="D3" s="112" t="inlineStr">
        <is>
          <t>210 N Church St</t>
        </is>
      </c>
      <c r="E3" s="106" t="inlineStr">
        <is>
          <t>N/A</t>
        </is>
      </c>
      <c r="F3" s="107" t="inlineStr">
        <is>
          <t>N/A</t>
        </is>
      </c>
      <c r="G3" s="113" t="inlineStr">
        <is>
          <t>N/A</t>
        </is>
      </c>
      <c r="H3" s="114" t="n"/>
      <c r="I3" s="115" t="n"/>
      <c r="J3" s="116" t="inlineStr">
        <is>
          <t>N/A</t>
        </is>
      </c>
      <c r="K3" s="117" t="n"/>
      <c r="L3" s="114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</row>
    <row r="4" ht="45.75" customHeight="1" s="211">
      <c r="A4" s="118" t="n"/>
      <c r="B4" s="119" t="inlineStr">
        <is>
          <t>IVEY's Garage</t>
        </is>
      </c>
      <c r="C4" s="104" t="inlineStr">
        <is>
          <t>Garage</t>
        </is>
      </c>
      <c r="D4" s="105" t="inlineStr">
        <is>
          <t>120 N Church St</t>
        </is>
      </c>
      <c r="E4" s="106" t="n">
        <v>226</v>
      </c>
      <c r="F4" s="107" t="inlineStr">
        <is>
          <t>N/A</t>
        </is>
      </c>
      <c r="G4" s="131" t="inlineStr">
        <is>
          <t>LAZ</t>
        </is>
      </c>
      <c r="H4" s="114" t="n"/>
      <c r="I4" s="120" t="n"/>
      <c r="J4" s="121" t="inlineStr">
        <is>
          <t>https://lazparking.com/local/charlotte-nc/ivey-garage</t>
        </is>
      </c>
      <c r="K4" s="111" t="inlineStr">
        <is>
          <t>Monthly parking only</t>
        </is>
      </c>
      <c r="L4" s="88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</row>
    <row r="5" ht="45.75" customHeight="1" s="211">
      <c r="A5" s="122" t="n"/>
      <c r="B5" s="119" t="inlineStr">
        <is>
          <t>Fifth-Third Center</t>
        </is>
      </c>
      <c r="C5" s="104" t="inlineStr">
        <is>
          <t>Garage</t>
        </is>
      </c>
      <c r="D5" s="105" t="inlineStr">
        <is>
          <t>201 N Tryon St</t>
        </is>
      </c>
      <c r="E5" s="106" t="n">
        <v>930</v>
      </c>
      <c r="F5" s="107" t="inlineStr">
        <is>
          <t>N/A</t>
        </is>
      </c>
      <c r="G5" s="131" t="inlineStr">
        <is>
          <t>LAZ</t>
        </is>
      </c>
      <c r="H5" s="114" t="n"/>
      <c r="I5" s="123" t="n"/>
      <c r="J5" s="121" t="inlineStr">
        <is>
          <t>https://www.lazparking.com/local/charlotte-nc/fifth-third</t>
        </is>
      </c>
      <c r="K5" s="124" t="n"/>
      <c r="L5" s="16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</row>
    <row r="6" ht="45.75" customHeight="1" s="211">
      <c r="A6" s="118" t="n"/>
      <c r="B6" s="103" t="inlineStr">
        <is>
          <t>Discovery Place Science</t>
        </is>
      </c>
      <c r="C6" s="125" t="inlineStr">
        <is>
          <t>Garage</t>
        </is>
      </c>
      <c r="D6" s="126" t="inlineStr">
        <is>
          <t>220 W  6th St</t>
        </is>
      </c>
      <c r="E6" s="106" t="n">
        <v>316</v>
      </c>
      <c r="F6" s="107" t="inlineStr">
        <is>
          <t>N/A</t>
        </is>
      </c>
      <c r="G6" s="131" t="inlineStr">
        <is>
          <t>Discovery Place</t>
        </is>
      </c>
      <c r="H6" s="120" t="n"/>
      <c r="I6" s="123" t="n"/>
      <c r="J6" s="121" t="inlineStr">
        <is>
          <t>https://science.discoveryplace.org/plan#parking</t>
        </is>
      </c>
      <c r="K6" s="111" t="inlineStr">
        <is>
          <t>Visitor Parking Only</t>
        </is>
      </c>
      <c r="L6" s="120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</row>
    <row r="7" ht="45.75" customHeight="1" s="211">
      <c r="A7" s="120" t="n"/>
      <c r="B7" s="103" t="inlineStr">
        <is>
          <t>401 W Pine St</t>
        </is>
      </c>
      <c r="C7" s="104" t="inlineStr">
        <is>
          <t>Lot</t>
        </is>
      </c>
      <c r="D7" s="105" t="inlineStr">
        <is>
          <t>401 W Pine St</t>
        </is>
      </c>
      <c r="E7" s="106" t="n">
        <v>115</v>
      </c>
      <c r="F7" s="127" t="n">
        <v>135</v>
      </c>
      <c r="G7" s="131" t="inlineStr">
        <is>
          <t>Preferred</t>
        </is>
      </c>
      <c r="H7" s="120" t="n"/>
      <c r="I7" s="123" t="n"/>
      <c r="J7" s="121" t="inlineStr">
        <is>
          <t>https://www.preferredparking.com/dailyparking_clt/default.aspx</t>
        </is>
      </c>
      <c r="K7" s="124" t="n"/>
      <c r="L7" s="120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</row>
    <row r="8" ht="45.75" customHeight="1" s="211">
      <c r="A8" s="120" t="n"/>
      <c r="B8" s="103" t="inlineStr">
        <is>
          <t>The VUE Charlotte</t>
        </is>
      </c>
      <c r="C8" s="104" t="inlineStr">
        <is>
          <t>Garage</t>
        </is>
      </c>
      <c r="D8" s="128" t="inlineStr">
        <is>
          <t>410 W 5th St</t>
        </is>
      </c>
      <c r="E8" s="106" t="inlineStr">
        <is>
          <t>N/A</t>
        </is>
      </c>
      <c r="F8" s="127" t="n">
        <v>250</v>
      </c>
      <c r="G8" s="129" t="inlineStr">
        <is>
          <t>The VUE</t>
        </is>
      </c>
      <c r="H8" s="120" t="n"/>
      <c r="I8" s="130" t="inlineStr">
        <is>
          <t>(704)-333-2533</t>
        </is>
      </c>
      <c r="J8" s="131" t="n"/>
      <c r="K8" s="111" t="inlineStr">
        <is>
          <t>Free validation</t>
        </is>
      </c>
      <c r="L8" s="120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</row>
    <row r="9" ht="45.75" customHeight="1" s="211">
      <c r="A9" s="120" t="n"/>
      <c r="B9" s="103" t="inlineStr">
        <is>
          <t xml:space="preserve">309 W Trade St </t>
        </is>
      </c>
      <c r="C9" s="104" t="inlineStr">
        <is>
          <t>Lot</t>
        </is>
      </c>
      <c r="D9" s="132" t="inlineStr">
        <is>
          <t>309 W Trade St</t>
        </is>
      </c>
      <c r="E9" s="106" t="n">
        <v>255</v>
      </c>
      <c r="F9" s="113" t="n">
        <v>190</v>
      </c>
      <c r="G9" s="131" t="inlineStr">
        <is>
          <t>Preferred</t>
        </is>
      </c>
      <c r="H9" s="120" t="n"/>
      <c r="I9" s="120" t="n"/>
      <c r="J9" s="121" t="inlineStr">
        <is>
          <t>https://www.preferredparking.com/dailyparking_clt/default.aspx</t>
        </is>
      </c>
      <c r="K9" s="111" t="inlineStr">
        <is>
          <t>Open all day Mon-Sat; No parking 6am-12N on Sunday</t>
        </is>
      </c>
      <c r="L9" s="120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</row>
    <row r="10" ht="45.75" customHeight="1" s="211">
      <c r="A10" s="120" t="n"/>
      <c r="B10" s="103" t="inlineStr">
        <is>
          <t>401 N. Tryon Garage</t>
        </is>
      </c>
      <c r="C10" s="104" t="inlineStr">
        <is>
          <t>Underground</t>
        </is>
      </c>
      <c r="D10" s="132" t="inlineStr">
        <is>
          <t>401 N Tryon St</t>
        </is>
      </c>
      <c r="E10" s="106" t="n">
        <v>1101</v>
      </c>
      <c r="F10" s="113" t="inlineStr">
        <is>
          <t>N/A</t>
        </is>
      </c>
      <c r="G10" s="131" t="inlineStr">
        <is>
          <t>LAZ</t>
        </is>
      </c>
      <c r="H10" s="120" t="n"/>
      <c r="I10" s="120" t="n"/>
      <c r="J10" s="121" t="inlineStr">
        <is>
          <t>https://www.lazparking.com/local/charlotte-nc/401-north-tryon</t>
        </is>
      </c>
      <c r="K10" s="124" t="n"/>
      <c r="L10" s="120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</row>
    <row r="11" ht="45.75" customHeight="1" s="211">
      <c r="A11" s="120" t="n"/>
      <c r="B11" s="103" t="inlineStr">
        <is>
          <t>101 Independance Center Parking Facility</t>
        </is>
      </c>
      <c r="C11" s="104" t="inlineStr">
        <is>
          <t>Underground</t>
        </is>
      </c>
      <c r="D11" s="105" t="inlineStr">
        <is>
          <t>101 N Tryon St</t>
        </is>
      </c>
      <c r="E11" s="106" t="n">
        <v>320</v>
      </c>
      <c r="F11" s="127" t="inlineStr">
        <is>
          <t>N/A</t>
        </is>
      </c>
      <c r="G11" s="131" t="inlineStr">
        <is>
          <t>LAZ</t>
        </is>
      </c>
      <c r="H11" s="120" t="n"/>
      <c r="I11" s="120" t="n"/>
      <c r="J11" s="121" t="inlineStr">
        <is>
          <t>https://www.lazparking.com/local/charlotte-nc/101-independence-center</t>
        </is>
      </c>
      <c r="K11" s="111" t="inlineStr">
        <is>
          <t>On-sight car wash!</t>
        </is>
      </c>
      <c r="L11" s="120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</row>
    <row r="12" ht="45.75" customHeight="1" s="211">
      <c r="A12" s="120" t="n"/>
      <c r="B12" s="119" t="inlineStr">
        <is>
          <t>123 S Church St</t>
        </is>
      </c>
      <c r="C12" s="104" t="inlineStr">
        <is>
          <t>Garage</t>
        </is>
      </c>
      <c r="D12" s="132" t="inlineStr">
        <is>
          <t>123 S Church St</t>
        </is>
      </c>
      <c r="E12" s="106" t="n">
        <v>275</v>
      </c>
      <c r="F12" s="113" t="n">
        <v>205</v>
      </c>
      <c r="G12" s="131" t="inlineStr">
        <is>
          <t>Preferred</t>
        </is>
      </c>
      <c r="H12" s="120" t="n"/>
      <c r="I12" s="120" t="n"/>
      <c r="J12" s="133" t="inlineStr">
        <is>
          <t>N/A</t>
        </is>
      </c>
      <c r="K12" s="111" t="inlineStr">
        <is>
          <t>Maximum stay 2 days</t>
        </is>
      </c>
      <c r="L12" s="120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</row>
    <row r="13" ht="45.75" customHeight="1" s="211">
      <c r="A13" s="120" t="n"/>
      <c r="B13" s="103" t="inlineStr">
        <is>
          <t>Carillon Garage</t>
        </is>
      </c>
      <c r="C13" s="104" t="inlineStr">
        <is>
          <t>Garage</t>
        </is>
      </c>
      <c r="D13" s="126" t="inlineStr">
        <is>
          <t>160 S Poplar St</t>
        </is>
      </c>
      <c r="E13" s="106" t="n">
        <v>832</v>
      </c>
      <c r="F13" s="113" t="inlineStr">
        <is>
          <t>N/A</t>
        </is>
      </c>
      <c r="G13" s="131" t="inlineStr">
        <is>
          <t>SP Plus Corparation</t>
        </is>
      </c>
      <c r="H13" s="120" t="n"/>
      <c r="I13" s="130" t="inlineStr">
        <is>
          <t>(980)-224-1065</t>
        </is>
      </c>
      <c r="J13" s="131" t="n"/>
      <c r="K13" s="124" t="n"/>
      <c r="L13" s="120" t="n"/>
      <c r="M13" s="134" t="n"/>
      <c r="N13" s="135" t="n"/>
      <c r="O13" s="134" t="n"/>
      <c r="P13" s="136" t="n"/>
      <c r="Q13" s="136" t="n"/>
      <c r="R13" s="136" t="n"/>
      <c r="S13" s="101" t="n"/>
      <c r="T13" s="101" t="n"/>
      <c r="U13" s="101" t="n"/>
      <c r="V13" s="101" t="n"/>
      <c r="W13" s="101" t="n"/>
      <c r="X13" s="101" t="n"/>
    </row>
    <row r="14" ht="45.75" customHeight="1" s="211">
      <c r="A14" s="120" t="n"/>
      <c r="B14" s="103" t="inlineStr">
        <is>
          <t>124 S Poplar St</t>
        </is>
      </c>
      <c r="C14" s="125" t="inlineStr">
        <is>
          <t>Lot</t>
        </is>
      </c>
      <c r="D14" s="132" t="inlineStr">
        <is>
          <t>124 S Poplar St</t>
        </is>
      </c>
      <c r="E14" s="106" t="n">
        <v>105</v>
      </c>
      <c r="F14" s="113" t="n">
        <v>169</v>
      </c>
      <c r="G14" s="131" t="inlineStr">
        <is>
          <t>Preferred</t>
        </is>
      </c>
      <c r="H14" s="120" t="n"/>
      <c r="I14" s="120" t="n"/>
      <c r="J14" s="121" t="inlineStr">
        <is>
          <t>https://www.preferredparking.com/dailyparking_clt/default.aspx</t>
        </is>
      </c>
      <c r="K14" s="124" t="n"/>
      <c r="L14" s="120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</row>
    <row r="15" ht="45.75" customHeight="1" s="211">
      <c r="A15" s="120" t="n"/>
      <c r="B15" s="119" t="inlineStr">
        <is>
          <t>Auto Park</t>
        </is>
      </c>
      <c r="C15" s="125" t="inlineStr">
        <is>
          <t>Lot</t>
        </is>
      </c>
      <c r="D15" s="132" t="inlineStr">
        <is>
          <t>206 S Church St</t>
        </is>
      </c>
      <c r="E15" s="106" t="n">
        <v>40</v>
      </c>
      <c r="F15" s="113" t="inlineStr">
        <is>
          <t>N/A</t>
        </is>
      </c>
      <c r="G15" s="131" t="inlineStr">
        <is>
          <t>Preferred</t>
        </is>
      </c>
      <c r="H15" s="120" t="n"/>
      <c r="I15" s="120" t="n"/>
      <c r="J15" s="121" t="inlineStr">
        <is>
          <t>https://www.preferredparking.com/dailyparking_clt/default.aspx</t>
        </is>
      </c>
      <c r="K15" s="124" t="n"/>
      <c r="L15" s="120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</row>
    <row r="16" ht="45.75" customHeight="1" s="211">
      <c r="A16" s="120" t="n"/>
      <c r="B16" s="119" t="inlineStr">
        <is>
          <t>Auto Park</t>
        </is>
      </c>
      <c r="C16" s="104" t="inlineStr">
        <is>
          <t>Garage</t>
        </is>
      </c>
      <c r="D16" s="105" t="inlineStr">
        <is>
          <t>206 S Church St</t>
        </is>
      </c>
      <c r="E16" s="106" t="n">
        <v>690</v>
      </c>
      <c r="F16" s="113" t="n">
        <v>185</v>
      </c>
      <c r="G16" s="131" t="inlineStr">
        <is>
          <t>Preferred</t>
        </is>
      </c>
      <c r="H16" s="120" t="n"/>
      <c r="I16" s="120" t="n"/>
      <c r="J16" s="121" t="inlineStr">
        <is>
          <t>https://www.preferredparking.com/dailyparking_clt/default.aspx</t>
        </is>
      </c>
      <c r="K16" s="124" t="n"/>
      <c r="L16" s="120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</row>
    <row r="17" ht="45.75" customHeight="1" s="211">
      <c r="A17" s="120" t="n"/>
      <c r="B17" s="103" t="inlineStr">
        <is>
          <t>208 S Poplar St</t>
        </is>
      </c>
      <c r="C17" s="104" t="inlineStr">
        <is>
          <t>Lot</t>
        </is>
      </c>
      <c r="D17" s="105" t="inlineStr">
        <is>
          <t>208 S Poplar St</t>
        </is>
      </c>
      <c r="E17" s="106" t="n">
        <v>160</v>
      </c>
      <c r="F17" s="113" t="n">
        <v>169</v>
      </c>
      <c r="G17" s="131" t="inlineStr">
        <is>
          <t>Preferred</t>
        </is>
      </c>
      <c r="H17" s="120" t="n"/>
      <c r="I17" s="120" t="n"/>
      <c r="J17" s="121" t="inlineStr">
        <is>
          <t>https://www.preferredparking.com/dailyparking_clt/default.aspx</t>
        </is>
      </c>
      <c r="K17" s="124" t="n"/>
      <c r="L17" s="120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</row>
    <row r="18" ht="45.75" customHeight="1" s="211">
      <c r="A18" s="120" t="n"/>
      <c r="B18" s="103" t="inlineStr">
        <is>
          <t>400 South Tryon Street Garage</t>
        </is>
      </c>
      <c r="C18" s="104" t="inlineStr">
        <is>
          <t>Garage</t>
        </is>
      </c>
      <c r="D18" s="105" t="inlineStr">
        <is>
          <t>400 S Tryon St</t>
        </is>
      </c>
      <c r="E18" s="106" t="n">
        <v>495</v>
      </c>
      <c r="F18" s="113" t="inlineStr">
        <is>
          <t>N/A</t>
        </is>
      </c>
      <c r="G18" s="131" t="inlineStr">
        <is>
          <t>Preferred</t>
        </is>
      </c>
      <c r="H18" s="120" t="n"/>
      <c r="I18" s="16" t="n"/>
      <c r="J18" s="121" t="inlineStr">
        <is>
          <t>https://www.preferredparking.com/dailyparking_clt/default.aspx</t>
        </is>
      </c>
      <c r="K18" s="124" t="n"/>
      <c r="L18" s="120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</row>
    <row r="19" ht="45.75" customHeight="1" s="211">
      <c r="A19" s="120" t="n"/>
      <c r="B19" s="103" t="inlineStr">
        <is>
          <t>330 South Tryon Street Garage</t>
        </is>
      </c>
      <c r="C19" s="125" t="inlineStr">
        <is>
          <t>Garage</t>
        </is>
      </c>
      <c r="D19" s="132" t="inlineStr">
        <is>
          <t>330 S Tryon St</t>
        </is>
      </c>
      <c r="E19" s="106" t="n">
        <v>250</v>
      </c>
      <c r="F19" s="113" t="n">
        <v>198</v>
      </c>
      <c r="G19" s="131" t="inlineStr">
        <is>
          <t>Preferred</t>
        </is>
      </c>
      <c r="H19" s="120" t="n"/>
      <c r="I19" s="120" t="n"/>
      <c r="J19" s="121" t="inlineStr">
        <is>
          <t>https://www.preferredparking.com/dailyparking_clt/default.aspx</t>
        </is>
      </c>
      <c r="K19" s="124" t="n"/>
      <c r="L19" s="120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</row>
    <row r="20" ht="45.75" customHeight="1" s="211">
      <c r="A20" s="120" t="n"/>
      <c r="B20" s="103" t="inlineStr">
        <is>
          <t>300 South Tryon Street Garage</t>
        </is>
      </c>
      <c r="C20" s="104" t="inlineStr">
        <is>
          <t>Garage</t>
        </is>
      </c>
      <c r="D20" s="132" t="inlineStr">
        <is>
          <t>300 S Tryon St</t>
        </is>
      </c>
      <c r="E20" s="106" t="n">
        <v>408</v>
      </c>
      <c r="F20" s="113" t="inlineStr">
        <is>
          <t>N/A</t>
        </is>
      </c>
      <c r="G20" s="131" t="inlineStr">
        <is>
          <t>Preferred</t>
        </is>
      </c>
      <c r="H20" s="120" t="n"/>
      <c r="I20" s="120" t="n"/>
      <c r="J20" s="121" t="inlineStr">
        <is>
          <t>https://www.preferredparking.com/dailyparking_clt/default.aspx</t>
        </is>
      </c>
      <c r="K20" s="124" t="n"/>
      <c r="L20" s="120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</row>
    <row r="21" ht="45.75" customHeight="1" s="211">
      <c r="A21" s="120" t="n"/>
      <c r="B21" s="103" t="inlineStr">
        <is>
          <t>230 South Tryon Street Garage</t>
        </is>
      </c>
      <c r="C21" s="104" t="inlineStr">
        <is>
          <t>Garage</t>
        </is>
      </c>
      <c r="D21" s="132" t="inlineStr">
        <is>
          <t>100 W Third St</t>
        </is>
      </c>
      <c r="E21" s="106" t="n">
        <v>670</v>
      </c>
      <c r="F21" s="137" t="inlineStr">
        <is>
          <t>N/A</t>
        </is>
      </c>
      <c r="G21" s="131" t="inlineStr">
        <is>
          <t>Spectrum Parking LLC</t>
        </is>
      </c>
      <c r="H21" s="120" t="n"/>
      <c r="I21" s="109" t="inlineStr">
        <is>
          <t>(704)-358-1000</t>
        </is>
      </c>
      <c r="J21" s="110" t="n"/>
      <c r="K21" s="124" t="n"/>
      <c r="L21" s="120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</row>
    <row r="22" ht="45.75" customHeight="1" s="211">
      <c r="A22" s="120" t="n"/>
      <c r="B22" s="103" t="inlineStr">
        <is>
          <t>228 S Church St</t>
        </is>
      </c>
      <c r="C22" s="104" t="inlineStr">
        <is>
          <t>Lot</t>
        </is>
      </c>
      <c r="D22" s="128" t="inlineStr">
        <is>
          <t>228 S Church St</t>
        </is>
      </c>
      <c r="E22" s="106" t="n">
        <v>35</v>
      </c>
      <c r="F22" s="113" t="inlineStr">
        <is>
          <t>N/A</t>
        </is>
      </c>
      <c r="G22" s="131" t="inlineStr">
        <is>
          <t>Preferred</t>
        </is>
      </c>
      <c r="H22" s="120" t="n"/>
      <c r="I22" s="120" t="n"/>
      <c r="J22" s="121" t="inlineStr">
        <is>
          <t>https://www.preferredparking.com/dailyparking_clt/default.aspx</t>
        </is>
      </c>
      <c r="K22" s="124" t="n"/>
      <c r="L22" s="120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</row>
    <row r="23" ht="45.75" customHeight="1" s="211">
      <c r="A23" s="120" t="n"/>
      <c r="B23" s="103" t="inlineStr">
        <is>
          <t>First Citizens Bank Plaza Garage</t>
        </is>
      </c>
      <c r="C23" s="104" t="inlineStr">
        <is>
          <t>Garage</t>
        </is>
      </c>
      <c r="D23" s="132" t="inlineStr">
        <is>
          <t>205 S Church St</t>
        </is>
      </c>
      <c r="E23" s="106" t="n">
        <v>697</v>
      </c>
      <c r="F23" s="113" t="n">
        <v>195</v>
      </c>
      <c r="G23" s="131" t="inlineStr">
        <is>
          <t>Preferred</t>
        </is>
      </c>
      <c r="H23" s="120" t="n"/>
      <c r="I23" s="120" t="n"/>
      <c r="J23" s="121" t="inlineStr">
        <is>
          <t>https://www.preferredparking.com/dailyparking_clt/default.aspx</t>
        </is>
      </c>
      <c r="K23" s="124" t="n"/>
      <c r="L23" s="120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</row>
    <row r="24" ht="45.75" customHeight="1" s="211">
      <c r="A24" s="139" t="n"/>
      <c r="B24" s="103" t="inlineStr">
        <is>
          <t>121 West Trade</t>
        </is>
      </c>
      <c r="C24" s="104" t="inlineStr">
        <is>
          <t>Garage</t>
        </is>
      </c>
      <c r="D24" s="132" t="inlineStr">
        <is>
          <t>121 W Trade St</t>
        </is>
      </c>
      <c r="E24" s="106" t="n">
        <v>264</v>
      </c>
      <c r="F24" s="113" t="inlineStr">
        <is>
          <t>N/A</t>
        </is>
      </c>
      <c r="G24" s="131" t="inlineStr">
        <is>
          <t>Preferred</t>
        </is>
      </c>
      <c r="H24" s="139" t="n"/>
      <c r="I24" s="139" t="n"/>
      <c r="J24" s="121" t="inlineStr">
        <is>
          <t>https://www.preferredparking.com/dailyparking_clt/default.aspx</t>
        </is>
      </c>
      <c r="K24" s="124" t="n"/>
      <c r="L24" s="139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</row>
    <row r="25" ht="45.75" customHeight="1" s="211">
      <c r="A25" s="139" t="n"/>
      <c r="B25" s="119" t="inlineStr">
        <is>
          <t>Epicentre Parking / Queen City Quarter</t>
        </is>
      </c>
      <c r="C25" s="104" t="inlineStr">
        <is>
          <t>Garage</t>
        </is>
      </c>
      <c r="D25" s="132" t="inlineStr">
        <is>
          <t>101 S College St</t>
        </is>
      </c>
      <c r="E25" s="106" t="n">
        <v>982</v>
      </c>
      <c r="F25" s="113" t="n">
        <v>179</v>
      </c>
      <c r="G25" s="131" t="inlineStr">
        <is>
          <t>Preferred</t>
        </is>
      </c>
      <c r="H25" s="139" t="n"/>
      <c r="I25" s="139" t="n"/>
      <c r="J25" s="121" t="inlineStr">
        <is>
          <t>https://www.preferredparking.com/dailyparking_clt/default.aspx</t>
        </is>
      </c>
      <c r="K25" s="124" t="n"/>
      <c r="L25" s="139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</row>
    <row r="26" ht="45.75" customHeight="1" s="211">
      <c r="A26" s="139" t="n"/>
      <c r="B26" s="103" t="inlineStr">
        <is>
          <t>Bank of America Plaza (One South At the Plaza)</t>
        </is>
      </c>
      <c r="C26" s="104" t="inlineStr">
        <is>
          <t>Garage</t>
        </is>
      </c>
      <c r="D26" s="132" t="inlineStr">
        <is>
          <t>101 S Tryon St</t>
        </is>
      </c>
      <c r="E26" s="106" t="n">
        <v>459</v>
      </c>
      <c r="F26" s="113" t="n">
        <v>200</v>
      </c>
      <c r="G26" s="131" t="inlineStr">
        <is>
          <t>LAZ</t>
        </is>
      </c>
      <c r="H26" s="139" t="n"/>
      <c r="I26" s="139" t="n"/>
      <c r="J26" s="121" t="inlineStr">
        <is>
          <t>https://go.lazparking.com/subnow?l=351&amp;start=2023-11-15T22:00:00.000Z</t>
        </is>
      </c>
      <c r="K26" s="124" t="n"/>
      <c r="L26" s="139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</row>
    <row r="27" ht="45.75" customHeight="1" s="211">
      <c r="A27" s="139" t="n"/>
      <c r="B27" s="119" t="inlineStr">
        <is>
          <t>300 S. Brevard Garage</t>
        </is>
      </c>
      <c r="C27" s="104" t="inlineStr">
        <is>
          <t>Garage</t>
        </is>
      </c>
      <c r="D27" s="132" t="inlineStr">
        <is>
          <t>300 S. Brevard St.</t>
        </is>
      </c>
      <c r="E27" s="106" t="n">
        <v>720</v>
      </c>
      <c r="F27" s="113" t="inlineStr">
        <is>
          <t>$75/$173</t>
        </is>
      </c>
      <c r="G27" s="131" t="inlineStr">
        <is>
          <t>Preferred</t>
        </is>
      </c>
      <c r="H27" s="139" t="n"/>
      <c r="I27" s="139" t="n"/>
      <c r="J27" s="121" t="inlineStr">
        <is>
          <t>https://www.preferredparking.com/dailyparking_clt/default.aspx</t>
        </is>
      </c>
      <c r="K27" s="124" t="n"/>
      <c r="L27" s="139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</row>
    <row r="28" ht="45.75" customHeight="1" s="211">
      <c r="A28" s="139" t="n"/>
      <c r="B28" s="103" t="inlineStr">
        <is>
          <t xml:space="preserve">402 E 3rd St </t>
        </is>
      </c>
      <c r="C28" s="104" t="inlineStr">
        <is>
          <t>Lot</t>
        </is>
      </c>
      <c r="D28" s="132" t="inlineStr">
        <is>
          <t>402 E 3rd St</t>
        </is>
      </c>
      <c r="E28" s="106" t="n">
        <v>45</v>
      </c>
      <c r="F28" s="140" t="inlineStr">
        <is>
          <t>$150</t>
        </is>
      </c>
      <c r="G28" s="131" t="inlineStr">
        <is>
          <t>Preferred</t>
        </is>
      </c>
      <c r="H28" s="139" t="n"/>
      <c r="I28" s="139" t="n"/>
      <c r="J28" s="121" t="inlineStr">
        <is>
          <t>https://www.preferredparking.com/dailyparking_clt/default.aspx</t>
        </is>
      </c>
      <c r="K28" s="124" t="n"/>
      <c r="L28" s="139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</row>
    <row r="29" ht="45.75" customHeight="1" s="211">
      <c r="A29" s="139" t="n"/>
      <c r="B29" s="103" t="inlineStr">
        <is>
          <t>415 E. 4th St</t>
        </is>
      </c>
      <c r="C29" s="104" t="inlineStr">
        <is>
          <t>Lot</t>
        </is>
      </c>
      <c r="D29" s="132" t="inlineStr">
        <is>
          <t>415 E 4th St</t>
        </is>
      </c>
      <c r="E29" s="106" t="n">
        <v>29</v>
      </c>
      <c r="F29" s="113" t="n">
        <v>140</v>
      </c>
      <c r="G29" s="131" t="inlineStr">
        <is>
          <t>Preferred</t>
        </is>
      </c>
      <c r="H29" s="139" t="n"/>
      <c r="I29" s="139" t="n"/>
      <c r="J29" s="121" t="inlineStr">
        <is>
          <t>https://www.preferredparking.com/dailyparking_clt/default.aspx</t>
        </is>
      </c>
      <c r="K29" s="124" t="n"/>
      <c r="L29" s="139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</row>
    <row r="30" ht="45.75" customHeight="1" s="211">
      <c r="A30" s="139" t="n"/>
      <c r="B30" s="103" t="inlineStr">
        <is>
          <t>402 E 4th St</t>
        </is>
      </c>
      <c r="C30" s="104" t="inlineStr">
        <is>
          <t>Lot</t>
        </is>
      </c>
      <c r="D30" s="132" t="inlineStr">
        <is>
          <t>402 E 4th St</t>
        </is>
      </c>
      <c r="E30" s="106" t="n">
        <v>180</v>
      </c>
      <c r="F30" s="113" t="n">
        <v>150</v>
      </c>
      <c r="G30" s="131" t="inlineStr">
        <is>
          <t>Preferred</t>
        </is>
      </c>
      <c r="H30" s="139" t="n"/>
      <c r="I30" s="139" t="n"/>
      <c r="J30" s="121" t="inlineStr">
        <is>
          <t>https://www.preferredparking.com/dailyparking_clt/default.aspx</t>
        </is>
      </c>
      <c r="K30" s="124" t="n"/>
      <c r="L30" s="139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</row>
    <row r="31" ht="45.75" customHeight="1" s="211">
      <c r="A31" s="139" t="n"/>
      <c r="B31" s="103" t="inlineStr">
        <is>
          <t>Location #20</t>
        </is>
      </c>
      <c r="C31" s="104" t="inlineStr">
        <is>
          <t>Lot</t>
        </is>
      </c>
      <c r="D31" s="141" t="inlineStr">
        <is>
          <t>210 S Brevard St</t>
        </is>
      </c>
      <c r="E31" s="106" t="n">
        <v>380</v>
      </c>
      <c r="F31" s="113" t="n">
        <v>160</v>
      </c>
      <c r="G31" s="131" t="inlineStr">
        <is>
          <t>Preferred</t>
        </is>
      </c>
      <c r="H31" s="139" t="n"/>
      <c r="I31" s="139" t="n"/>
      <c r="J31" s="121" t="inlineStr">
        <is>
          <t>https://www.preferredparking.com/dailyparking_clt/default.aspx</t>
        </is>
      </c>
      <c r="K31" s="124" t="n"/>
      <c r="L31" s="139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</row>
    <row r="32" ht="45.75" customHeight="1" s="211">
      <c r="A32" s="139" t="n"/>
      <c r="B32" s="103" t="inlineStr">
        <is>
          <t>Preferred Parking Lot #406</t>
        </is>
      </c>
      <c r="C32" s="104" t="inlineStr">
        <is>
          <t>Lot</t>
        </is>
      </c>
      <c r="D32" s="105" t="inlineStr">
        <is>
          <t>407 E 4th St</t>
        </is>
      </c>
      <c r="E32" s="106" t="n">
        <v>180</v>
      </c>
      <c r="F32" s="113" t="n">
        <v>150</v>
      </c>
      <c r="G32" s="131" t="inlineStr">
        <is>
          <t>Preferred</t>
        </is>
      </c>
      <c r="H32" s="139" t="n"/>
      <c r="I32" s="139" t="n"/>
      <c r="J32" s="121" t="inlineStr">
        <is>
          <t>https://www.preferredparking.com/dailyparking_clt/default.aspx</t>
        </is>
      </c>
      <c r="K32" s="124" t="n"/>
      <c r="L32" s="139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</row>
    <row r="33" ht="45.75" customHeight="1" s="211">
      <c r="A33" s="139" t="n"/>
      <c r="B33" s="103" t="inlineStr">
        <is>
          <t>426 E Trade St</t>
        </is>
      </c>
      <c r="C33" s="104" t="inlineStr">
        <is>
          <t>Lot</t>
        </is>
      </c>
      <c r="D33" s="142" t="inlineStr">
        <is>
          <t>426 E Trade St</t>
        </is>
      </c>
      <c r="E33" s="106" t="n">
        <v>47</v>
      </c>
      <c r="F33" s="113" t="n">
        <v>150</v>
      </c>
      <c r="G33" s="131" t="inlineStr">
        <is>
          <t>Preferred</t>
        </is>
      </c>
      <c r="H33" s="139" t="n"/>
      <c r="I33" s="139" t="n"/>
      <c r="J33" s="121" t="inlineStr">
        <is>
          <t>https://www.preferredparking.com/dailyparking_clt/default.aspx</t>
        </is>
      </c>
      <c r="K33" s="124" t="n"/>
      <c r="L33" s="139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</row>
    <row r="34" ht="45.75" customHeight="1" s="211">
      <c r="A34" s="139" t="n"/>
      <c r="B34" s="143" t="inlineStr">
        <is>
          <t>Charlotte Plaza</t>
        </is>
      </c>
      <c r="C34" s="104" t="inlineStr">
        <is>
          <t>Garage</t>
        </is>
      </c>
      <c r="D34" s="105" t="inlineStr">
        <is>
          <t>201 S College St</t>
        </is>
      </c>
      <c r="E34" s="106" t="n">
        <v>980</v>
      </c>
      <c r="F34" s="113" t="n">
        <v>175</v>
      </c>
      <c r="G34" s="131" t="inlineStr">
        <is>
          <t>Charlotte</t>
        </is>
      </c>
      <c r="H34" s="139" t="n"/>
      <c r="I34" s="139" t="n"/>
      <c r="J34" s="121" t="inlineStr">
        <is>
          <t>https://parking.com/charlotte/parking-near/35.22462560/-80.84200160/306-e-4th-st/?lot_id=20383&amp;showListOnly=1&amp;view=daily&amp;facility&amp;valet&amp;general=&amp;displayFullCity=0&amp;start=2023-12-28T14%3A00&amp;stop=2023-12-28T14%3A30&amp;sw=35.21071788363375,-80.86408062727335&amp;ne=35.2381351005086,-80.8207577726999</t>
        </is>
      </c>
      <c r="K34" s="111" t="inlineStr">
        <is>
          <t>5pm to 4am 10 sat-sun allday untill 4 am 10</t>
        </is>
      </c>
      <c r="L34" s="139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</row>
    <row r="35" ht="45.75" customHeight="1" s="211">
      <c r="A35" s="139" t="n"/>
      <c r="B35" s="103" t="inlineStr">
        <is>
          <t>One Wells Fargo Center Parking Garage</t>
        </is>
      </c>
      <c r="C35" s="104" t="inlineStr">
        <is>
          <t xml:space="preserve">Garage </t>
        </is>
      </c>
      <c r="D35" s="105" t="inlineStr">
        <is>
          <t>301 S College St</t>
        </is>
      </c>
      <c r="E35" s="106" t="n">
        <v>1119</v>
      </c>
      <c r="F35" s="113" t="inlineStr">
        <is>
          <t>$165/$205</t>
        </is>
      </c>
      <c r="G35" s="131" t="inlineStr">
        <is>
          <t>CK Parking</t>
        </is>
      </c>
      <c r="H35" s="139" t="n"/>
      <c r="I35" s="109" t="inlineStr">
        <is>
          <t>(704)-342-9030</t>
        </is>
      </c>
      <c r="J35" s="110" t="n"/>
      <c r="K35" s="111" t="inlineStr">
        <is>
          <t>Customer parking only</t>
        </is>
      </c>
      <c r="L35" s="139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</row>
    <row r="36" ht="45.75" customHeight="1" s="211">
      <c r="A36" s="139" t="n"/>
      <c r="B36" s="103" t="inlineStr">
        <is>
          <t>Two Wells Fargo Center Parking Garage</t>
        </is>
      </c>
      <c r="C36" s="104" t="inlineStr">
        <is>
          <t>Garage</t>
        </is>
      </c>
      <c r="D36" s="105" t="inlineStr">
        <is>
          <t>301 S Tryon St</t>
        </is>
      </c>
      <c r="E36" s="106" t="n">
        <v>525</v>
      </c>
      <c r="F36" s="113" t="n">
        <v>152</v>
      </c>
      <c r="G36" s="131" t="inlineStr">
        <is>
          <t>CK Parking</t>
        </is>
      </c>
      <c r="H36" s="139" t="n"/>
      <c r="I36" s="109" t="inlineStr">
        <is>
          <t>(704)-944-1830</t>
        </is>
      </c>
      <c r="J36" s="110" t="n"/>
      <c r="K36" s="124" t="n"/>
      <c r="L36" s="139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</row>
    <row r="37" ht="45.75" customHeight="1" s="211">
      <c r="A37" s="139" t="n"/>
      <c r="B37" s="103" t="inlineStr">
        <is>
          <t>Omni Charlotte</t>
        </is>
      </c>
      <c r="C37" s="104" t="inlineStr">
        <is>
          <t>Garage</t>
        </is>
      </c>
      <c r="D37" s="105" t="inlineStr">
        <is>
          <t>132 E Trade St</t>
        </is>
      </c>
      <c r="E37" s="106" t="inlineStr">
        <is>
          <t>N/A</t>
        </is>
      </c>
      <c r="F37" s="131" t="inlineStr">
        <is>
          <t>N/A</t>
        </is>
      </c>
      <c r="G37" s="131" t="inlineStr">
        <is>
          <t>In-house</t>
        </is>
      </c>
      <c r="H37" s="139" t="n"/>
      <c r="I37" s="109" t="inlineStr">
        <is>
          <t>(704)-377-0400</t>
        </is>
      </c>
      <c r="J37" s="110" t="n"/>
      <c r="K37" s="124" t="n"/>
      <c r="L37" s="139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</row>
    <row r="38" ht="45.75" customHeight="1" s="211">
      <c r="A38" s="139" t="n"/>
      <c r="B38" s="119" t="inlineStr">
        <is>
          <t>237 S Tryon Garage</t>
        </is>
      </c>
      <c r="C38" s="104" t="inlineStr">
        <is>
          <t>Garage</t>
        </is>
      </c>
      <c r="D38" s="105" t="inlineStr">
        <is>
          <t>237 S Tryon St</t>
        </is>
      </c>
      <c r="E38" s="106" t="n">
        <v>689</v>
      </c>
      <c r="F38" s="113" t="n">
        <v>195</v>
      </c>
      <c r="G38" s="131" t="inlineStr">
        <is>
          <t>Preferred</t>
        </is>
      </c>
      <c r="H38" s="139" t="n"/>
      <c r="I38" s="139" t="n"/>
      <c r="J38" s="121" t="inlineStr">
        <is>
          <t>https://www.preferredparking.com/dailyparking_clt/default.aspx</t>
        </is>
      </c>
      <c r="K38" s="124" t="n"/>
      <c r="L38" s="139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</row>
    <row r="39" ht="45.75" customHeight="1" s="211">
      <c r="A39" s="139" t="n"/>
      <c r="B39" s="103" t="inlineStr">
        <is>
          <t>200 S College St</t>
        </is>
      </c>
      <c r="C39" s="104" t="inlineStr">
        <is>
          <t>Garage</t>
        </is>
      </c>
      <c r="D39" s="105" t="inlineStr">
        <is>
          <t>200 S College St</t>
        </is>
      </c>
      <c r="E39" s="106" t="n">
        <v>1500</v>
      </c>
      <c r="F39" s="113" t="n">
        <v>200</v>
      </c>
      <c r="G39" s="131" t="inlineStr">
        <is>
          <t>LAZ</t>
        </is>
      </c>
      <c r="H39" s="139" t="n"/>
      <c r="I39" s="139" t="n"/>
      <c r="J39" s="121" t="inlineStr">
        <is>
          <t>https://www.lazparking.com/local/charlotte--nc/bbt-center</t>
        </is>
      </c>
      <c r="K39" s="111" t="inlineStr">
        <is>
          <t>$17 early bird mon-fri 8am out 3pm</t>
        </is>
      </c>
      <c r="L39" s="139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</row>
    <row r="40" ht="45.75" customHeight="1" s="211">
      <c r="A40" s="139" t="n"/>
      <c r="B40" s="103" t="inlineStr">
        <is>
          <t>Bank of America Center Garage</t>
        </is>
      </c>
      <c r="C40" s="104" t="inlineStr">
        <is>
          <t>Garage</t>
        </is>
      </c>
      <c r="D40" s="105" t="inlineStr">
        <is>
          <t>150 N College St</t>
        </is>
      </c>
      <c r="E40" s="106" t="n">
        <v>1200</v>
      </c>
      <c r="F40" s="113" t="inlineStr">
        <is>
          <t>N/A</t>
        </is>
      </c>
      <c r="G40" s="131" t="inlineStr">
        <is>
          <t>LAZ</t>
        </is>
      </c>
      <c r="H40" s="139" t="n"/>
      <c r="I40" s="109" t="inlineStr">
        <is>
          <t>(704)-331-0055</t>
        </is>
      </c>
      <c r="J40" s="110" t="n"/>
      <c r="K40" s="124" t="n"/>
      <c r="L40" s="139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</row>
    <row r="41" ht="45.75" customHeight="1" s="211">
      <c r="A41" s="139" t="n"/>
      <c r="B41" s="103" t="inlineStr">
        <is>
          <t>Hyatt House Charlotte</t>
        </is>
      </c>
      <c r="C41" s="104" t="inlineStr">
        <is>
          <t>Garage</t>
        </is>
      </c>
      <c r="D41" s="105" t="inlineStr">
        <is>
          <t>435 E Trade St</t>
        </is>
      </c>
      <c r="E41" s="106" t="inlineStr">
        <is>
          <t>N/A</t>
        </is>
      </c>
      <c r="F41" s="113" t="inlineStr">
        <is>
          <t>N/A</t>
        </is>
      </c>
      <c r="G41" s="131" t="inlineStr">
        <is>
          <t>In-house</t>
        </is>
      </c>
      <c r="H41" s="139" t="n"/>
      <c r="I41" s="139" t="n"/>
      <c r="J41" s="121" t="inlineStr">
        <is>
          <t>https://www.hyatt.com/hyatt-house/en-US/cltxd-hyatt-house-charlotte-center-city/Hotel-info</t>
        </is>
      </c>
      <c r="K41" s="124" t="n"/>
      <c r="L41" s="139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</row>
    <row r="42" ht="45.75" customHeight="1" s="211">
      <c r="A42" s="139" t="n"/>
      <c r="B42" s="103" t="inlineStr">
        <is>
          <t>424 N College St</t>
        </is>
      </c>
      <c r="C42" s="104" t="inlineStr">
        <is>
          <t>Lot</t>
        </is>
      </c>
      <c r="D42" s="105" t="inlineStr">
        <is>
          <t>424 N College St</t>
        </is>
      </c>
      <c r="E42" s="106" t="n">
        <v>103</v>
      </c>
      <c r="F42" s="113" t="inlineStr">
        <is>
          <t>N/A</t>
        </is>
      </c>
      <c r="G42" s="131" t="inlineStr">
        <is>
          <t>Preferred</t>
        </is>
      </c>
      <c r="H42" s="139" t="n"/>
      <c r="I42" s="139" t="n"/>
      <c r="J42" s="121" t="inlineStr">
        <is>
          <t>https://www.preferredparking.com/dailyparking_clt/default.aspx</t>
        </is>
      </c>
      <c r="K42" s="124" t="n"/>
      <c r="L42" s="139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</row>
    <row r="43" ht="45.75" customHeight="1" s="211">
      <c r="A43" s="139" t="n"/>
      <c r="B43" s="103" t="inlineStr">
        <is>
          <t>219 E 7th St</t>
        </is>
      </c>
      <c r="C43" s="104" t="inlineStr">
        <is>
          <t>Lot</t>
        </is>
      </c>
      <c r="D43" s="105" t="inlineStr">
        <is>
          <t>219 E 7th St</t>
        </is>
      </c>
      <c r="E43" s="106" t="n">
        <v>233</v>
      </c>
      <c r="F43" s="113" t="inlineStr">
        <is>
          <t>N/A</t>
        </is>
      </c>
      <c r="G43" s="131" t="inlineStr">
        <is>
          <t>Preferred</t>
        </is>
      </c>
      <c r="H43" s="139" t="n"/>
      <c r="I43" s="139" t="n"/>
      <c r="J43" s="121" t="inlineStr">
        <is>
          <t>https://www.preferredparking.com/dailyparking_clt/default.aspx</t>
        </is>
      </c>
      <c r="K43" s="124" t="n"/>
      <c r="L43" s="139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</row>
    <row r="44" ht="45.75" customHeight="1" s="211">
      <c r="A44" s="139" t="n"/>
      <c r="B44" s="119" t="inlineStr">
        <is>
          <t>Truist Center</t>
        </is>
      </c>
      <c r="C44" s="104" t="inlineStr">
        <is>
          <t>Covered</t>
        </is>
      </c>
      <c r="D44" s="105" t="inlineStr">
        <is>
          <t>214 N Tryon St</t>
        </is>
      </c>
      <c r="E44" s="106" t="n">
        <v>1400</v>
      </c>
      <c r="F44" s="113" t="inlineStr">
        <is>
          <t>N/A</t>
        </is>
      </c>
      <c r="G44" s="131" t="inlineStr">
        <is>
          <t>Preferred</t>
        </is>
      </c>
      <c r="H44" s="139" t="n"/>
      <c r="I44" s="139" t="n"/>
      <c r="J44" s="121" t="inlineStr">
        <is>
          <t>https://www.preferredparking.com/dailyparking_clt/default.aspx</t>
        </is>
      </c>
      <c r="K44" s="124" t="n"/>
      <c r="L44" s="139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</row>
    <row r="45" ht="45.75" customHeight="1" s="211">
      <c r="A45" s="139" t="n"/>
      <c r="B45" s="103" t="inlineStr">
        <is>
          <t>Seventh Street Station</t>
        </is>
      </c>
      <c r="C45" s="104" t="inlineStr">
        <is>
          <t>Garage</t>
        </is>
      </c>
      <c r="D45" s="105" t="inlineStr">
        <is>
          <t>225 E 6th St</t>
        </is>
      </c>
      <c r="E45" s="106" t="n">
        <v>1600</v>
      </c>
      <c r="F45" s="137" t="inlineStr">
        <is>
          <t>N/A</t>
        </is>
      </c>
      <c r="G45" s="131" t="inlineStr">
        <is>
          <t>LAZ</t>
        </is>
      </c>
      <c r="H45" s="139" t="n"/>
      <c r="I45" s="130" t="inlineStr">
        <is>
          <t>(704)-344-8446</t>
        </is>
      </c>
      <c r="J45" s="131" t="n"/>
      <c r="K45" s="124" t="n"/>
      <c r="L45" s="139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</row>
    <row r="46" ht="45.75" customHeight="1" s="211">
      <c r="A46" s="139" t="n"/>
      <c r="B46" s="103" t="inlineStr">
        <is>
          <t>ImaginOn: The Joe &amp; Joan Martin Center</t>
        </is>
      </c>
      <c r="C46" s="104" t="inlineStr">
        <is>
          <t>Underground</t>
        </is>
      </c>
      <c r="D46" s="105" t="inlineStr">
        <is>
          <t>311 E 6th St</t>
        </is>
      </c>
      <c r="E46" s="106" t="inlineStr">
        <is>
          <t>N/A</t>
        </is>
      </c>
      <c r="F46" s="113" t="inlineStr">
        <is>
          <t>N/A</t>
        </is>
      </c>
      <c r="G46" s="131" t="inlineStr">
        <is>
          <t>Preferred</t>
        </is>
      </c>
      <c r="H46" s="139" t="n"/>
      <c r="I46" s="144" t="n"/>
      <c r="J46" s="121" t="inlineStr">
        <is>
          <t>https://www.preferredparking.com/dailyparking_clt/default.aspx</t>
        </is>
      </c>
      <c r="K46" s="145" t="inlineStr">
        <is>
          <t>Refer to parkopedia page: too much info</t>
        </is>
      </c>
      <c r="L46" s="139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</row>
    <row r="47" ht="45.75" customHeight="1" s="211">
      <c r="A47" s="139" t="n"/>
      <c r="B47" s="119" t="inlineStr">
        <is>
          <t>City Center Green</t>
        </is>
      </c>
      <c r="C47" s="104" t="inlineStr">
        <is>
          <t>Garage</t>
        </is>
      </c>
      <c r="D47" s="105" t="inlineStr">
        <is>
          <t>350 E 6th St</t>
        </is>
      </c>
      <c r="E47" s="106" t="n">
        <v>1380</v>
      </c>
      <c r="F47" s="113" t="n">
        <v>120</v>
      </c>
      <c r="G47" s="131" t="inlineStr">
        <is>
          <t>City Center Green LLC</t>
        </is>
      </c>
      <c r="H47" s="139" t="n"/>
      <c r="I47" s="146" t="inlineStr">
        <is>
          <t>(704) 716-9876</t>
        </is>
      </c>
      <c r="J47" s="147" t="n"/>
      <c r="K47" s="124" t="n"/>
      <c r="L47" s="139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</row>
    <row r="48" ht="45.75" customHeight="1" s="211">
      <c r="A48" s="139" t="n"/>
      <c r="B48" s="103" t="inlineStr">
        <is>
          <t>418 E 6th St</t>
        </is>
      </c>
      <c r="C48" s="104" t="inlineStr">
        <is>
          <t>Lot</t>
        </is>
      </c>
      <c r="D48" s="105" t="inlineStr">
        <is>
          <t>418 E 6th St</t>
        </is>
      </c>
      <c r="E48" s="106" t="n">
        <v>84</v>
      </c>
      <c r="F48" s="113" t="inlineStr">
        <is>
          <t>N/A</t>
        </is>
      </c>
      <c r="G48" s="131" t="inlineStr">
        <is>
          <t>Southland Parking</t>
        </is>
      </c>
      <c r="H48" s="139" t="n"/>
      <c r="I48" s="109" t="inlineStr">
        <is>
          <t>(704)-451-7846</t>
        </is>
      </c>
      <c r="J48" s="110" t="n"/>
      <c r="K48" s="124" t="n"/>
      <c r="L48" s="139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</row>
    <row r="49" ht="45.75" customHeight="1" s="211">
      <c r="A49" s="139" t="n"/>
      <c r="B49" s="103" t="inlineStr">
        <is>
          <t>SpringHill Suites Charlotte City Center</t>
        </is>
      </c>
      <c r="C49" s="104" t="inlineStr">
        <is>
          <t>Garage</t>
        </is>
      </c>
      <c r="D49" s="105" t="inlineStr">
        <is>
          <t>311 E 5th St</t>
        </is>
      </c>
      <c r="E49" s="106" t="n">
        <v>1380</v>
      </c>
      <c r="F49" s="137" t="inlineStr">
        <is>
          <t>N/A</t>
        </is>
      </c>
      <c r="G49" s="131" t="inlineStr">
        <is>
          <t>Parking Management</t>
        </is>
      </c>
      <c r="H49" s="139" t="n"/>
      <c r="I49" s="109" t="inlineStr">
        <is>
          <t>(704)-439-8100</t>
        </is>
      </c>
      <c r="J49" s="110" t="n"/>
      <c r="K49" s="111" t="inlineStr">
        <is>
          <t>Valet &amp; Customer Only</t>
        </is>
      </c>
      <c r="L49" s="139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</row>
    <row r="50" ht="45.75" customHeight="1" s="211">
      <c r="A50" s="139" t="n"/>
      <c r="B50" s="119" t="inlineStr">
        <is>
          <t>Wake Forest University Charlotte Center Garage</t>
        </is>
      </c>
      <c r="C50" s="104" t="inlineStr">
        <is>
          <t>Garage</t>
        </is>
      </c>
      <c r="D50" s="105" t="inlineStr">
        <is>
          <t>209 E 5th St</t>
        </is>
      </c>
      <c r="E50" s="106" t="n">
        <v>801</v>
      </c>
      <c r="F50" s="113" t="n">
        <v>170</v>
      </c>
      <c r="G50" s="131" t="inlineStr">
        <is>
          <t>Preferred</t>
        </is>
      </c>
      <c r="H50" s="139" t="n"/>
      <c r="I50" s="139" t="n"/>
      <c r="J50" s="121" t="inlineStr">
        <is>
          <t>https://www.preferredparking.com/dailyparking_clt/default.aspx</t>
        </is>
      </c>
      <c r="K50" s="124" t="n"/>
      <c r="L50" s="139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</row>
    <row r="51" ht="45.75" customHeight="1" s="211">
      <c r="A51" s="139" t="n"/>
      <c r="B51" s="119" t="inlineStr">
        <is>
          <t>Design Center Garage</t>
        </is>
      </c>
      <c r="C51" s="104" t="inlineStr">
        <is>
          <t>Garage</t>
        </is>
      </c>
      <c r="D51" s="105" t="inlineStr">
        <is>
          <t>240 Hawkins St. South End</t>
        </is>
      </c>
      <c r="E51" s="148" t="n"/>
      <c r="F51" s="139" t="n"/>
      <c r="G51" s="55" t="n"/>
      <c r="H51" s="139" t="n"/>
      <c r="I51" s="139" t="n"/>
      <c r="J51" s="139" t="n"/>
      <c r="K51" s="139" t="n"/>
      <c r="L51" s="139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</row>
    <row r="52" ht="45.75" customHeight="1" s="211">
      <c r="A52" s="139" t="n"/>
      <c r="B52" s="119" t="inlineStr">
        <is>
          <t>300 South Brevard Garage</t>
        </is>
      </c>
      <c r="C52" s="104" t="inlineStr">
        <is>
          <t>Garage</t>
        </is>
      </c>
      <c r="D52" s="105" t="inlineStr">
        <is>
          <t>300 S. Brevard St</t>
        </is>
      </c>
      <c r="E52" s="148" t="n"/>
      <c r="F52" s="139" t="n"/>
      <c r="G52" s="55" t="n"/>
      <c r="H52" s="139" t="n"/>
      <c r="I52" s="139" t="n"/>
      <c r="J52" s="139" t="n"/>
      <c r="K52" s="139" t="n"/>
      <c r="L52" s="139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</row>
    <row r="53" ht="45.75" customHeight="1" s="211">
      <c r="A53" s="139" t="n"/>
      <c r="B53" s="103" t="inlineStr">
        <is>
          <t>Hyatt place Garage</t>
        </is>
      </c>
      <c r="C53" s="104" t="inlineStr">
        <is>
          <t>Garage</t>
        </is>
      </c>
      <c r="D53" s="105" t="inlineStr">
        <is>
          <t>222 S Caldwell st</t>
        </is>
      </c>
      <c r="E53" s="106" t="inlineStr">
        <is>
          <t>N/A</t>
        </is>
      </c>
      <c r="F53" s="139" t="n"/>
      <c r="G53" s="55" t="n"/>
      <c r="H53" s="139" t="n"/>
      <c r="I53" s="139" t="n"/>
      <c r="J53" s="139" t="n"/>
      <c r="K53" s="139" t="n"/>
      <c r="L53" s="139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</row>
    <row r="54" ht="45.75" customHeight="1" s="211">
      <c r="A54" s="139" t="n"/>
      <c r="B54" s="103" t="inlineStr">
        <is>
          <t>JW Marriott's Garage</t>
        </is>
      </c>
      <c r="C54" s="104" t="inlineStr">
        <is>
          <t>garage</t>
        </is>
      </c>
      <c r="D54" s="149" t="inlineStr">
        <is>
          <t>122 E Brooklyn Village</t>
        </is>
      </c>
      <c r="E54" s="148" t="n"/>
      <c r="F54" s="139" t="n"/>
      <c r="G54" s="55" t="n"/>
      <c r="H54" s="139" t="n"/>
      <c r="I54" s="139" t="n"/>
      <c r="J54" s="139" t="n"/>
      <c r="K54" s="139" t="n"/>
      <c r="L54" s="139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</row>
    <row r="55" ht="45.75" customHeight="1" s="211">
      <c r="A55" s="139" t="n"/>
      <c r="B55" s="103" t="inlineStr">
        <is>
          <t>Element/Home2 garage</t>
        </is>
      </c>
      <c r="C55" s="104" t="inlineStr">
        <is>
          <t>Garage</t>
        </is>
      </c>
      <c r="D55" s="105" t="inlineStr">
        <is>
          <t>400 E Brooklyn Village</t>
        </is>
      </c>
      <c r="E55" s="106" t="inlineStr">
        <is>
          <t>n/a</t>
        </is>
      </c>
      <c r="F55" s="139" t="n"/>
      <c r="G55" s="55" t="n"/>
      <c r="H55" s="139" t="n"/>
      <c r="I55" s="139" t="n"/>
      <c r="J55" s="139" t="n"/>
      <c r="K55" s="139" t="n"/>
      <c r="L55" s="139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</row>
    <row r="56" ht="45.75" customHeight="1" s="211">
      <c r="A56" s="139" t="n"/>
      <c r="B56" s="103" t="inlineStr">
        <is>
          <t>Sheraton Garage</t>
        </is>
      </c>
      <c r="C56" s="104" t="inlineStr">
        <is>
          <t>Garage</t>
        </is>
      </c>
      <c r="D56" s="149" t="inlineStr">
        <is>
          <t>555 S McDowell St</t>
        </is>
      </c>
      <c r="E56" s="106" t="n">
        <v>1390</v>
      </c>
      <c r="F56" s="139" t="n"/>
      <c r="G56" s="55" t="n"/>
      <c r="H56" s="139" t="n"/>
      <c r="I56" s="139" t="n"/>
      <c r="J56" s="139" t="n"/>
      <c r="K56" s="139" t="n"/>
      <c r="L56" s="139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</row>
    <row r="57" ht="45.75" customHeight="1" s="211">
      <c r="A57" s="139" t="n"/>
      <c r="B57" s="103" t="inlineStr">
        <is>
          <t>City Center Green</t>
        </is>
      </c>
      <c r="C57" s="104" t="inlineStr">
        <is>
          <t>Garage</t>
        </is>
      </c>
      <c r="D57" s="150" t="inlineStr">
        <is>
          <t>316 E 6th St</t>
        </is>
      </c>
      <c r="E57" s="106" t="n">
        <v>1380</v>
      </c>
      <c r="F57" s="139" t="n"/>
      <c r="G57" s="55" t="n"/>
      <c r="H57" s="139" t="n"/>
      <c r="I57" s="139" t="n"/>
      <c r="J57" s="139" t="n"/>
      <c r="K57" s="139" t="n"/>
      <c r="L57" s="139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</row>
    <row r="58" ht="45.75" customHeight="1" s="211">
      <c r="A58" s="139" t="n"/>
      <c r="B58" s="103" t="inlineStr">
        <is>
          <t>Harvey B Gantt center</t>
        </is>
      </c>
      <c r="C58" s="104" t="inlineStr">
        <is>
          <t>Garage</t>
        </is>
      </c>
      <c r="D58" s="149" t="inlineStr">
        <is>
          <t>615 S College</t>
        </is>
      </c>
      <c r="E58" s="148" t="n"/>
      <c r="F58" s="139" t="n"/>
      <c r="G58" s="55" t="n"/>
      <c r="H58" s="139" t="n"/>
      <c r="I58" s="139" t="n"/>
      <c r="J58" s="139" t="n"/>
      <c r="K58" s="139" t="n"/>
      <c r="L58" s="139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</row>
    <row r="59" ht="45.75" customHeight="1" s="211">
      <c r="A59" s="139" t="n"/>
      <c r="B59" s="151" t="n"/>
      <c r="C59" s="152" t="n"/>
      <c r="D59" s="153" t="n"/>
      <c r="E59" s="139" t="n"/>
      <c r="F59" s="139" t="n"/>
      <c r="G59" s="55" t="n"/>
      <c r="H59" s="139" t="n"/>
      <c r="I59" s="139" t="n"/>
      <c r="J59" s="139" t="n"/>
      <c r="K59" s="139" t="n"/>
      <c r="L59" s="139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</row>
    <row r="60" ht="45.75" customHeight="1" s="211">
      <c r="A60" s="139" t="n"/>
      <c r="B60" s="156" t="n"/>
      <c r="C60" s="152" t="n"/>
      <c r="D60" s="155" t="n"/>
      <c r="E60" s="139" t="n"/>
      <c r="F60" s="139" t="n"/>
      <c r="G60" s="55" t="n"/>
      <c r="H60" s="139" t="n"/>
      <c r="I60" s="139" t="n"/>
      <c r="J60" s="139" t="n"/>
      <c r="K60" s="139" t="n"/>
      <c r="L60" s="139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</row>
    <row r="61" ht="45.75" customHeight="1" s="211">
      <c r="A61" s="139" t="n"/>
      <c r="B61" s="156" t="n"/>
      <c r="C61" s="152" t="n"/>
      <c r="D61" s="73" t="n"/>
      <c r="E61" s="139" t="n"/>
      <c r="F61" s="139" t="n"/>
      <c r="G61" s="55" t="n"/>
      <c r="H61" s="139" t="n"/>
      <c r="I61" s="139" t="n"/>
      <c r="J61" s="139" t="n"/>
      <c r="K61" s="139" t="n"/>
      <c r="L61" s="139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</row>
    <row r="62" ht="45.75" customHeight="1" s="211">
      <c r="A62" s="139" t="n"/>
      <c r="B62" s="157" t="n"/>
      <c r="C62" s="139" t="n"/>
      <c r="D62" s="139" t="n"/>
      <c r="E62" s="139" t="n"/>
      <c r="F62" s="139" t="n"/>
      <c r="G62" s="55" t="n"/>
      <c r="H62" s="139" t="n"/>
      <c r="I62" s="139" t="n"/>
      <c r="J62" s="139" t="n"/>
      <c r="K62" s="139" t="n"/>
      <c r="L62" s="139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</row>
    <row r="63" ht="45.75" customHeight="1" s="211">
      <c r="A63" s="139" t="n"/>
      <c r="B63" s="157" t="n"/>
      <c r="C63" s="139" t="n"/>
      <c r="D63" s="139" t="n"/>
      <c r="E63" s="139" t="n"/>
      <c r="F63" s="139" t="n"/>
      <c r="G63" s="55" t="n"/>
      <c r="H63" s="139" t="n"/>
      <c r="I63" s="139" t="n"/>
      <c r="J63" s="139" t="n"/>
      <c r="K63" s="139" t="n"/>
      <c r="L63" s="139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</row>
    <row r="64" ht="45.75" customHeight="1" s="211">
      <c r="A64" s="139" t="n"/>
      <c r="B64" s="157" t="n"/>
      <c r="C64" s="139" t="n"/>
      <c r="D64" s="139" t="n"/>
      <c r="E64" s="139" t="n"/>
      <c r="F64" s="139" t="n"/>
      <c r="G64" s="55" t="n"/>
      <c r="H64" s="139" t="n"/>
      <c r="I64" s="139" t="n"/>
      <c r="J64" s="139" t="n"/>
      <c r="K64" s="139" t="n"/>
      <c r="L64" s="139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</row>
    <row r="65" ht="45.75" customHeight="1" s="211">
      <c r="A65" s="139" t="n"/>
      <c r="B65" s="157" t="n"/>
      <c r="C65" s="139" t="n"/>
      <c r="D65" s="139" t="n"/>
      <c r="E65" s="139" t="n"/>
      <c r="F65" s="139" t="n"/>
      <c r="G65" s="55" t="n"/>
      <c r="H65" s="139" t="n"/>
      <c r="I65" s="139" t="n"/>
      <c r="J65" s="139" t="n"/>
      <c r="K65" s="139" t="n"/>
      <c r="L65" s="139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</row>
    <row r="66" ht="45.75" customHeight="1" s="211">
      <c r="A66" s="139" t="n"/>
      <c r="B66" s="158" t="n"/>
      <c r="C66" s="139" t="n"/>
      <c r="D66" s="159" t="n"/>
      <c r="E66" s="139" t="n"/>
      <c r="F66" s="139" t="n"/>
      <c r="G66" s="55" t="n"/>
      <c r="H66" s="139" t="n"/>
      <c r="I66" s="139" t="n"/>
      <c r="J66" s="139" t="n"/>
      <c r="K66" s="139" t="n"/>
      <c r="L66" s="139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</row>
    <row r="67" ht="45.75" customHeight="1" s="211">
      <c r="A67" s="139" t="n"/>
      <c r="B67" s="158" t="n"/>
      <c r="C67" s="139" t="n"/>
      <c r="D67" s="148" t="n"/>
      <c r="E67" s="139" t="n"/>
      <c r="F67" s="139" t="n"/>
      <c r="G67" s="55" t="n"/>
      <c r="H67" s="139" t="n"/>
      <c r="I67" s="139" t="n"/>
      <c r="J67" s="139" t="n"/>
      <c r="K67" s="139" t="n"/>
      <c r="L67" s="139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</row>
    <row r="68" ht="45.75" customHeight="1" s="211">
      <c r="A68" s="139" t="n"/>
      <c r="B68" s="158" t="n"/>
      <c r="C68" s="139" t="n"/>
      <c r="D68" s="160" t="n"/>
      <c r="E68" s="139" t="n"/>
      <c r="F68" s="139" t="n"/>
      <c r="G68" s="55" t="n"/>
      <c r="H68" s="139" t="n"/>
      <c r="I68" s="139" t="n"/>
      <c r="J68" s="139" t="n"/>
      <c r="K68" s="139" t="n"/>
      <c r="L68" s="139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</row>
    <row r="69" ht="45.75" customHeight="1" s="211">
      <c r="A69" s="139" t="n"/>
      <c r="B69" s="158" t="n"/>
      <c r="C69" s="139" t="n"/>
      <c r="D69" s="158" t="n"/>
      <c r="E69" s="139" t="n"/>
      <c r="F69" s="139" t="n"/>
      <c r="G69" s="55" t="n"/>
      <c r="H69" s="139" t="n"/>
      <c r="I69" s="139" t="n"/>
      <c r="J69" s="139" t="n"/>
      <c r="K69" s="139" t="n"/>
      <c r="L69" s="139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</row>
    <row r="70" ht="45.75" customHeight="1" s="211">
      <c r="A70" s="139" t="n"/>
      <c r="B70" s="158" t="n"/>
      <c r="C70" s="139" t="n"/>
      <c r="D70" s="161" t="n"/>
      <c r="E70" s="139" t="n"/>
      <c r="F70" s="139" t="n"/>
      <c r="G70" s="55" t="n"/>
      <c r="H70" s="139" t="n"/>
      <c r="I70" s="139" t="n"/>
      <c r="J70" s="139" t="n"/>
      <c r="K70" s="139" t="n"/>
      <c r="L70" s="139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</row>
    <row r="71" ht="45.75" customHeight="1" s="211">
      <c r="A71" s="139" t="n"/>
      <c r="B71" s="158" t="n"/>
      <c r="C71" s="139" t="n"/>
      <c r="D71" s="160" t="n"/>
      <c r="E71" s="139" t="n"/>
      <c r="F71" s="139" t="n"/>
      <c r="G71" s="55" t="n"/>
      <c r="H71" s="139" t="n"/>
      <c r="I71" s="139" t="n"/>
      <c r="J71" s="139" t="n"/>
      <c r="K71" s="139" t="n"/>
      <c r="L71" s="139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</row>
    <row r="72" ht="45.75" customHeight="1" s="211">
      <c r="A72" s="139" t="n"/>
      <c r="B72" s="158" t="n"/>
      <c r="C72" s="139" t="n"/>
      <c r="D72" s="160" t="n"/>
      <c r="E72" s="139" t="n"/>
      <c r="F72" s="139" t="n"/>
      <c r="G72" s="55" t="n"/>
      <c r="H72" s="139" t="n"/>
      <c r="I72" s="139" t="n"/>
      <c r="J72" s="139" t="n"/>
      <c r="K72" s="139" t="n"/>
      <c r="L72" s="139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</row>
    <row r="73" ht="45.75" customHeight="1" s="211">
      <c r="A73" s="139" t="n"/>
      <c r="B73" s="139" t="n"/>
      <c r="C73" s="139" t="n"/>
      <c r="D73" s="139" t="n"/>
      <c r="E73" s="139" t="n"/>
      <c r="F73" s="139" t="n"/>
      <c r="G73" s="55" t="n"/>
      <c r="H73" s="139" t="n"/>
      <c r="I73" s="139" t="n"/>
      <c r="J73" s="139" t="n"/>
      <c r="K73" s="139" t="n"/>
      <c r="L73" s="139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</row>
    <row r="74" ht="45.75" customHeight="1" s="211">
      <c r="A74" s="139" t="n"/>
      <c r="B74" s="139" t="n"/>
      <c r="C74" s="139" t="n"/>
      <c r="D74" s="139" t="n"/>
      <c r="E74" s="139" t="n"/>
      <c r="F74" s="139" t="n"/>
      <c r="G74" s="55" t="n"/>
      <c r="H74" s="139" t="n"/>
      <c r="I74" s="139" t="n"/>
      <c r="J74" s="139" t="n"/>
      <c r="K74" s="139" t="n"/>
      <c r="L74" s="139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</row>
    <row r="75" ht="45.75" customHeight="1" s="211">
      <c r="A75" s="139" t="n"/>
      <c r="B75" s="139" t="n"/>
      <c r="C75" s="139" t="n"/>
      <c r="D75" s="139" t="n"/>
      <c r="E75" s="139" t="n"/>
      <c r="F75" s="139" t="n"/>
      <c r="G75" s="55" t="n"/>
      <c r="H75" s="139" t="n"/>
      <c r="I75" s="139" t="n"/>
      <c r="J75" s="139" t="n"/>
      <c r="K75" s="139" t="n"/>
      <c r="L75" s="139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</row>
    <row r="76" ht="45.75" customHeight="1" s="211">
      <c r="A76" s="139" t="n"/>
      <c r="B76" s="139" t="n"/>
      <c r="C76" s="139" t="n"/>
      <c r="D76" s="139" t="n"/>
      <c r="E76" s="139" t="n"/>
      <c r="F76" s="139" t="n"/>
      <c r="G76" s="55" t="n"/>
      <c r="H76" s="139" t="n"/>
      <c r="I76" s="139" t="n"/>
      <c r="J76" s="139" t="n"/>
      <c r="K76" s="139" t="n"/>
      <c r="L76" s="139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</row>
    <row r="77" ht="45.75" customHeight="1" s="211">
      <c r="A77" s="139" t="n"/>
      <c r="B77" s="139" t="n"/>
      <c r="C77" s="139" t="n"/>
      <c r="D77" s="139" t="n"/>
      <c r="E77" s="139" t="n"/>
      <c r="F77" s="139" t="n"/>
      <c r="G77" s="55" t="n"/>
      <c r="H77" s="139" t="n"/>
      <c r="I77" s="139" t="n"/>
      <c r="J77" s="139" t="n"/>
      <c r="K77" s="139" t="n"/>
      <c r="L77" s="139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</row>
    <row r="78" ht="45.75" customHeight="1" s="211">
      <c r="A78" s="139" t="n"/>
      <c r="B78" s="139" t="n"/>
      <c r="C78" s="139" t="n"/>
      <c r="D78" s="139" t="n"/>
      <c r="E78" s="139" t="n"/>
      <c r="F78" s="139" t="n"/>
      <c r="G78" s="55" t="n"/>
      <c r="H78" s="139" t="n"/>
      <c r="I78" s="139" t="n"/>
      <c r="J78" s="139" t="n"/>
      <c r="K78" s="139" t="n"/>
      <c r="L78" s="139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</row>
    <row r="79" ht="45.75" customHeight="1" s="211">
      <c r="A79" s="139" t="n"/>
      <c r="B79" s="139" t="n"/>
      <c r="C79" s="139" t="n"/>
      <c r="D79" s="139" t="n"/>
      <c r="E79" s="139" t="n"/>
      <c r="F79" s="139" t="n"/>
      <c r="G79" s="55" t="n"/>
      <c r="H79" s="139" t="n"/>
      <c r="I79" s="139" t="n"/>
      <c r="J79" s="139" t="n"/>
      <c r="K79" s="139" t="n"/>
      <c r="L79" s="139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</row>
    <row r="80" ht="45.75" customHeight="1" s="211">
      <c r="A80" s="139" t="n"/>
      <c r="B80" s="139" t="n"/>
      <c r="C80" s="139" t="n"/>
      <c r="D80" s="139" t="n"/>
      <c r="E80" s="139" t="n"/>
      <c r="F80" s="139" t="n"/>
      <c r="G80" s="55" t="n"/>
      <c r="H80" s="139" t="n"/>
      <c r="I80" s="139" t="n"/>
      <c r="J80" s="139" t="n"/>
      <c r="K80" s="139" t="n"/>
      <c r="L80" s="139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</row>
    <row r="81" ht="45.75" customHeight="1" s="211">
      <c r="A81" s="139" t="n"/>
      <c r="B81" s="139" t="n"/>
      <c r="C81" s="139" t="n"/>
      <c r="D81" s="139" t="n"/>
      <c r="E81" s="139" t="n"/>
      <c r="F81" s="139" t="n"/>
      <c r="G81" s="55" t="n"/>
      <c r="H81" s="139" t="n"/>
      <c r="I81" s="139" t="n"/>
      <c r="J81" s="139" t="n"/>
      <c r="K81" s="139" t="n"/>
      <c r="L81" s="139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</row>
    <row r="82" ht="45.75" customHeight="1" s="211">
      <c r="A82" s="139" t="n"/>
      <c r="B82" s="139" t="n"/>
      <c r="C82" s="139" t="n"/>
      <c r="D82" s="139" t="n"/>
      <c r="E82" s="139" t="n"/>
      <c r="F82" s="139" t="n"/>
      <c r="G82" s="55" t="n"/>
      <c r="H82" s="139" t="n"/>
      <c r="I82" s="139" t="n"/>
      <c r="J82" s="139" t="n"/>
      <c r="K82" s="139" t="n"/>
      <c r="L82" s="139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</row>
    <row r="83" ht="45.75" customHeight="1" s="211">
      <c r="A83" s="139" t="n"/>
      <c r="B83" s="139" t="n"/>
      <c r="C83" s="139" t="n"/>
      <c r="D83" s="139" t="n"/>
      <c r="E83" s="139" t="n"/>
      <c r="F83" s="139" t="n"/>
      <c r="G83" s="55" t="n"/>
      <c r="H83" s="139" t="n"/>
      <c r="I83" s="139" t="n"/>
      <c r="J83" s="139" t="n"/>
      <c r="K83" s="139" t="n"/>
      <c r="L83" s="139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</row>
    <row r="84" ht="45.75" customHeight="1" s="211">
      <c r="A84" s="139" t="n"/>
      <c r="B84" s="139" t="n"/>
      <c r="C84" s="139" t="n"/>
      <c r="D84" s="139" t="n"/>
      <c r="E84" s="139" t="n"/>
      <c r="F84" s="139" t="n"/>
      <c r="G84" s="55" t="n"/>
      <c r="H84" s="139" t="n"/>
      <c r="I84" s="139" t="n"/>
      <c r="J84" s="139" t="n"/>
      <c r="K84" s="139" t="n"/>
      <c r="L84" s="139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</row>
    <row r="85" ht="45.75" customHeight="1" s="211">
      <c r="A85" s="139" t="n"/>
      <c r="B85" s="139" t="n"/>
      <c r="C85" s="139" t="n"/>
      <c r="D85" s="139" t="n"/>
      <c r="E85" s="139" t="n"/>
      <c r="F85" s="139" t="n"/>
      <c r="G85" s="55" t="n"/>
      <c r="H85" s="139" t="n"/>
      <c r="I85" s="139" t="n"/>
      <c r="J85" s="139" t="n"/>
      <c r="K85" s="139" t="n"/>
      <c r="L85" s="139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</row>
    <row r="86" ht="45.75" customHeight="1" s="211">
      <c r="A86" s="139" t="n"/>
      <c r="B86" s="139" t="n"/>
      <c r="C86" s="139" t="n"/>
      <c r="D86" s="139" t="n"/>
      <c r="E86" s="139" t="n"/>
      <c r="F86" s="139" t="n"/>
      <c r="G86" s="55" t="n"/>
      <c r="H86" s="139" t="n"/>
      <c r="I86" s="139" t="n"/>
      <c r="J86" s="139" t="n"/>
      <c r="K86" s="139" t="n"/>
      <c r="L86" s="139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</row>
    <row r="87" ht="45.75" customHeight="1" s="211">
      <c r="A87" s="139" t="n"/>
      <c r="B87" s="139" t="n"/>
      <c r="C87" s="139" t="n"/>
      <c r="D87" s="139" t="n"/>
      <c r="E87" s="139" t="n"/>
      <c r="F87" s="139" t="n"/>
      <c r="G87" s="55" t="n"/>
      <c r="H87" s="139" t="n"/>
      <c r="I87" s="139" t="n"/>
      <c r="J87" s="139" t="n"/>
      <c r="K87" s="139" t="n"/>
      <c r="L87" s="139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</row>
    <row r="88" ht="45.75" customHeight="1" s="211">
      <c r="A88" s="139" t="n"/>
      <c r="B88" s="139" t="n"/>
      <c r="C88" s="139" t="n"/>
      <c r="D88" s="139" t="n"/>
      <c r="E88" s="139" t="n"/>
      <c r="F88" s="139" t="n"/>
      <c r="G88" s="55" t="n"/>
      <c r="H88" s="139" t="n"/>
      <c r="I88" s="139" t="n"/>
      <c r="J88" s="139" t="n"/>
      <c r="K88" s="139" t="n"/>
      <c r="L88" s="139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</row>
    <row r="89" ht="45.75" customHeight="1" s="211">
      <c r="A89" s="139" t="n"/>
      <c r="B89" s="139" t="n"/>
      <c r="C89" s="139" t="n"/>
      <c r="D89" s="139" t="n"/>
      <c r="E89" s="139" t="n"/>
      <c r="F89" s="139" t="n"/>
      <c r="G89" s="55" t="n"/>
      <c r="H89" s="139" t="n"/>
      <c r="I89" s="139" t="n"/>
      <c r="J89" s="139" t="n"/>
      <c r="K89" s="139" t="n"/>
      <c r="L89" s="139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</row>
    <row r="90" ht="45.75" customHeight="1" s="211">
      <c r="A90" s="139" t="n"/>
      <c r="B90" s="139" t="n"/>
      <c r="C90" s="139" t="n"/>
      <c r="D90" s="139" t="n"/>
      <c r="E90" s="139" t="n"/>
      <c r="F90" s="139" t="n"/>
      <c r="G90" s="55" t="n"/>
      <c r="H90" s="139" t="n"/>
      <c r="I90" s="139" t="n"/>
      <c r="J90" s="139" t="n"/>
      <c r="K90" s="139" t="n"/>
      <c r="L90" s="139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</row>
    <row r="91" ht="45.75" customHeight="1" s="211">
      <c r="A91" s="139" t="n"/>
      <c r="B91" s="139" t="n"/>
      <c r="C91" s="139" t="n"/>
      <c r="D91" s="139" t="n"/>
      <c r="E91" s="139" t="n"/>
      <c r="F91" s="139" t="n"/>
      <c r="G91" s="55" t="n"/>
      <c r="H91" s="139" t="n"/>
      <c r="I91" s="139" t="n"/>
      <c r="J91" s="139" t="n"/>
      <c r="K91" s="139" t="n"/>
      <c r="L91" s="139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</row>
    <row r="92" ht="45.75" customHeight="1" s="211">
      <c r="A92" s="139" t="n"/>
      <c r="B92" s="139" t="n"/>
      <c r="C92" s="139" t="n"/>
      <c r="D92" s="139" t="n"/>
      <c r="E92" s="139" t="n"/>
      <c r="F92" s="139" t="n"/>
      <c r="G92" s="55" t="n"/>
      <c r="H92" s="139" t="n"/>
      <c r="I92" s="139" t="n"/>
      <c r="J92" s="139" t="n"/>
      <c r="K92" s="139" t="n"/>
      <c r="L92" s="139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</row>
    <row r="93" ht="45.75" customHeight="1" s="211">
      <c r="A93" s="139" t="n"/>
      <c r="B93" s="139" t="n"/>
      <c r="C93" s="139" t="n"/>
      <c r="D93" s="139" t="n"/>
      <c r="E93" s="139" t="n"/>
      <c r="F93" s="139" t="n"/>
      <c r="G93" s="55" t="n"/>
      <c r="H93" s="139" t="n"/>
      <c r="I93" s="139" t="n"/>
      <c r="J93" s="139" t="n"/>
      <c r="K93" s="139" t="n"/>
      <c r="L93" s="139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</row>
    <row r="94" ht="45.75" customHeight="1" s="211">
      <c r="A94" s="139" t="n"/>
      <c r="B94" s="139" t="n"/>
      <c r="C94" s="139" t="n"/>
      <c r="D94" s="139" t="n"/>
      <c r="E94" s="139" t="n"/>
      <c r="F94" s="139" t="n"/>
      <c r="G94" s="55" t="n"/>
      <c r="H94" s="139" t="n"/>
      <c r="I94" s="139" t="n"/>
      <c r="J94" s="139" t="n"/>
      <c r="K94" s="139" t="n"/>
      <c r="L94" s="139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</row>
    <row r="95" ht="45.75" customHeight="1" s="211">
      <c r="A95" s="139" t="n"/>
      <c r="B95" s="139" t="n"/>
      <c r="C95" s="139" t="n"/>
      <c r="D95" s="139" t="n"/>
      <c r="E95" s="139" t="n"/>
      <c r="F95" s="139" t="n"/>
      <c r="G95" s="55" t="n"/>
      <c r="H95" s="139" t="n"/>
      <c r="I95" s="139" t="n"/>
      <c r="J95" s="139" t="n"/>
      <c r="K95" s="139" t="n"/>
      <c r="L95" s="139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</row>
    <row r="96" ht="45.75" customHeight="1" s="211">
      <c r="A96" s="139" t="n"/>
      <c r="B96" s="139" t="n"/>
      <c r="C96" s="139" t="n"/>
      <c r="D96" s="139" t="n"/>
      <c r="E96" s="139" t="n"/>
      <c r="F96" s="139" t="n"/>
      <c r="G96" s="55" t="n"/>
      <c r="H96" s="139" t="n"/>
      <c r="I96" s="139" t="n"/>
      <c r="J96" s="139" t="n"/>
      <c r="K96" s="139" t="n"/>
      <c r="L96" s="139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</row>
    <row r="97" ht="45.75" customHeight="1" s="211">
      <c r="A97" s="139" t="n"/>
      <c r="B97" s="139" t="n"/>
      <c r="C97" s="139" t="n"/>
      <c r="D97" s="139" t="n"/>
      <c r="E97" s="139" t="n"/>
      <c r="F97" s="139" t="n"/>
      <c r="G97" s="55" t="n"/>
      <c r="H97" s="139" t="n"/>
      <c r="I97" s="139" t="n"/>
      <c r="J97" s="139" t="n"/>
      <c r="K97" s="139" t="n"/>
      <c r="L97" s="139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</row>
    <row r="98" ht="45.75" customHeight="1" s="211">
      <c r="A98" s="139" t="n"/>
      <c r="B98" s="139" t="n"/>
      <c r="C98" s="139" t="n"/>
      <c r="D98" s="139" t="n"/>
      <c r="E98" s="139" t="n"/>
      <c r="F98" s="139" t="n"/>
      <c r="G98" s="55" t="n"/>
      <c r="H98" s="139" t="n"/>
      <c r="I98" s="139" t="n"/>
      <c r="J98" s="139" t="n"/>
      <c r="K98" s="139" t="n"/>
      <c r="L98" s="139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</row>
    <row r="99" ht="45.75" customHeight="1" s="211">
      <c r="A99" s="139" t="n"/>
      <c r="B99" s="139" t="n"/>
      <c r="C99" s="139" t="n"/>
      <c r="D99" s="139" t="n"/>
      <c r="E99" s="139" t="n"/>
      <c r="F99" s="139" t="n"/>
      <c r="G99" s="55" t="n"/>
      <c r="H99" s="139" t="n"/>
      <c r="I99" s="139" t="n"/>
      <c r="J99" s="139" t="n"/>
      <c r="K99" s="139" t="n"/>
      <c r="L99" s="139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</row>
    <row r="100" ht="45.75" customHeight="1" s="211">
      <c r="A100" s="139" t="n"/>
      <c r="B100" s="139" t="n"/>
      <c r="C100" s="139" t="n"/>
      <c r="D100" s="139" t="n"/>
      <c r="E100" s="139" t="n"/>
      <c r="F100" s="139" t="n"/>
      <c r="G100" s="55" t="n"/>
      <c r="H100" s="139" t="n"/>
      <c r="I100" s="139" t="n"/>
      <c r="J100" s="139" t="n"/>
      <c r="K100" s="139" t="n"/>
      <c r="L100" s="139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</row>
    <row r="101" ht="45.75" customHeight="1" s="211">
      <c r="A101" s="139" t="n"/>
      <c r="B101" s="139" t="n"/>
      <c r="C101" s="139" t="n"/>
      <c r="D101" s="139" t="n"/>
      <c r="E101" s="139" t="n"/>
      <c r="F101" s="139" t="n"/>
      <c r="G101" s="55" t="n"/>
      <c r="H101" s="139" t="n"/>
      <c r="I101" s="139" t="n"/>
      <c r="J101" s="139" t="n"/>
      <c r="K101" s="139" t="n"/>
      <c r="L101" s="139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</row>
    <row r="102" ht="45.75" customHeight="1" s="211">
      <c r="A102" s="139" t="n"/>
      <c r="B102" s="139" t="n"/>
      <c r="C102" s="139" t="n"/>
      <c r="D102" s="139" t="n"/>
      <c r="E102" s="139" t="n"/>
      <c r="F102" s="139" t="n"/>
      <c r="G102" s="55" t="n"/>
      <c r="H102" s="139" t="n"/>
      <c r="I102" s="139" t="n"/>
      <c r="J102" s="139" t="n"/>
      <c r="K102" s="139" t="n"/>
      <c r="L102" s="139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</row>
    <row r="103" ht="45.75" customHeight="1" s="211">
      <c r="A103" s="139" t="n"/>
      <c r="B103" s="139" t="n"/>
      <c r="C103" s="139" t="n"/>
      <c r="D103" s="139" t="n"/>
      <c r="E103" s="139" t="n"/>
      <c r="F103" s="139" t="n"/>
      <c r="G103" s="55" t="n"/>
      <c r="H103" s="139" t="n"/>
      <c r="I103" s="139" t="n"/>
      <c r="J103" s="139" t="n"/>
      <c r="K103" s="139" t="n"/>
      <c r="L103" s="139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</row>
    <row r="104" ht="45.75" customHeight="1" s="211">
      <c r="A104" s="139" t="n"/>
      <c r="B104" s="139" t="n"/>
      <c r="C104" s="139" t="n"/>
      <c r="D104" s="139" t="n"/>
      <c r="E104" s="139" t="n"/>
      <c r="F104" s="139" t="n"/>
      <c r="G104" s="55" t="n"/>
      <c r="H104" s="139" t="n"/>
      <c r="I104" s="139" t="n"/>
      <c r="J104" s="139" t="n"/>
      <c r="K104" s="139" t="n"/>
      <c r="L104" s="139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</row>
    <row r="105" ht="45.75" customHeight="1" s="211">
      <c r="A105" s="139" t="n"/>
      <c r="B105" s="139" t="n"/>
      <c r="C105" s="139" t="n"/>
      <c r="D105" s="139" t="n"/>
      <c r="E105" s="139" t="n"/>
      <c r="F105" s="139" t="n"/>
      <c r="G105" s="55" t="n"/>
      <c r="H105" s="139" t="n"/>
      <c r="I105" s="139" t="n"/>
      <c r="J105" s="139" t="n"/>
      <c r="K105" s="139" t="n"/>
      <c r="L105" s="139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</row>
    <row r="106" ht="45.75" customHeight="1" s="211">
      <c r="A106" s="139" t="n"/>
      <c r="B106" s="139" t="n"/>
      <c r="C106" s="139" t="n"/>
      <c r="D106" s="139" t="n"/>
      <c r="E106" s="139" t="n"/>
      <c r="F106" s="139" t="n"/>
      <c r="G106" s="55" t="n"/>
      <c r="H106" s="139" t="n"/>
      <c r="I106" s="139" t="n"/>
      <c r="J106" s="139" t="n"/>
      <c r="K106" s="139" t="n"/>
      <c r="L106" s="139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</row>
    <row r="107" ht="45.75" customHeight="1" s="211">
      <c r="A107" s="139" t="n"/>
      <c r="B107" s="139" t="n"/>
      <c r="C107" s="139" t="n"/>
      <c r="D107" s="139" t="n"/>
      <c r="E107" s="139" t="n"/>
      <c r="F107" s="139" t="n"/>
      <c r="G107" s="55" t="n"/>
      <c r="H107" s="139" t="n"/>
      <c r="I107" s="139" t="n"/>
      <c r="J107" s="139" t="n"/>
      <c r="K107" s="139" t="n"/>
      <c r="L107" s="139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</row>
    <row r="108" ht="45.75" customHeight="1" s="211">
      <c r="A108" s="139" t="n"/>
      <c r="B108" s="139" t="n"/>
      <c r="C108" s="139" t="n"/>
      <c r="D108" s="139" t="n"/>
      <c r="E108" s="139" t="n"/>
      <c r="F108" s="139" t="n"/>
      <c r="G108" s="55" t="n"/>
      <c r="H108" s="139" t="n"/>
      <c r="I108" s="139" t="n"/>
      <c r="J108" s="139" t="n"/>
      <c r="K108" s="139" t="n"/>
      <c r="L108" s="139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</row>
    <row r="109" ht="45.75" customHeight="1" s="211">
      <c r="A109" s="139" t="n"/>
      <c r="B109" s="139" t="n"/>
      <c r="C109" s="139" t="n"/>
      <c r="D109" s="139" t="n"/>
      <c r="E109" s="139" t="n"/>
      <c r="F109" s="139" t="n"/>
      <c r="G109" s="55" t="n"/>
      <c r="H109" s="139" t="n"/>
      <c r="I109" s="139" t="n"/>
      <c r="J109" s="139" t="n"/>
      <c r="K109" s="139" t="n"/>
      <c r="L109" s="139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</row>
    <row r="110" ht="45.75" customHeight="1" s="211">
      <c r="A110" s="139" t="n"/>
      <c r="B110" s="139" t="n"/>
      <c r="C110" s="139" t="n"/>
      <c r="D110" s="139" t="n"/>
      <c r="E110" s="139" t="n"/>
      <c r="F110" s="139" t="n"/>
      <c r="G110" s="55" t="n"/>
      <c r="H110" s="139" t="n"/>
      <c r="I110" s="139" t="n"/>
      <c r="J110" s="139" t="n"/>
      <c r="K110" s="139" t="n"/>
      <c r="L110" s="139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</row>
    <row r="111" ht="45.75" customHeight="1" s="211">
      <c r="A111" s="139" t="n"/>
      <c r="B111" s="139" t="n"/>
      <c r="C111" s="139" t="n"/>
      <c r="D111" s="139" t="n"/>
      <c r="E111" s="139" t="n"/>
      <c r="F111" s="139" t="n"/>
      <c r="G111" s="55" t="n"/>
      <c r="H111" s="139" t="n"/>
      <c r="I111" s="139" t="n"/>
      <c r="J111" s="139" t="n"/>
      <c r="K111" s="139" t="n"/>
      <c r="L111" s="139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</row>
    <row r="112" ht="45.75" customHeight="1" s="211">
      <c r="A112" s="139" t="n"/>
      <c r="B112" s="139" t="n"/>
      <c r="C112" s="139" t="n"/>
      <c r="D112" s="139" t="n"/>
      <c r="E112" s="139" t="n"/>
      <c r="F112" s="139" t="n"/>
      <c r="G112" s="55" t="n"/>
      <c r="H112" s="139" t="n"/>
      <c r="I112" s="139" t="n"/>
      <c r="J112" s="139" t="n"/>
      <c r="K112" s="139" t="n"/>
      <c r="L112" s="139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</row>
    <row r="113" ht="45.75" customHeight="1" s="211">
      <c r="A113" s="139" t="n"/>
      <c r="B113" s="139" t="n"/>
      <c r="C113" s="139" t="n"/>
      <c r="D113" s="139" t="n"/>
      <c r="E113" s="139" t="n"/>
      <c r="F113" s="139" t="n"/>
      <c r="G113" s="55" t="n"/>
      <c r="H113" s="139" t="n"/>
      <c r="I113" s="139" t="n"/>
      <c r="J113" s="139" t="n"/>
      <c r="K113" s="139" t="n"/>
      <c r="L113" s="139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</row>
    <row r="114" ht="45.75" customHeight="1" s="211">
      <c r="A114" s="139" t="n"/>
      <c r="B114" s="139" t="n"/>
      <c r="C114" s="139" t="n"/>
      <c r="D114" s="139" t="n"/>
      <c r="E114" s="139" t="n"/>
      <c r="F114" s="139" t="n"/>
      <c r="G114" s="55" t="n"/>
      <c r="H114" s="139" t="n"/>
      <c r="I114" s="139" t="n"/>
      <c r="J114" s="139" t="n"/>
      <c r="K114" s="139" t="n"/>
      <c r="L114" s="139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</row>
    <row r="115" ht="45.75" customHeight="1" s="211">
      <c r="A115" s="139" t="n"/>
      <c r="B115" s="139" t="n"/>
      <c r="C115" s="139" t="n"/>
      <c r="D115" s="139" t="n"/>
      <c r="E115" s="139" t="n"/>
      <c r="F115" s="139" t="n"/>
      <c r="G115" s="55" t="n"/>
      <c r="H115" s="139" t="n"/>
      <c r="I115" s="139" t="n"/>
      <c r="J115" s="139" t="n"/>
      <c r="K115" s="139" t="n"/>
      <c r="L115" s="139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</row>
    <row r="116" ht="45.75" customHeight="1" s="211">
      <c r="A116" s="139" t="n"/>
      <c r="B116" s="139" t="n"/>
      <c r="C116" s="139" t="n"/>
      <c r="D116" s="139" t="n"/>
      <c r="E116" s="139" t="n"/>
      <c r="F116" s="139" t="n"/>
      <c r="G116" s="55" t="n"/>
      <c r="H116" s="139" t="n"/>
      <c r="I116" s="139" t="n"/>
      <c r="J116" s="139" t="n"/>
      <c r="K116" s="139" t="n"/>
      <c r="L116" s="139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</row>
    <row r="117" ht="45.75" customHeight="1" s="211">
      <c r="A117" s="139" t="n"/>
      <c r="B117" s="139" t="n"/>
      <c r="C117" s="139" t="n"/>
      <c r="D117" s="139" t="n"/>
      <c r="E117" s="139" t="n"/>
      <c r="F117" s="139" t="n"/>
      <c r="G117" s="55" t="n"/>
      <c r="H117" s="139" t="n"/>
      <c r="I117" s="139" t="n"/>
      <c r="J117" s="139" t="n"/>
      <c r="K117" s="139" t="n"/>
      <c r="L117" s="139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</row>
    <row r="118" ht="45.75" customHeight="1" s="211">
      <c r="A118" s="139" t="n"/>
      <c r="B118" s="139" t="n"/>
      <c r="C118" s="139" t="n"/>
      <c r="D118" s="139" t="n"/>
      <c r="E118" s="139" t="n"/>
      <c r="F118" s="139" t="n"/>
      <c r="G118" s="55" t="n"/>
      <c r="H118" s="139" t="n"/>
      <c r="I118" s="139" t="n"/>
      <c r="J118" s="139" t="n"/>
      <c r="K118" s="139" t="n"/>
      <c r="L118" s="139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</row>
    <row r="119" ht="45.75" customHeight="1" s="211">
      <c r="A119" s="139" t="n"/>
      <c r="B119" s="139" t="n"/>
      <c r="C119" s="139" t="n"/>
      <c r="D119" s="139" t="n"/>
      <c r="E119" s="139" t="n"/>
      <c r="F119" s="139" t="n"/>
      <c r="G119" s="55" t="n"/>
      <c r="H119" s="139" t="n"/>
      <c r="I119" s="139" t="n"/>
      <c r="J119" s="139" t="n"/>
      <c r="K119" s="139" t="n"/>
      <c r="L119" s="139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</row>
    <row r="120" ht="45.75" customHeight="1" s="211">
      <c r="A120" s="139" t="n"/>
      <c r="B120" s="139" t="n"/>
      <c r="C120" s="139" t="n"/>
      <c r="D120" s="139" t="n"/>
      <c r="E120" s="139" t="n"/>
      <c r="F120" s="139" t="n"/>
      <c r="G120" s="55" t="n"/>
      <c r="H120" s="139" t="n"/>
      <c r="I120" s="139" t="n"/>
      <c r="J120" s="139" t="n"/>
      <c r="K120" s="139" t="n"/>
      <c r="L120" s="139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</row>
    <row r="121" ht="45.75" customHeight="1" s="211">
      <c r="A121" s="139" t="n"/>
      <c r="B121" s="139" t="n"/>
      <c r="C121" s="139" t="n"/>
      <c r="D121" s="139" t="n"/>
      <c r="E121" s="139" t="n"/>
      <c r="F121" s="139" t="n"/>
      <c r="G121" s="55" t="n"/>
      <c r="H121" s="139" t="n"/>
      <c r="I121" s="139" t="n"/>
      <c r="J121" s="139" t="n"/>
      <c r="K121" s="139" t="n"/>
      <c r="L121" s="139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</row>
    <row r="122" ht="45.75" customHeight="1" s="211">
      <c r="A122" s="139" t="n"/>
      <c r="B122" s="139" t="n"/>
      <c r="C122" s="139" t="n"/>
      <c r="D122" s="139" t="n"/>
      <c r="E122" s="139" t="n"/>
      <c r="F122" s="139" t="n"/>
      <c r="G122" s="55" t="n"/>
      <c r="H122" s="139" t="n"/>
      <c r="I122" s="139" t="n"/>
      <c r="J122" s="139" t="n"/>
      <c r="K122" s="139" t="n"/>
      <c r="L122" s="139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</row>
    <row r="123" ht="45.75" customHeight="1" s="211">
      <c r="A123" s="139" t="n"/>
      <c r="B123" s="139" t="n"/>
      <c r="C123" s="139" t="n"/>
      <c r="D123" s="139" t="n"/>
      <c r="E123" s="139" t="n"/>
      <c r="F123" s="139" t="n"/>
      <c r="G123" s="55" t="n"/>
      <c r="H123" s="139" t="n"/>
      <c r="I123" s="139" t="n"/>
      <c r="J123" s="139" t="n"/>
      <c r="K123" s="139" t="n"/>
      <c r="L123" s="139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</row>
    <row r="124" ht="45.75" customHeight="1" s="211">
      <c r="A124" s="139" t="n"/>
      <c r="B124" s="139" t="n"/>
      <c r="C124" s="139" t="n"/>
      <c r="D124" s="139" t="n"/>
      <c r="E124" s="139" t="n"/>
      <c r="F124" s="139" t="n"/>
      <c r="G124" s="55" t="n"/>
      <c r="H124" s="139" t="n"/>
      <c r="I124" s="139" t="n"/>
      <c r="J124" s="139" t="n"/>
      <c r="K124" s="139" t="n"/>
      <c r="L124" s="139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</row>
    <row r="125" ht="45.75" customHeight="1" s="211">
      <c r="A125" s="139" t="n"/>
      <c r="B125" s="139" t="n"/>
      <c r="C125" s="139" t="n"/>
      <c r="D125" s="139" t="n"/>
      <c r="E125" s="139" t="n"/>
      <c r="F125" s="139" t="n"/>
      <c r="G125" s="55" t="n"/>
      <c r="H125" s="139" t="n"/>
      <c r="I125" s="139" t="n"/>
      <c r="J125" s="139" t="n"/>
      <c r="K125" s="139" t="n"/>
      <c r="L125" s="139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</row>
    <row r="126" ht="45.75" customHeight="1" s="211">
      <c r="A126" s="139" t="n"/>
      <c r="B126" s="139" t="n"/>
      <c r="C126" s="139" t="n"/>
      <c r="D126" s="139" t="n"/>
      <c r="E126" s="139" t="n"/>
      <c r="F126" s="139" t="n"/>
      <c r="G126" s="55" t="n"/>
      <c r="H126" s="139" t="n"/>
      <c r="I126" s="139" t="n"/>
      <c r="J126" s="139" t="n"/>
      <c r="K126" s="139" t="n"/>
      <c r="L126" s="139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</row>
    <row r="127" ht="45.75" customHeight="1" s="211">
      <c r="A127" s="139" t="n"/>
      <c r="B127" s="139" t="n"/>
      <c r="C127" s="139" t="n"/>
      <c r="D127" s="139" t="n"/>
      <c r="E127" s="139" t="n"/>
      <c r="F127" s="139" t="n"/>
      <c r="G127" s="55" t="n"/>
      <c r="H127" s="139" t="n"/>
      <c r="I127" s="139" t="n"/>
      <c r="J127" s="139" t="n"/>
      <c r="K127" s="139" t="n"/>
      <c r="L127" s="139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</row>
    <row r="128" ht="45.75" customHeight="1" s="211">
      <c r="A128" s="139" t="n"/>
      <c r="B128" s="139" t="n"/>
      <c r="C128" s="139" t="n"/>
      <c r="D128" s="139" t="n"/>
      <c r="E128" s="139" t="n"/>
      <c r="F128" s="139" t="n"/>
      <c r="G128" s="55" t="n"/>
      <c r="H128" s="139" t="n"/>
      <c r="I128" s="139" t="n"/>
      <c r="J128" s="139" t="n"/>
      <c r="K128" s="139" t="n"/>
      <c r="L128" s="139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</row>
    <row r="129" ht="45.75" customHeight="1" s="211">
      <c r="A129" s="139" t="n"/>
      <c r="B129" s="139" t="n"/>
      <c r="C129" s="139" t="n"/>
      <c r="D129" s="139" t="n"/>
      <c r="E129" s="139" t="n"/>
      <c r="F129" s="139" t="n"/>
      <c r="G129" s="55" t="n"/>
      <c r="H129" s="139" t="n"/>
      <c r="I129" s="139" t="n"/>
      <c r="J129" s="139" t="n"/>
      <c r="K129" s="139" t="n"/>
      <c r="L129" s="139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</row>
    <row r="130" ht="45.75" customHeight="1" s="211">
      <c r="A130" s="139" t="n"/>
      <c r="B130" s="139" t="n"/>
      <c r="C130" s="139" t="n"/>
      <c r="D130" s="139" t="n"/>
      <c r="E130" s="139" t="n"/>
      <c r="F130" s="139" t="n"/>
      <c r="G130" s="55" t="n"/>
      <c r="H130" s="139" t="n"/>
      <c r="I130" s="139" t="n"/>
      <c r="J130" s="139" t="n"/>
      <c r="K130" s="139" t="n"/>
      <c r="L130" s="139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</row>
    <row r="131" ht="45.75" customHeight="1" s="211">
      <c r="A131" s="139" t="n"/>
      <c r="B131" s="139" t="n"/>
      <c r="C131" s="139" t="n"/>
      <c r="D131" s="139" t="n"/>
      <c r="E131" s="139" t="n"/>
      <c r="F131" s="139" t="n"/>
      <c r="G131" s="55" t="n"/>
      <c r="H131" s="139" t="n"/>
      <c r="I131" s="139" t="n"/>
      <c r="J131" s="139" t="n"/>
      <c r="K131" s="139" t="n"/>
      <c r="L131" s="139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</row>
    <row r="132" ht="45.75" customHeight="1" s="211">
      <c r="A132" s="139" t="n"/>
      <c r="B132" s="139" t="n"/>
      <c r="C132" s="139" t="n"/>
      <c r="D132" s="139" t="n"/>
      <c r="E132" s="139" t="n"/>
      <c r="F132" s="139" t="n"/>
      <c r="G132" s="55" t="n"/>
      <c r="H132" s="139" t="n"/>
      <c r="I132" s="139" t="n"/>
      <c r="J132" s="139" t="n"/>
      <c r="K132" s="139" t="n"/>
      <c r="L132" s="139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</row>
    <row r="133" ht="45.75" customHeight="1" s="211">
      <c r="A133" s="139" t="n"/>
      <c r="B133" s="139" t="n"/>
      <c r="C133" s="139" t="n"/>
      <c r="D133" s="139" t="n"/>
      <c r="E133" s="139" t="n"/>
      <c r="F133" s="139" t="n"/>
      <c r="G133" s="55" t="n"/>
      <c r="H133" s="139" t="n"/>
      <c r="I133" s="139" t="n"/>
      <c r="J133" s="139" t="n"/>
      <c r="K133" s="139" t="n"/>
      <c r="L133" s="139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</row>
    <row r="134" ht="45.75" customHeight="1" s="211">
      <c r="A134" s="139" t="n"/>
      <c r="B134" s="139" t="n"/>
      <c r="C134" s="139" t="n"/>
      <c r="D134" s="139" t="n"/>
      <c r="E134" s="139" t="n"/>
      <c r="F134" s="139" t="n"/>
      <c r="G134" s="55" t="n"/>
      <c r="H134" s="139" t="n"/>
      <c r="I134" s="139" t="n"/>
      <c r="J134" s="139" t="n"/>
      <c r="K134" s="139" t="n"/>
      <c r="L134" s="139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</row>
    <row r="135" ht="45.75" customHeight="1" s="211">
      <c r="A135" s="139" t="n"/>
      <c r="B135" s="139" t="n"/>
      <c r="C135" s="139" t="n"/>
      <c r="D135" s="139" t="n"/>
      <c r="E135" s="139" t="n"/>
      <c r="F135" s="139" t="n"/>
      <c r="G135" s="55" t="n"/>
      <c r="H135" s="139" t="n"/>
      <c r="I135" s="139" t="n"/>
      <c r="J135" s="139" t="n"/>
      <c r="K135" s="139" t="n"/>
      <c r="L135" s="139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</row>
    <row r="136" ht="45.75" customHeight="1" s="211">
      <c r="A136" s="139" t="n"/>
      <c r="B136" s="139" t="n"/>
      <c r="C136" s="139" t="n"/>
      <c r="D136" s="139" t="n"/>
      <c r="E136" s="139" t="n"/>
      <c r="F136" s="139" t="n"/>
      <c r="G136" s="55" t="n"/>
      <c r="H136" s="139" t="n"/>
      <c r="I136" s="139" t="n"/>
      <c r="J136" s="139" t="n"/>
      <c r="K136" s="139" t="n"/>
      <c r="L136" s="139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</row>
    <row r="137" ht="45.75" customHeight="1" s="211">
      <c r="A137" s="139" t="n"/>
      <c r="B137" s="139" t="n"/>
      <c r="C137" s="139" t="n"/>
      <c r="D137" s="139" t="n"/>
      <c r="E137" s="139" t="n"/>
      <c r="F137" s="139" t="n"/>
      <c r="G137" s="55" t="n"/>
      <c r="H137" s="139" t="n"/>
      <c r="I137" s="139" t="n"/>
      <c r="J137" s="139" t="n"/>
      <c r="K137" s="139" t="n"/>
      <c r="L137" s="139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</row>
    <row r="138" ht="45.75" customHeight="1" s="211">
      <c r="A138" s="139" t="n"/>
      <c r="B138" s="139" t="n"/>
      <c r="C138" s="139" t="n"/>
      <c r="D138" s="139" t="n"/>
      <c r="E138" s="139" t="n"/>
      <c r="F138" s="139" t="n"/>
      <c r="G138" s="55" t="n"/>
      <c r="H138" s="139" t="n"/>
      <c r="I138" s="139" t="n"/>
      <c r="J138" s="139" t="n"/>
      <c r="K138" s="139" t="n"/>
      <c r="L138" s="139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</row>
    <row r="139" ht="45.75" customHeight="1" s="211">
      <c r="A139" s="139" t="n"/>
      <c r="B139" s="139" t="n"/>
      <c r="C139" s="139" t="n"/>
      <c r="D139" s="139" t="n"/>
      <c r="E139" s="139" t="n"/>
      <c r="F139" s="139" t="n"/>
      <c r="G139" s="55" t="n"/>
      <c r="H139" s="139" t="n"/>
      <c r="I139" s="139" t="n"/>
      <c r="J139" s="139" t="n"/>
      <c r="K139" s="139" t="n"/>
      <c r="L139" s="139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</row>
    <row r="140" ht="45.75" customHeight="1" s="211">
      <c r="A140" s="139" t="n"/>
      <c r="B140" s="139" t="n"/>
      <c r="C140" s="139" t="n"/>
      <c r="D140" s="139" t="n"/>
      <c r="E140" s="139" t="n"/>
      <c r="F140" s="139" t="n"/>
      <c r="G140" s="55" t="n"/>
      <c r="H140" s="139" t="n"/>
      <c r="I140" s="139" t="n"/>
      <c r="J140" s="139" t="n"/>
      <c r="K140" s="139" t="n"/>
      <c r="L140" s="139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</row>
    <row r="141" ht="45.75" customHeight="1" s="211">
      <c r="A141" s="139" t="n"/>
      <c r="B141" s="139" t="n"/>
      <c r="C141" s="139" t="n"/>
      <c r="D141" s="139" t="n"/>
      <c r="E141" s="139" t="n"/>
      <c r="F141" s="139" t="n"/>
      <c r="G141" s="55" t="n"/>
      <c r="H141" s="139" t="n"/>
      <c r="I141" s="139" t="n"/>
      <c r="J141" s="139" t="n"/>
      <c r="K141" s="139" t="n"/>
      <c r="L141" s="139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</row>
    <row r="142" ht="45.75" customHeight="1" s="211">
      <c r="A142" s="139" t="n"/>
      <c r="B142" s="139" t="n"/>
      <c r="C142" s="139" t="n"/>
      <c r="D142" s="139" t="n"/>
      <c r="E142" s="139" t="n"/>
      <c r="F142" s="139" t="n"/>
      <c r="G142" s="55" t="n"/>
      <c r="H142" s="139" t="n"/>
      <c r="I142" s="139" t="n"/>
      <c r="J142" s="139" t="n"/>
      <c r="K142" s="139" t="n"/>
      <c r="L142" s="139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</row>
    <row r="143" ht="45.75" customHeight="1" s="211">
      <c r="A143" s="139" t="n"/>
      <c r="B143" s="139" t="n"/>
      <c r="C143" s="139" t="n"/>
      <c r="D143" s="139" t="n"/>
      <c r="E143" s="139" t="n"/>
      <c r="F143" s="139" t="n"/>
      <c r="G143" s="55" t="n"/>
      <c r="H143" s="139" t="n"/>
      <c r="I143" s="139" t="n"/>
      <c r="J143" s="139" t="n"/>
      <c r="K143" s="139" t="n"/>
      <c r="L143" s="139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</row>
    <row r="144" ht="45.75" customHeight="1" s="211">
      <c r="A144" s="139" t="n"/>
      <c r="B144" s="139" t="n"/>
      <c r="C144" s="139" t="n"/>
      <c r="D144" s="139" t="n"/>
      <c r="E144" s="139" t="n"/>
      <c r="F144" s="139" t="n"/>
      <c r="G144" s="55" t="n"/>
      <c r="H144" s="139" t="n"/>
      <c r="I144" s="139" t="n"/>
      <c r="J144" s="139" t="n"/>
      <c r="K144" s="139" t="n"/>
      <c r="L144" s="139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</row>
    <row r="145" ht="45.75" customHeight="1" s="211">
      <c r="A145" s="139" t="n"/>
      <c r="B145" s="139" t="n"/>
      <c r="C145" s="139" t="n"/>
      <c r="D145" s="139" t="n"/>
      <c r="E145" s="139" t="n"/>
      <c r="F145" s="139" t="n"/>
      <c r="G145" s="55" t="n"/>
      <c r="H145" s="139" t="n"/>
      <c r="I145" s="139" t="n"/>
      <c r="J145" s="139" t="n"/>
      <c r="K145" s="139" t="n"/>
      <c r="L145" s="139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</row>
    <row r="146" ht="45.75" customHeight="1" s="211">
      <c r="A146" s="139" t="n"/>
      <c r="B146" s="139" t="n"/>
      <c r="C146" s="139" t="n"/>
      <c r="D146" s="139" t="n"/>
      <c r="E146" s="139" t="n"/>
      <c r="F146" s="139" t="n"/>
      <c r="G146" s="55" t="n"/>
      <c r="H146" s="139" t="n"/>
      <c r="I146" s="139" t="n"/>
      <c r="J146" s="139" t="n"/>
      <c r="K146" s="139" t="n"/>
      <c r="L146" s="139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</row>
    <row r="147" ht="45.75" customHeight="1" s="211">
      <c r="A147" s="139" t="n"/>
      <c r="B147" s="139" t="n"/>
      <c r="C147" s="139" t="n"/>
      <c r="D147" s="139" t="n"/>
      <c r="E147" s="139" t="n"/>
      <c r="F147" s="139" t="n"/>
      <c r="G147" s="55" t="n"/>
      <c r="H147" s="139" t="n"/>
      <c r="I147" s="139" t="n"/>
      <c r="J147" s="139" t="n"/>
      <c r="K147" s="139" t="n"/>
      <c r="L147" s="139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</row>
    <row r="148" ht="45.75" customHeight="1" s="211">
      <c r="A148" s="139" t="n"/>
      <c r="B148" s="139" t="n"/>
      <c r="C148" s="139" t="n"/>
      <c r="D148" s="139" t="n"/>
      <c r="E148" s="139" t="n"/>
      <c r="F148" s="139" t="n"/>
      <c r="G148" s="55" t="n"/>
      <c r="H148" s="139" t="n"/>
      <c r="I148" s="139" t="n"/>
      <c r="J148" s="139" t="n"/>
      <c r="K148" s="139" t="n"/>
      <c r="L148" s="139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</row>
    <row r="149" ht="45.75" customHeight="1" s="211">
      <c r="A149" s="139" t="n"/>
      <c r="B149" s="139" t="n"/>
      <c r="C149" s="139" t="n"/>
      <c r="D149" s="139" t="n"/>
      <c r="E149" s="139" t="n"/>
      <c r="F149" s="139" t="n"/>
      <c r="G149" s="55" t="n"/>
      <c r="H149" s="139" t="n"/>
      <c r="I149" s="139" t="n"/>
      <c r="J149" s="139" t="n"/>
      <c r="K149" s="139" t="n"/>
      <c r="L149" s="139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</row>
    <row r="150" ht="45.75" customHeight="1" s="211">
      <c r="A150" s="139" t="n"/>
      <c r="B150" s="139" t="n"/>
      <c r="C150" s="139" t="n"/>
      <c r="D150" s="139" t="n"/>
      <c r="E150" s="139" t="n"/>
      <c r="F150" s="139" t="n"/>
      <c r="G150" s="55" t="n"/>
      <c r="H150" s="139" t="n"/>
      <c r="I150" s="139" t="n"/>
      <c r="J150" s="139" t="n"/>
      <c r="K150" s="139" t="n"/>
      <c r="L150" s="139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</row>
    <row r="151" ht="45.75" customHeight="1" s="211">
      <c r="A151" s="139" t="n"/>
      <c r="B151" s="139" t="n"/>
      <c r="C151" s="139" t="n"/>
      <c r="D151" s="139" t="n"/>
      <c r="E151" s="139" t="n"/>
      <c r="F151" s="139" t="n"/>
      <c r="G151" s="55" t="n"/>
      <c r="H151" s="139" t="n"/>
      <c r="I151" s="139" t="n"/>
      <c r="J151" s="139" t="n"/>
      <c r="K151" s="139" t="n"/>
      <c r="L151" s="139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</row>
    <row r="152" ht="45.75" customHeight="1" s="211">
      <c r="A152" s="139" t="n"/>
      <c r="B152" s="139" t="n"/>
      <c r="C152" s="139" t="n"/>
      <c r="D152" s="139" t="n"/>
      <c r="E152" s="139" t="n"/>
      <c r="F152" s="139" t="n"/>
      <c r="G152" s="55" t="n"/>
      <c r="H152" s="139" t="n"/>
      <c r="I152" s="139" t="n"/>
      <c r="J152" s="139" t="n"/>
      <c r="K152" s="139" t="n"/>
      <c r="L152" s="139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</row>
    <row r="153" ht="45.75" customHeight="1" s="211">
      <c r="A153" s="139" t="n"/>
      <c r="B153" s="139" t="n"/>
      <c r="C153" s="139" t="n"/>
      <c r="D153" s="139" t="n"/>
      <c r="E153" s="139" t="n"/>
      <c r="F153" s="139" t="n"/>
      <c r="G153" s="55" t="n"/>
      <c r="H153" s="139" t="n"/>
      <c r="I153" s="139" t="n"/>
      <c r="J153" s="139" t="n"/>
      <c r="K153" s="139" t="n"/>
      <c r="L153" s="139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</row>
    <row r="154" ht="45.75" customHeight="1" s="211">
      <c r="A154" s="139" t="n"/>
      <c r="B154" s="139" t="n"/>
      <c r="C154" s="139" t="n"/>
      <c r="D154" s="139" t="n"/>
      <c r="E154" s="139" t="n"/>
      <c r="F154" s="139" t="n"/>
      <c r="G154" s="55" t="n"/>
      <c r="H154" s="139" t="n"/>
      <c r="I154" s="139" t="n"/>
      <c r="J154" s="139" t="n"/>
      <c r="K154" s="139" t="n"/>
      <c r="L154" s="139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</row>
    <row r="155" ht="45.75" customHeight="1" s="211">
      <c r="A155" s="139" t="n"/>
      <c r="B155" s="139" t="n"/>
      <c r="C155" s="139" t="n"/>
      <c r="D155" s="139" t="n"/>
      <c r="E155" s="139" t="n"/>
      <c r="F155" s="139" t="n"/>
      <c r="G155" s="55" t="n"/>
      <c r="H155" s="139" t="n"/>
      <c r="I155" s="139" t="n"/>
      <c r="J155" s="139" t="n"/>
      <c r="K155" s="139" t="n"/>
      <c r="L155" s="139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</row>
    <row r="156" ht="45.75" customHeight="1" s="211">
      <c r="A156" s="139" t="n"/>
      <c r="B156" s="139" t="n"/>
      <c r="C156" s="139" t="n"/>
      <c r="D156" s="139" t="n"/>
      <c r="E156" s="139" t="n"/>
      <c r="F156" s="139" t="n"/>
      <c r="G156" s="55" t="n"/>
      <c r="H156" s="139" t="n"/>
      <c r="I156" s="139" t="n"/>
      <c r="J156" s="139" t="n"/>
      <c r="K156" s="139" t="n"/>
      <c r="L156" s="139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</row>
    <row r="157" ht="45.75" customHeight="1" s="211">
      <c r="A157" s="139" t="n"/>
      <c r="B157" s="139" t="n"/>
      <c r="C157" s="139" t="n"/>
      <c r="D157" s="139" t="n"/>
      <c r="E157" s="139" t="n"/>
      <c r="F157" s="139" t="n"/>
      <c r="G157" s="55" t="n"/>
      <c r="H157" s="139" t="n"/>
      <c r="I157" s="139" t="n"/>
      <c r="J157" s="139" t="n"/>
      <c r="K157" s="139" t="n"/>
      <c r="L157" s="139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</row>
    <row r="158" ht="45.75" customHeight="1" s="211">
      <c r="A158" s="139" t="n"/>
      <c r="B158" s="139" t="n"/>
      <c r="C158" s="139" t="n"/>
      <c r="D158" s="139" t="n"/>
      <c r="E158" s="139" t="n"/>
      <c r="F158" s="139" t="n"/>
      <c r="G158" s="55" t="n"/>
      <c r="H158" s="139" t="n"/>
      <c r="I158" s="139" t="n"/>
      <c r="J158" s="139" t="n"/>
      <c r="K158" s="139" t="n"/>
      <c r="L158" s="139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</row>
    <row r="159" ht="45.75" customHeight="1" s="211">
      <c r="A159" s="139" t="n"/>
      <c r="B159" s="139" t="n"/>
      <c r="C159" s="139" t="n"/>
      <c r="D159" s="139" t="n"/>
      <c r="E159" s="139" t="n"/>
      <c r="F159" s="139" t="n"/>
      <c r="G159" s="55" t="n"/>
      <c r="H159" s="139" t="n"/>
      <c r="I159" s="139" t="n"/>
      <c r="J159" s="139" t="n"/>
      <c r="K159" s="139" t="n"/>
      <c r="L159" s="139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</row>
    <row r="160" ht="45.75" customHeight="1" s="211">
      <c r="A160" s="139" t="n"/>
      <c r="B160" s="139" t="n"/>
      <c r="C160" s="139" t="n"/>
      <c r="D160" s="139" t="n"/>
      <c r="E160" s="139" t="n"/>
      <c r="F160" s="139" t="n"/>
      <c r="G160" s="55" t="n"/>
      <c r="H160" s="139" t="n"/>
      <c r="I160" s="139" t="n"/>
      <c r="J160" s="139" t="n"/>
      <c r="K160" s="139" t="n"/>
      <c r="L160" s="139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</row>
    <row r="161" ht="45.75" customHeight="1" s="211">
      <c r="A161" s="139" t="n"/>
      <c r="B161" s="139" t="n"/>
      <c r="C161" s="139" t="n"/>
      <c r="D161" s="139" t="n"/>
      <c r="E161" s="139" t="n"/>
      <c r="F161" s="139" t="n"/>
      <c r="G161" s="55" t="n"/>
      <c r="H161" s="139" t="n"/>
      <c r="I161" s="139" t="n"/>
      <c r="J161" s="139" t="n"/>
      <c r="K161" s="139" t="n"/>
      <c r="L161" s="139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</row>
    <row r="162" ht="45.75" customHeight="1" s="211">
      <c r="A162" s="139" t="n"/>
      <c r="B162" s="139" t="n"/>
      <c r="C162" s="139" t="n"/>
      <c r="D162" s="139" t="n"/>
      <c r="E162" s="139" t="n"/>
      <c r="F162" s="139" t="n"/>
      <c r="G162" s="55" t="n"/>
      <c r="H162" s="139" t="n"/>
      <c r="I162" s="139" t="n"/>
      <c r="J162" s="139" t="n"/>
      <c r="K162" s="139" t="n"/>
      <c r="L162" s="139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</row>
    <row r="163" ht="45.75" customHeight="1" s="211">
      <c r="A163" s="139" t="n"/>
      <c r="B163" s="139" t="n"/>
      <c r="C163" s="139" t="n"/>
      <c r="D163" s="139" t="n"/>
      <c r="E163" s="139" t="n"/>
      <c r="F163" s="139" t="n"/>
      <c r="G163" s="55" t="n"/>
      <c r="H163" s="139" t="n"/>
      <c r="I163" s="139" t="n"/>
      <c r="J163" s="139" t="n"/>
      <c r="K163" s="139" t="n"/>
      <c r="L163" s="139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</row>
    <row r="164" ht="45.75" customHeight="1" s="211">
      <c r="A164" s="139" t="n"/>
      <c r="B164" s="139" t="n"/>
      <c r="C164" s="139" t="n"/>
      <c r="D164" s="139" t="n"/>
      <c r="E164" s="139" t="n"/>
      <c r="F164" s="139" t="n"/>
      <c r="G164" s="55" t="n"/>
      <c r="H164" s="139" t="n"/>
      <c r="I164" s="139" t="n"/>
      <c r="J164" s="139" t="n"/>
      <c r="K164" s="139" t="n"/>
      <c r="L164" s="139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</row>
    <row r="165" ht="45.75" customHeight="1" s="211">
      <c r="A165" s="139" t="n"/>
      <c r="B165" s="139" t="n"/>
      <c r="C165" s="139" t="n"/>
      <c r="D165" s="139" t="n"/>
      <c r="E165" s="139" t="n"/>
      <c r="F165" s="139" t="n"/>
      <c r="G165" s="55" t="n"/>
      <c r="H165" s="139" t="n"/>
      <c r="I165" s="139" t="n"/>
      <c r="J165" s="139" t="n"/>
      <c r="K165" s="139" t="n"/>
      <c r="L165" s="139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</row>
    <row r="166" ht="45.75" customHeight="1" s="211">
      <c r="A166" s="139" t="n"/>
      <c r="B166" s="139" t="n"/>
      <c r="C166" s="139" t="n"/>
      <c r="D166" s="139" t="n"/>
      <c r="E166" s="139" t="n"/>
      <c r="F166" s="139" t="n"/>
      <c r="G166" s="55" t="n"/>
      <c r="H166" s="139" t="n"/>
      <c r="I166" s="139" t="n"/>
      <c r="J166" s="139" t="n"/>
      <c r="K166" s="139" t="n"/>
      <c r="L166" s="139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</row>
    <row r="167" ht="45.75" customHeight="1" s="211">
      <c r="A167" s="139" t="n"/>
      <c r="B167" s="139" t="n"/>
      <c r="C167" s="139" t="n"/>
      <c r="D167" s="139" t="n"/>
      <c r="E167" s="139" t="n"/>
      <c r="F167" s="139" t="n"/>
      <c r="G167" s="55" t="n"/>
      <c r="H167" s="139" t="n"/>
      <c r="I167" s="139" t="n"/>
      <c r="J167" s="139" t="n"/>
      <c r="K167" s="139" t="n"/>
      <c r="L167" s="139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</row>
    <row r="168" ht="45.75" customHeight="1" s="211">
      <c r="A168" s="139" t="n"/>
      <c r="B168" s="139" t="n"/>
      <c r="C168" s="139" t="n"/>
      <c r="D168" s="139" t="n"/>
      <c r="E168" s="139" t="n"/>
      <c r="F168" s="139" t="n"/>
      <c r="G168" s="55" t="n"/>
      <c r="H168" s="139" t="n"/>
      <c r="I168" s="139" t="n"/>
      <c r="J168" s="139" t="n"/>
      <c r="K168" s="139" t="n"/>
      <c r="L168" s="139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</row>
    <row r="169" ht="45.75" customHeight="1" s="211">
      <c r="A169" s="139" t="n"/>
      <c r="B169" s="139" t="n"/>
      <c r="C169" s="139" t="n"/>
      <c r="D169" s="139" t="n"/>
      <c r="E169" s="139" t="n"/>
      <c r="F169" s="139" t="n"/>
      <c r="G169" s="55" t="n"/>
      <c r="H169" s="139" t="n"/>
      <c r="I169" s="139" t="n"/>
      <c r="J169" s="139" t="n"/>
      <c r="K169" s="139" t="n"/>
      <c r="L169" s="139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</row>
    <row r="170" ht="45.75" customHeight="1" s="211">
      <c r="A170" s="139" t="n"/>
      <c r="B170" s="139" t="n"/>
      <c r="C170" s="139" t="n"/>
      <c r="D170" s="139" t="n"/>
      <c r="E170" s="139" t="n"/>
      <c r="F170" s="139" t="n"/>
      <c r="G170" s="55" t="n"/>
      <c r="H170" s="139" t="n"/>
      <c r="I170" s="139" t="n"/>
      <c r="J170" s="139" t="n"/>
      <c r="K170" s="139" t="n"/>
      <c r="L170" s="139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</row>
    <row r="171" ht="45.75" customHeight="1" s="211">
      <c r="A171" s="139" t="n"/>
      <c r="B171" s="139" t="n"/>
      <c r="C171" s="139" t="n"/>
      <c r="D171" s="139" t="n"/>
      <c r="E171" s="139" t="n"/>
      <c r="F171" s="139" t="n"/>
      <c r="G171" s="55" t="n"/>
      <c r="H171" s="139" t="n"/>
      <c r="I171" s="139" t="n"/>
      <c r="J171" s="139" t="n"/>
      <c r="K171" s="139" t="n"/>
      <c r="L171" s="139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</row>
    <row r="172" ht="45.75" customHeight="1" s="211">
      <c r="A172" s="139" t="n"/>
      <c r="B172" s="139" t="n"/>
      <c r="C172" s="139" t="n"/>
      <c r="D172" s="139" t="n"/>
      <c r="E172" s="139" t="n"/>
      <c r="F172" s="139" t="n"/>
      <c r="G172" s="55" t="n"/>
      <c r="H172" s="139" t="n"/>
      <c r="I172" s="139" t="n"/>
      <c r="J172" s="139" t="n"/>
      <c r="K172" s="139" t="n"/>
      <c r="L172" s="139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</row>
    <row r="173" ht="45.75" customHeight="1" s="211">
      <c r="A173" s="139" t="n"/>
      <c r="B173" s="139" t="n"/>
      <c r="C173" s="139" t="n"/>
      <c r="D173" s="139" t="n"/>
      <c r="E173" s="139" t="n"/>
      <c r="F173" s="139" t="n"/>
      <c r="G173" s="55" t="n"/>
      <c r="H173" s="139" t="n"/>
      <c r="I173" s="139" t="n"/>
      <c r="J173" s="139" t="n"/>
      <c r="K173" s="139" t="n"/>
      <c r="L173" s="139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</row>
    <row r="174" ht="45.75" customHeight="1" s="211">
      <c r="A174" s="139" t="n"/>
      <c r="B174" s="139" t="n"/>
      <c r="C174" s="139" t="n"/>
      <c r="D174" s="139" t="n"/>
      <c r="E174" s="139" t="n"/>
      <c r="F174" s="139" t="n"/>
      <c r="G174" s="55" t="n"/>
      <c r="H174" s="139" t="n"/>
      <c r="I174" s="139" t="n"/>
      <c r="J174" s="139" t="n"/>
      <c r="K174" s="139" t="n"/>
      <c r="L174" s="139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</row>
    <row r="175" ht="45.75" customHeight="1" s="211">
      <c r="A175" s="139" t="n"/>
      <c r="B175" s="139" t="n"/>
      <c r="C175" s="139" t="n"/>
      <c r="D175" s="139" t="n"/>
      <c r="E175" s="139" t="n"/>
      <c r="F175" s="139" t="n"/>
      <c r="G175" s="55" t="n"/>
      <c r="H175" s="139" t="n"/>
      <c r="I175" s="139" t="n"/>
      <c r="J175" s="139" t="n"/>
      <c r="K175" s="139" t="n"/>
      <c r="L175" s="139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</row>
    <row r="176" ht="45.75" customHeight="1" s="211">
      <c r="A176" s="139" t="n"/>
      <c r="B176" s="139" t="n"/>
      <c r="C176" s="139" t="n"/>
      <c r="D176" s="139" t="n"/>
      <c r="E176" s="139" t="n"/>
      <c r="F176" s="139" t="n"/>
      <c r="G176" s="55" t="n"/>
      <c r="H176" s="139" t="n"/>
      <c r="I176" s="139" t="n"/>
      <c r="J176" s="139" t="n"/>
      <c r="K176" s="139" t="n"/>
      <c r="L176" s="139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</row>
    <row r="177" ht="45.75" customHeight="1" s="211">
      <c r="A177" s="139" t="n"/>
      <c r="B177" s="139" t="n"/>
      <c r="C177" s="139" t="n"/>
      <c r="D177" s="139" t="n"/>
      <c r="E177" s="139" t="n"/>
      <c r="F177" s="139" t="n"/>
      <c r="G177" s="55" t="n"/>
      <c r="H177" s="139" t="n"/>
      <c r="I177" s="139" t="n"/>
      <c r="J177" s="139" t="n"/>
      <c r="K177" s="139" t="n"/>
      <c r="L177" s="139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</row>
    <row r="178" ht="45.75" customHeight="1" s="211">
      <c r="A178" s="139" t="n"/>
      <c r="B178" s="139" t="n"/>
      <c r="C178" s="139" t="n"/>
      <c r="D178" s="139" t="n"/>
      <c r="E178" s="139" t="n"/>
      <c r="F178" s="139" t="n"/>
      <c r="G178" s="55" t="n"/>
      <c r="H178" s="139" t="n"/>
      <c r="I178" s="139" t="n"/>
      <c r="J178" s="139" t="n"/>
      <c r="K178" s="139" t="n"/>
      <c r="L178" s="139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</row>
    <row r="179" ht="45.75" customHeight="1" s="211">
      <c r="A179" s="139" t="n"/>
      <c r="B179" s="139" t="n"/>
      <c r="C179" s="139" t="n"/>
      <c r="D179" s="139" t="n"/>
      <c r="E179" s="139" t="n"/>
      <c r="F179" s="139" t="n"/>
      <c r="G179" s="55" t="n"/>
      <c r="H179" s="139" t="n"/>
      <c r="I179" s="139" t="n"/>
      <c r="J179" s="139" t="n"/>
      <c r="K179" s="139" t="n"/>
      <c r="L179" s="139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</row>
    <row r="180" ht="45.75" customHeight="1" s="211">
      <c r="A180" s="139" t="n"/>
      <c r="B180" s="139" t="n"/>
      <c r="C180" s="139" t="n"/>
      <c r="D180" s="139" t="n"/>
      <c r="E180" s="139" t="n"/>
      <c r="F180" s="139" t="n"/>
      <c r="G180" s="55" t="n"/>
      <c r="H180" s="139" t="n"/>
      <c r="I180" s="139" t="n"/>
      <c r="J180" s="139" t="n"/>
      <c r="K180" s="139" t="n"/>
      <c r="L180" s="139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</row>
    <row r="181" ht="45.75" customHeight="1" s="211">
      <c r="A181" s="139" t="n"/>
      <c r="B181" s="139" t="n"/>
      <c r="C181" s="139" t="n"/>
      <c r="D181" s="139" t="n"/>
      <c r="E181" s="139" t="n"/>
      <c r="F181" s="139" t="n"/>
      <c r="G181" s="55" t="n"/>
      <c r="H181" s="139" t="n"/>
      <c r="I181" s="139" t="n"/>
      <c r="J181" s="139" t="n"/>
      <c r="K181" s="139" t="n"/>
      <c r="L181" s="139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</row>
    <row r="182" ht="45.75" customHeight="1" s="211">
      <c r="A182" s="139" t="n"/>
      <c r="B182" s="139" t="n"/>
      <c r="C182" s="139" t="n"/>
      <c r="D182" s="139" t="n"/>
      <c r="E182" s="139" t="n"/>
      <c r="F182" s="139" t="n"/>
      <c r="G182" s="55" t="n"/>
      <c r="H182" s="139" t="n"/>
      <c r="I182" s="139" t="n"/>
      <c r="J182" s="139" t="n"/>
      <c r="K182" s="139" t="n"/>
      <c r="L182" s="139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</row>
    <row r="183" ht="45.75" customHeight="1" s="211">
      <c r="A183" s="139" t="n"/>
      <c r="B183" s="139" t="n"/>
      <c r="C183" s="139" t="n"/>
      <c r="D183" s="139" t="n"/>
      <c r="E183" s="139" t="n"/>
      <c r="F183" s="139" t="n"/>
      <c r="G183" s="55" t="n"/>
      <c r="H183" s="139" t="n"/>
      <c r="I183" s="139" t="n"/>
      <c r="J183" s="139" t="n"/>
      <c r="K183" s="139" t="n"/>
      <c r="L183" s="139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</row>
    <row r="184" ht="45.75" customHeight="1" s="211">
      <c r="A184" s="139" t="n"/>
      <c r="B184" s="139" t="n"/>
      <c r="C184" s="139" t="n"/>
      <c r="D184" s="139" t="n"/>
      <c r="E184" s="139" t="n"/>
      <c r="F184" s="139" t="n"/>
      <c r="G184" s="55" t="n"/>
      <c r="H184" s="139" t="n"/>
      <c r="I184" s="139" t="n"/>
      <c r="J184" s="139" t="n"/>
      <c r="K184" s="139" t="n"/>
      <c r="L184" s="139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</row>
    <row r="185" ht="45.75" customHeight="1" s="211">
      <c r="A185" s="139" t="n"/>
      <c r="B185" s="139" t="n"/>
      <c r="C185" s="139" t="n"/>
      <c r="D185" s="139" t="n"/>
      <c r="E185" s="139" t="n"/>
      <c r="F185" s="139" t="n"/>
      <c r="G185" s="55" t="n"/>
      <c r="H185" s="139" t="n"/>
      <c r="I185" s="139" t="n"/>
      <c r="J185" s="139" t="n"/>
      <c r="K185" s="139" t="n"/>
      <c r="L185" s="139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</row>
    <row r="186" ht="45.75" customHeight="1" s="211">
      <c r="A186" s="139" t="n"/>
      <c r="B186" s="139" t="n"/>
      <c r="C186" s="139" t="n"/>
      <c r="D186" s="139" t="n"/>
      <c r="E186" s="139" t="n"/>
      <c r="F186" s="139" t="n"/>
      <c r="G186" s="55" t="n"/>
      <c r="H186" s="139" t="n"/>
      <c r="I186" s="139" t="n"/>
      <c r="J186" s="139" t="n"/>
      <c r="K186" s="139" t="n"/>
      <c r="L186" s="139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</row>
    <row r="187" ht="45.75" customHeight="1" s="211">
      <c r="A187" s="139" t="n"/>
      <c r="B187" s="139" t="n"/>
      <c r="C187" s="139" t="n"/>
      <c r="D187" s="139" t="n"/>
      <c r="E187" s="139" t="n"/>
      <c r="F187" s="139" t="n"/>
      <c r="G187" s="55" t="n"/>
      <c r="H187" s="139" t="n"/>
      <c r="I187" s="139" t="n"/>
      <c r="J187" s="139" t="n"/>
      <c r="K187" s="139" t="n"/>
      <c r="L187" s="139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</row>
    <row r="188" ht="45.75" customHeight="1" s="211">
      <c r="A188" s="139" t="n"/>
      <c r="B188" s="139" t="n"/>
      <c r="C188" s="139" t="n"/>
      <c r="D188" s="139" t="n"/>
      <c r="E188" s="139" t="n"/>
      <c r="F188" s="139" t="n"/>
      <c r="G188" s="55" t="n"/>
      <c r="H188" s="139" t="n"/>
      <c r="I188" s="139" t="n"/>
      <c r="J188" s="139" t="n"/>
      <c r="K188" s="139" t="n"/>
      <c r="L188" s="139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</row>
    <row r="189" ht="45.75" customHeight="1" s="211">
      <c r="A189" s="139" t="n"/>
      <c r="B189" s="139" t="n"/>
      <c r="C189" s="139" t="n"/>
      <c r="D189" s="139" t="n"/>
      <c r="E189" s="139" t="n"/>
      <c r="F189" s="139" t="n"/>
      <c r="G189" s="55" t="n"/>
      <c r="H189" s="139" t="n"/>
      <c r="I189" s="139" t="n"/>
      <c r="J189" s="139" t="n"/>
      <c r="K189" s="139" t="n"/>
      <c r="L189" s="139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</row>
    <row r="190" ht="45.75" customHeight="1" s="211">
      <c r="A190" s="139" t="n"/>
      <c r="B190" s="139" t="n"/>
      <c r="C190" s="139" t="n"/>
      <c r="D190" s="139" t="n"/>
      <c r="E190" s="139" t="n"/>
      <c r="F190" s="139" t="n"/>
      <c r="G190" s="55" t="n"/>
      <c r="H190" s="139" t="n"/>
      <c r="I190" s="139" t="n"/>
      <c r="J190" s="139" t="n"/>
      <c r="K190" s="139" t="n"/>
      <c r="L190" s="139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</row>
    <row r="191" ht="45.75" customHeight="1" s="211">
      <c r="A191" s="139" t="n"/>
      <c r="B191" s="139" t="n"/>
      <c r="C191" s="139" t="n"/>
      <c r="D191" s="139" t="n"/>
      <c r="E191" s="139" t="n"/>
      <c r="F191" s="139" t="n"/>
      <c r="G191" s="55" t="n"/>
      <c r="H191" s="139" t="n"/>
      <c r="I191" s="139" t="n"/>
      <c r="J191" s="139" t="n"/>
      <c r="K191" s="139" t="n"/>
      <c r="L191" s="139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</row>
    <row r="192" ht="45.75" customHeight="1" s="211">
      <c r="A192" s="139" t="n"/>
      <c r="B192" s="139" t="n"/>
      <c r="C192" s="139" t="n"/>
      <c r="D192" s="139" t="n"/>
      <c r="E192" s="139" t="n"/>
      <c r="F192" s="139" t="n"/>
      <c r="G192" s="55" t="n"/>
      <c r="H192" s="139" t="n"/>
      <c r="I192" s="139" t="n"/>
      <c r="J192" s="139" t="n"/>
      <c r="K192" s="139" t="n"/>
      <c r="L192" s="139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</row>
    <row r="193" ht="45.75" customHeight="1" s="211">
      <c r="A193" s="139" t="n"/>
      <c r="B193" s="139" t="n"/>
      <c r="C193" s="139" t="n"/>
      <c r="D193" s="139" t="n"/>
      <c r="E193" s="139" t="n"/>
      <c r="F193" s="139" t="n"/>
      <c r="G193" s="55" t="n"/>
      <c r="H193" s="139" t="n"/>
      <c r="I193" s="139" t="n"/>
      <c r="J193" s="139" t="n"/>
      <c r="K193" s="139" t="n"/>
      <c r="L193" s="139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</row>
    <row r="194" ht="45.75" customHeight="1" s="211">
      <c r="A194" s="139" t="n"/>
      <c r="B194" s="139" t="n"/>
      <c r="C194" s="139" t="n"/>
      <c r="D194" s="139" t="n"/>
      <c r="E194" s="139" t="n"/>
      <c r="F194" s="139" t="n"/>
      <c r="G194" s="55" t="n"/>
      <c r="H194" s="139" t="n"/>
      <c r="I194" s="139" t="n"/>
      <c r="J194" s="139" t="n"/>
      <c r="K194" s="139" t="n"/>
      <c r="L194" s="139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</row>
    <row r="195" ht="45.75" customHeight="1" s="211">
      <c r="A195" s="139" t="n"/>
      <c r="B195" s="139" t="n"/>
      <c r="C195" s="139" t="n"/>
      <c r="D195" s="139" t="n"/>
      <c r="E195" s="139" t="n"/>
      <c r="F195" s="139" t="n"/>
      <c r="G195" s="55" t="n"/>
      <c r="H195" s="139" t="n"/>
      <c r="I195" s="139" t="n"/>
      <c r="J195" s="139" t="n"/>
      <c r="K195" s="139" t="n"/>
      <c r="L195" s="139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</row>
    <row r="196" ht="45.75" customHeight="1" s="211">
      <c r="A196" s="139" t="n"/>
      <c r="B196" s="139" t="n"/>
      <c r="C196" s="139" t="n"/>
      <c r="D196" s="139" t="n"/>
      <c r="E196" s="139" t="n"/>
      <c r="F196" s="139" t="n"/>
      <c r="G196" s="55" t="n"/>
      <c r="H196" s="139" t="n"/>
      <c r="I196" s="139" t="n"/>
      <c r="J196" s="139" t="n"/>
      <c r="K196" s="139" t="n"/>
      <c r="L196" s="139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</row>
    <row r="197" ht="45.75" customHeight="1" s="211">
      <c r="A197" s="139" t="n"/>
      <c r="B197" s="139" t="n"/>
      <c r="C197" s="139" t="n"/>
      <c r="D197" s="139" t="n"/>
      <c r="E197" s="139" t="n"/>
      <c r="F197" s="139" t="n"/>
      <c r="G197" s="55" t="n"/>
      <c r="H197" s="139" t="n"/>
      <c r="I197" s="139" t="n"/>
      <c r="J197" s="139" t="n"/>
      <c r="K197" s="139" t="n"/>
      <c r="L197" s="139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</row>
    <row r="198" ht="45.75" customHeight="1" s="211">
      <c r="A198" s="139" t="n"/>
      <c r="B198" s="139" t="n"/>
      <c r="C198" s="139" t="n"/>
      <c r="D198" s="139" t="n"/>
      <c r="E198" s="139" t="n"/>
      <c r="F198" s="139" t="n"/>
      <c r="G198" s="55" t="n"/>
      <c r="H198" s="139" t="n"/>
      <c r="I198" s="139" t="n"/>
      <c r="J198" s="139" t="n"/>
      <c r="K198" s="139" t="n"/>
      <c r="L198" s="139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</row>
    <row r="199" ht="45.75" customHeight="1" s="211">
      <c r="A199" s="139" t="n"/>
      <c r="B199" s="139" t="n"/>
      <c r="C199" s="139" t="n"/>
      <c r="D199" s="139" t="n"/>
      <c r="E199" s="139" t="n"/>
      <c r="F199" s="139" t="n"/>
      <c r="G199" s="55" t="n"/>
      <c r="H199" s="139" t="n"/>
      <c r="I199" s="139" t="n"/>
      <c r="J199" s="139" t="n"/>
      <c r="K199" s="139" t="n"/>
      <c r="L199" s="139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</row>
    <row r="200" ht="45.75" customHeight="1" s="211">
      <c r="A200" s="139" t="n"/>
      <c r="B200" s="139" t="n"/>
      <c r="C200" s="139" t="n"/>
      <c r="D200" s="139" t="n"/>
      <c r="E200" s="139" t="n"/>
      <c r="F200" s="139" t="n"/>
      <c r="G200" s="55" t="n"/>
      <c r="H200" s="139" t="n"/>
      <c r="I200" s="139" t="n"/>
      <c r="J200" s="139" t="n"/>
      <c r="K200" s="139" t="n"/>
      <c r="L200" s="139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</row>
    <row r="201" ht="45.75" customHeight="1" s="211">
      <c r="A201" s="139" t="n"/>
      <c r="B201" s="139" t="n"/>
      <c r="C201" s="139" t="n"/>
      <c r="D201" s="139" t="n"/>
      <c r="E201" s="139" t="n"/>
      <c r="F201" s="139" t="n"/>
      <c r="G201" s="55" t="n"/>
      <c r="H201" s="139" t="n"/>
      <c r="I201" s="139" t="n"/>
      <c r="J201" s="139" t="n"/>
      <c r="K201" s="139" t="n"/>
      <c r="L201" s="139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</row>
    <row r="202" ht="45.75" customHeight="1" s="211">
      <c r="A202" s="139" t="n"/>
      <c r="B202" s="139" t="n"/>
      <c r="C202" s="139" t="n"/>
      <c r="D202" s="139" t="n"/>
      <c r="E202" s="139" t="n"/>
      <c r="F202" s="139" t="n"/>
      <c r="G202" s="55" t="n"/>
      <c r="H202" s="139" t="n"/>
      <c r="I202" s="139" t="n"/>
      <c r="J202" s="139" t="n"/>
      <c r="K202" s="139" t="n"/>
      <c r="L202" s="139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</row>
    <row r="203" ht="45.75" customHeight="1" s="211">
      <c r="A203" s="139" t="n"/>
      <c r="B203" s="139" t="n"/>
      <c r="C203" s="139" t="n"/>
      <c r="D203" s="139" t="n"/>
      <c r="E203" s="139" t="n"/>
      <c r="F203" s="139" t="n"/>
      <c r="G203" s="55" t="n"/>
      <c r="H203" s="139" t="n"/>
      <c r="I203" s="139" t="n"/>
      <c r="J203" s="139" t="n"/>
      <c r="K203" s="139" t="n"/>
      <c r="L203" s="139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</row>
    <row r="204" ht="45.75" customHeight="1" s="211">
      <c r="A204" s="139" t="n"/>
      <c r="B204" s="139" t="n"/>
      <c r="C204" s="139" t="n"/>
      <c r="D204" s="139" t="n"/>
      <c r="E204" s="139" t="n"/>
      <c r="F204" s="139" t="n"/>
      <c r="G204" s="55" t="n"/>
      <c r="H204" s="139" t="n"/>
      <c r="I204" s="139" t="n"/>
      <c r="J204" s="139" t="n"/>
      <c r="K204" s="139" t="n"/>
      <c r="L204" s="139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</row>
    <row r="205" ht="45.75" customHeight="1" s="211">
      <c r="A205" s="139" t="n"/>
      <c r="B205" s="139" t="n"/>
      <c r="C205" s="139" t="n"/>
      <c r="D205" s="139" t="n"/>
      <c r="E205" s="139" t="n"/>
      <c r="F205" s="139" t="n"/>
      <c r="G205" s="55" t="n"/>
      <c r="H205" s="139" t="n"/>
      <c r="I205" s="139" t="n"/>
      <c r="J205" s="139" t="n"/>
      <c r="K205" s="139" t="n"/>
      <c r="L205" s="139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</row>
    <row r="206" ht="45.75" customHeight="1" s="211">
      <c r="A206" s="139" t="n"/>
      <c r="B206" s="139" t="n"/>
      <c r="C206" s="139" t="n"/>
      <c r="D206" s="139" t="n"/>
      <c r="E206" s="139" t="n"/>
      <c r="F206" s="139" t="n"/>
      <c r="G206" s="55" t="n"/>
      <c r="H206" s="139" t="n"/>
      <c r="I206" s="139" t="n"/>
      <c r="J206" s="139" t="n"/>
      <c r="K206" s="139" t="n"/>
      <c r="L206" s="139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</row>
    <row r="207" ht="45.75" customHeight="1" s="211">
      <c r="A207" s="139" t="n"/>
      <c r="B207" s="139" t="n"/>
      <c r="C207" s="139" t="n"/>
      <c r="D207" s="139" t="n"/>
      <c r="E207" s="139" t="n"/>
      <c r="F207" s="139" t="n"/>
      <c r="G207" s="55" t="n"/>
      <c r="H207" s="139" t="n"/>
      <c r="I207" s="139" t="n"/>
      <c r="J207" s="139" t="n"/>
      <c r="K207" s="139" t="n"/>
      <c r="L207" s="139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</row>
    <row r="208" ht="45.75" customHeight="1" s="211">
      <c r="A208" s="139" t="n"/>
      <c r="B208" s="139" t="n"/>
      <c r="C208" s="139" t="n"/>
      <c r="D208" s="139" t="n"/>
      <c r="E208" s="139" t="n"/>
      <c r="F208" s="139" t="n"/>
      <c r="G208" s="55" t="n"/>
      <c r="H208" s="139" t="n"/>
      <c r="I208" s="139" t="n"/>
      <c r="J208" s="139" t="n"/>
      <c r="K208" s="139" t="n"/>
      <c r="L208" s="139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</row>
    <row r="209" ht="45.75" customHeight="1" s="211">
      <c r="A209" s="139" t="n"/>
      <c r="B209" s="139" t="n"/>
      <c r="C209" s="139" t="n"/>
      <c r="D209" s="139" t="n"/>
      <c r="E209" s="139" t="n"/>
      <c r="F209" s="139" t="n"/>
      <c r="G209" s="55" t="n"/>
      <c r="H209" s="139" t="n"/>
      <c r="I209" s="139" t="n"/>
      <c r="J209" s="139" t="n"/>
      <c r="K209" s="139" t="n"/>
      <c r="L209" s="139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</row>
    <row r="210" ht="45.75" customHeight="1" s="211">
      <c r="A210" s="139" t="n"/>
      <c r="B210" s="139" t="n"/>
      <c r="C210" s="139" t="n"/>
      <c r="D210" s="139" t="n"/>
      <c r="E210" s="139" t="n"/>
      <c r="F210" s="139" t="n"/>
      <c r="G210" s="55" t="n"/>
      <c r="H210" s="139" t="n"/>
      <c r="I210" s="139" t="n"/>
      <c r="J210" s="139" t="n"/>
      <c r="K210" s="139" t="n"/>
      <c r="L210" s="139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</row>
    <row r="211" ht="45.75" customHeight="1" s="211">
      <c r="A211" s="139" t="n"/>
      <c r="B211" s="139" t="n"/>
      <c r="C211" s="139" t="n"/>
      <c r="D211" s="139" t="n"/>
      <c r="E211" s="139" t="n"/>
      <c r="F211" s="139" t="n"/>
      <c r="G211" s="55" t="n"/>
      <c r="H211" s="139" t="n"/>
      <c r="I211" s="139" t="n"/>
      <c r="J211" s="139" t="n"/>
      <c r="K211" s="139" t="n"/>
      <c r="L211" s="139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</row>
    <row r="212" ht="45.75" customHeight="1" s="211">
      <c r="A212" s="139" t="n"/>
      <c r="B212" s="139" t="n"/>
      <c r="C212" s="139" t="n"/>
      <c r="D212" s="139" t="n"/>
      <c r="E212" s="139" t="n"/>
      <c r="F212" s="139" t="n"/>
      <c r="G212" s="55" t="n"/>
      <c r="H212" s="139" t="n"/>
      <c r="I212" s="139" t="n"/>
      <c r="J212" s="139" t="n"/>
      <c r="K212" s="139" t="n"/>
      <c r="L212" s="139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</row>
    <row r="213" ht="45.75" customHeight="1" s="211">
      <c r="A213" s="139" t="n"/>
      <c r="B213" s="139" t="n"/>
      <c r="C213" s="139" t="n"/>
      <c r="D213" s="139" t="n"/>
      <c r="E213" s="139" t="n"/>
      <c r="F213" s="139" t="n"/>
      <c r="G213" s="55" t="n"/>
      <c r="H213" s="139" t="n"/>
      <c r="I213" s="139" t="n"/>
      <c r="J213" s="139" t="n"/>
      <c r="K213" s="139" t="n"/>
      <c r="L213" s="139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</row>
    <row r="214" ht="45.75" customHeight="1" s="211">
      <c r="A214" s="139" t="n"/>
      <c r="B214" s="139" t="n"/>
      <c r="C214" s="139" t="n"/>
      <c r="D214" s="139" t="n"/>
      <c r="E214" s="139" t="n"/>
      <c r="F214" s="139" t="n"/>
      <c r="G214" s="55" t="n"/>
      <c r="H214" s="139" t="n"/>
      <c r="I214" s="139" t="n"/>
      <c r="J214" s="139" t="n"/>
      <c r="K214" s="139" t="n"/>
      <c r="L214" s="139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</row>
    <row r="215" ht="45.75" customHeight="1" s="211">
      <c r="A215" s="139" t="n"/>
      <c r="B215" s="139" t="n"/>
      <c r="C215" s="139" t="n"/>
      <c r="D215" s="139" t="n"/>
      <c r="E215" s="139" t="n"/>
      <c r="F215" s="139" t="n"/>
      <c r="G215" s="55" t="n"/>
      <c r="H215" s="139" t="n"/>
      <c r="I215" s="139" t="n"/>
      <c r="J215" s="139" t="n"/>
      <c r="K215" s="139" t="n"/>
      <c r="L215" s="139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</row>
    <row r="216" ht="45.75" customHeight="1" s="211">
      <c r="A216" s="139" t="n"/>
      <c r="B216" s="139" t="n"/>
      <c r="C216" s="139" t="n"/>
      <c r="D216" s="139" t="n"/>
      <c r="E216" s="139" t="n"/>
      <c r="F216" s="139" t="n"/>
      <c r="G216" s="55" t="n"/>
      <c r="H216" s="139" t="n"/>
      <c r="I216" s="139" t="n"/>
      <c r="J216" s="139" t="n"/>
      <c r="K216" s="139" t="n"/>
      <c r="L216" s="139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</row>
    <row r="217" ht="45.75" customHeight="1" s="211">
      <c r="A217" s="139" t="n"/>
      <c r="B217" s="139" t="n"/>
      <c r="C217" s="139" t="n"/>
      <c r="D217" s="139" t="n"/>
      <c r="E217" s="139" t="n"/>
      <c r="F217" s="139" t="n"/>
      <c r="G217" s="55" t="n"/>
      <c r="H217" s="139" t="n"/>
      <c r="I217" s="139" t="n"/>
      <c r="J217" s="139" t="n"/>
      <c r="K217" s="139" t="n"/>
      <c r="L217" s="139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</row>
    <row r="218" ht="45.75" customHeight="1" s="211">
      <c r="A218" s="139" t="n"/>
      <c r="B218" s="139" t="n"/>
      <c r="C218" s="139" t="n"/>
      <c r="D218" s="139" t="n"/>
      <c r="E218" s="139" t="n"/>
      <c r="F218" s="139" t="n"/>
      <c r="G218" s="55" t="n"/>
      <c r="H218" s="139" t="n"/>
      <c r="I218" s="139" t="n"/>
      <c r="J218" s="139" t="n"/>
      <c r="K218" s="139" t="n"/>
      <c r="L218" s="139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</row>
    <row r="219" ht="45.75" customHeight="1" s="211">
      <c r="A219" s="139" t="n"/>
      <c r="B219" s="139" t="n"/>
      <c r="C219" s="139" t="n"/>
      <c r="D219" s="139" t="n"/>
      <c r="E219" s="139" t="n"/>
      <c r="F219" s="139" t="n"/>
      <c r="G219" s="55" t="n"/>
      <c r="H219" s="139" t="n"/>
      <c r="I219" s="139" t="n"/>
      <c r="J219" s="139" t="n"/>
      <c r="K219" s="139" t="n"/>
      <c r="L219" s="139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</row>
    <row r="220" ht="45.75" customHeight="1" s="211">
      <c r="A220" s="139" t="n"/>
      <c r="B220" s="139" t="n"/>
      <c r="C220" s="139" t="n"/>
      <c r="D220" s="139" t="n"/>
      <c r="E220" s="139" t="n"/>
      <c r="F220" s="139" t="n"/>
      <c r="G220" s="55" t="n"/>
      <c r="H220" s="139" t="n"/>
      <c r="I220" s="139" t="n"/>
      <c r="J220" s="139" t="n"/>
      <c r="K220" s="139" t="n"/>
      <c r="L220" s="139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</row>
    <row r="221" ht="45.75" customHeight="1" s="211">
      <c r="A221" s="139" t="n"/>
      <c r="B221" s="139" t="n"/>
      <c r="C221" s="139" t="n"/>
      <c r="D221" s="139" t="n"/>
      <c r="E221" s="139" t="n"/>
      <c r="F221" s="139" t="n"/>
      <c r="G221" s="55" t="n"/>
      <c r="H221" s="139" t="n"/>
      <c r="I221" s="139" t="n"/>
      <c r="J221" s="139" t="n"/>
      <c r="K221" s="139" t="n"/>
      <c r="L221" s="139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</row>
    <row r="222" ht="45.75" customHeight="1" s="211">
      <c r="A222" s="139" t="n"/>
      <c r="B222" s="139" t="n"/>
      <c r="C222" s="139" t="n"/>
      <c r="D222" s="139" t="n"/>
      <c r="E222" s="139" t="n"/>
      <c r="F222" s="139" t="n"/>
      <c r="G222" s="55" t="n"/>
      <c r="H222" s="139" t="n"/>
      <c r="I222" s="139" t="n"/>
      <c r="J222" s="139" t="n"/>
      <c r="K222" s="139" t="n"/>
      <c r="L222" s="139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</row>
    <row r="223" ht="45.75" customHeight="1" s="211">
      <c r="A223" s="139" t="n"/>
      <c r="B223" s="139" t="n"/>
      <c r="C223" s="139" t="n"/>
      <c r="D223" s="139" t="n"/>
      <c r="E223" s="139" t="n"/>
      <c r="F223" s="139" t="n"/>
      <c r="G223" s="55" t="n"/>
      <c r="H223" s="139" t="n"/>
      <c r="I223" s="139" t="n"/>
      <c r="J223" s="139" t="n"/>
      <c r="K223" s="139" t="n"/>
      <c r="L223" s="139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</row>
    <row r="224" ht="45.75" customHeight="1" s="211">
      <c r="A224" s="139" t="n"/>
      <c r="B224" s="139" t="n"/>
      <c r="C224" s="139" t="n"/>
      <c r="D224" s="139" t="n"/>
      <c r="E224" s="139" t="n"/>
      <c r="F224" s="139" t="n"/>
      <c r="G224" s="55" t="n"/>
      <c r="H224" s="139" t="n"/>
      <c r="I224" s="139" t="n"/>
      <c r="J224" s="139" t="n"/>
      <c r="K224" s="139" t="n"/>
      <c r="L224" s="139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</row>
    <row r="225" ht="45.75" customHeight="1" s="211">
      <c r="A225" s="139" t="n"/>
      <c r="B225" s="139" t="n"/>
      <c r="C225" s="139" t="n"/>
      <c r="D225" s="139" t="n"/>
      <c r="E225" s="139" t="n"/>
      <c r="F225" s="139" t="n"/>
      <c r="G225" s="55" t="n"/>
      <c r="H225" s="139" t="n"/>
      <c r="I225" s="139" t="n"/>
      <c r="J225" s="139" t="n"/>
      <c r="K225" s="139" t="n"/>
      <c r="L225" s="139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</row>
    <row r="226" ht="45.75" customHeight="1" s="211">
      <c r="A226" s="139" t="n"/>
      <c r="B226" s="139" t="n"/>
      <c r="C226" s="139" t="n"/>
      <c r="D226" s="139" t="n"/>
      <c r="E226" s="139" t="n"/>
      <c r="F226" s="139" t="n"/>
      <c r="G226" s="55" t="n"/>
      <c r="H226" s="139" t="n"/>
      <c r="I226" s="139" t="n"/>
      <c r="J226" s="139" t="n"/>
      <c r="K226" s="139" t="n"/>
      <c r="L226" s="139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</row>
    <row r="227" ht="45.75" customHeight="1" s="211">
      <c r="A227" s="139" t="n"/>
      <c r="B227" s="139" t="n"/>
      <c r="C227" s="139" t="n"/>
      <c r="D227" s="139" t="n"/>
      <c r="E227" s="139" t="n"/>
      <c r="F227" s="139" t="n"/>
      <c r="G227" s="55" t="n"/>
      <c r="H227" s="139" t="n"/>
      <c r="I227" s="139" t="n"/>
      <c r="J227" s="139" t="n"/>
      <c r="K227" s="139" t="n"/>
      <c r="L227" s="139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</row>
    <row r="228" ht="45.75" customHeight="1" s="211">
      <c r="A228" s="139" t="n"/>
      <c r="B228" s="139" t="n"/>
      <c r="C228" s="139" t="n"/>
      <c r="D228" s="139" t="n"/>
      <c r="E228" s="139" t="n"/>
      <c r="F228" s="139" t="n"/>
      <c r="G228" s="55" t="n"/>
      <c r="H228" s="139" t="n"/>
      <c r="I228" s="139" t="n"/>
      <c r="J228" s="139" t="n"/>
      <c r="K228" s="139" t="n"/>
      <c r="L228" s="139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</row>
    <row r="229" ht="45.75" customHeight="1" s="211">
      <c r="A229" s="139" t="n"/>
      <c r="B229" s="139" t="n"/>
      <c r="C229" s="139" t="n"/>
      <c r="D229" s="139" t="n"/>
      <c r="E229" s="139" t="n"/>
      <c r="F229" s="139" t="n"/>
      <c r="G229" s="55" t="n"/>
      <c r="H229" s="139" t="n"/>
      <c r="I229" s="139" t="n"/>
      <c r="J229" s="139" t="n"/>
      <c r="K229" s="139" t="n"/>
      <c r="L229" s="139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</row>
    <row r="230" ht="45.75" customHeight="1" s="211">
      <c r="A230" s="139" t="n"/>
      <c r="B230" s="139" t="n"/>
      <c r="C230" s="139" t="n"/>
      <c r="D230" s="139" t="n"/>
      <c r="E230" s="139" t="n"/>
      <c r="F230" s="139" t="n"/>
      <c r="G230" s="55" t="n"/>
      <c r="H230" s="139" t="n"/>
      <c r="I230" s="139" t="n"/>
      <c r="J230" s="139" t="n"/>
      <c r="K230" s="139" t="n"/>
      <c r="L230" s="139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</row>
    <row r="231" ht="45.75" customHeight="1" s="211">
      <c r="A231" s="139" t="n"/>
      <c r="B231" s="139" t="n"/>
      <c r="C231" s="139" t="n"/>
      <c r="D231" s="139" t="n"/>
      <c r="E231" s="139" t="n"/>
      <c r="F231" s="139" t="n"/>
      <c r="G231" s="55" t="n"/>
      <c r="H231" s="139" t="n"/>
      <c r="I231" s="139" t="n"/>
      <c r="J231" s="139" t="n"/>
      <c r="K231" s="139" t="n"/>
      <c r="L231" s="139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</row>
    <row r="232" ht="45.75" customHeight="1" s="211">
      <c r="A232" s="139" t="n"/>
      <c r="B232" s="139" t="n"/>
      <c r="C232" s="139" t="n"/>
      <c r="D232" s="139" t="n"/>
      <c r="E232" s="139" t="n"/>
      <c r="F232" s="139" t="n"/>
      <c r="G232" s="55" t="n"/>
      <c r="H232" s="139" t="n"/>
      <c r="I232" s="139" t="n"/>
      <c r="J232" s="139" t="n"/>
      <c r="K232" s="139" t="n"/>
      <c r="L232" s="139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</row>
    <row r="233" ht="45.75" customHeight="1" s="211">
      <c r="A233" s="139" t="n"/>
      <c r="B233" s="139" t="n"/>
      <c r="C233" s="139" t="n"/>
      <c r="D233" s="139" t="n"/>
      <c r="E233" s="139" t="n"/>
      <c r="F233" s="139" t="n"/>
      <c r="G233" s="55" t="n"/>
      <c r="H233" s="139" t="n"/>
      <c r="I233" s="139" t="n"/>
      <c r="J233" s="139" t="n"/>
      <c r="K233" s="139" t="n"/>
      <c r="L233" s="139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</row>
    <row r="234" ht="45.75" customHeight="1" s="211">
      <c r="A234" s="139" t="n"/>
      <c r="B234" s="139" t="n"/>
      <c r="C234" s="139" t="n"/>
      <c r="D234" s="139" t="n"/>
      <c r="E234" s="139" t="n"/>
      <c r="F234" s="139" t="n"/>
      <c r="G234" s="55" t="n"/>
      <c r="H234" s="139" t="n"/>
      <c r="I234" s="139" t="n"/>
      <c r="J234" s="139" t="n"/>
      <c r="K234" s="139" t="n"/>
      <c r="L234" s="139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</row>
    <row r="235" ht="45.75" customHeight="1" s="211">
      <c r="A235" s="139" t="n"/>
      <c r="B235" s="139" t="n"/>
      <c r="C235" s="139" t="n"/>
      <c r="D235" s="139" t="n"/>
      <c r="E235" s="139" t="n"/>
      <c r="F235" s="139" t="n"/>
      <c r="G235" s="55" t="n"/>
      <c r="H235" s="139" t="n"/>
      <c r="I235" s="139" t="n"/>
      <c r="J235" s="139" t="n"/>
      <c r="K235" s="139" t="n"/>
      <c r="L235" s="139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</row>
    <row r="236" ht="45.75" customHeight="1" s="211">
      <c r="A236" s="139" t="n"/>
      <c r="B236" s="139" t="n"/>
      <c r="C236" s="139" t="n"/>
      <c r="D236" s="139" t="n"/>
      <c r="E236" s="139" t="n"/>
      <c r="F236" s="139" t="n"/>
      <c r="G236" s="55" t="n"/>
      <c r="H236" s="139" t="n"/>
      <c r="I236" s="139" t="n"/>
      <c r="J236" s="139" t="n"/>
      <c r="K236" s="139" t="n"/>
      <c r="L236" s="139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</row>
    <row r="237" ht="45.75" customHeight="1" s="211">
      <c r="A237" s="139" t="n"/>
      <c r="B237" s="139" t="n"/>
      <c r="C237" s="139" t="n"/>
      <c r="D237" s="139" t="n"/>
      <c r="E237" s="139" t="n"/>
      <c r="F237" s="139" t="n"/>
      <c r="G237" s="55" t="n"/>
      <c r="H237" s="139" t="n"/>
      <c r="I237" s="139" t="n"/>
      <c r="J237" s="139" t="n"/>
      <c r="K237" s="139" t="n"/>
      <c r="L237" s="139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</row>
    <row r="238" ht="45.75" customHeight="1" s="211">
      <c r="A238" s="139" t="n"/>
      <c r="B238" s="139" t="n"/>
      <c r="C238" s="139" t="n"/>
      <c r="D238" s="139" t="n"/>
      <c r="E238" s="139" t="n"/>
      <c r="F238" s="139" t="n"/>
      <c r="G238" s="55" t="n"/>
      <c r="H238" s="139" t="n"/>
      <c r="I238" s="139" t="n"/>
      <c r="J238" s="139" t="n"/>
      <c r="K238" s="139" t="n"/>
      <c r="L238" s="139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</row>
    <row r="239" ht="45.75" customHeight="1" s="211">
      <c r="A239" s="139" t="n"/>
      <c r="B239" s="139" t="n"/>
      <c r="C239" s="139" t="n"/>
      <c r="D239" s="139" t="n"/>
      <c r="E239" s="139" t="n"/>
      <c r="F239" s="139" t="n"/>
      <c r="G239" s="55" t="n"/>
      <c r="H239" s="139" t="n"/>
      <c r="I239" s="139" t="n"/>
      <c r="J239" s="139" t="n"/>
      <c r="K239" s="139" t="n"/>
      <c r="L239" s="139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</row>
    <row r="240" ht="45.75" customHeight="1" s="211">
      <c r="A240" s="139" t="n"/>
      <c r="B240" s="139" t="n"/>
      <c r="C240" s="139" t="n"/>
      <c r="D240" s="139" t="n"/>
      <c r="E240" s="139" t="n"/>
      <c r="F240" s="139" t="n"/>
      <c r="G240" s="55" t="n"/>
      <c r="H240" s="139" t="n"/>
      <c r="I240" s="139" t="n"/>
      <c r="J240" s="139" t="n"/>
      <c r="K240" s="139" t="n"/>
      <c r="L240" s="139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</row>
    <row r="241" ht="45.75" customHeight="1" s="211">
      <c r="A241" s="139" t="n"/>
      <c r="B241" s="139" t="n"/>
      <c r="C241" s="139" t="n"/>
      <c r="D241" s="139" t="n"/>
      <c r="E241" s="139" t="n"/>
      <c r="F241" s="139" t="n"/>
      <c r="G241" s="55" t="n"/>
      <c r="H241" s="139" t="n"/>
      <c r="I241" s="139" t="n"/>
      <c r="J241" s="139" t="n"/>
      <c r="K241" s="139" t="n"/>
      <c r="L241" s="139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</row>
    <row r="242" ht="45.75" customHeight="1" s="211">
      <c r="A242" s="139" t="n"/>
      <c r="B242" s="139" t="n"/>
      <c r="C242" s="139" t="n"/>
      <c r="D242" s="139" t="n"/>
      <c r="E242" s="139" t="n"/>
      <c r="F242" s="139" t="n"/>
      <c r="G242" s="55" t="n"/>
      <c r="H242" s="139" t="n"/>
      <c r="I242" s="139" t="n"/>
      <c r="J242" s="139" t="n"/>
      <c r="K242" s="139" t="n"/>
      <c r="L242" s="139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</row>
    <row r="243" ht="45.75" customHeight="1" s="211">
      <c r="A243" s="139" t="n"/>
      <c r="B243" s="139" t="n"/>
      <c r="C243" s="139" t="n"/>
      <c r="D243" s="139" t="n"/>
      <c r="E243" s="139" t="n"/>
      <c r="F243" s="139" t="n"/>
      <c r="G243" s="55" t="n"/>
      <c r="H243" s="139" t="n"/>
      <c r="I243" s="139" t="n"/>
      <c r="J243" s="139" t="n"/>
      <c r="K243" s="139" t="n"/>
      <c r="L243" s="139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</row>
    <row r="244" ht="45.75" customHeight="1" s="211">
      <c r="A244" s="139" t="n"/>
      <c r="B244" s="139" t="n"/>
      <c r="C244" s="139" t="n"/>
      <c r="D244" s="139" t="n"/>
      <c r="E244" s="139" t="n"/>
      <c r="F244" s="139" t="n"/>
      <c r="G244" s="55" t="n"/>
      <c r="H244" s="139" t="n"/>
      <c r="I244" s="139" t="n"/>
      <c r="J244" s="139" t="n"/>
      <c r="K244" s="139" t="n"/>
      <c r="L244" s="139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</row>
    <row r="245" ht="45.75" customHeight="1" s="211">
      <c r="A245" s="139" t="n"/>
      <c r="B245" s="139" t="n"/>
      <c r="C245" s="139" t="n"/>
      <c r="D245" s="139" t="n"/>
      <c r="E245" s="139" t="n"/>
      <c r="F245" s="139" t="n"/>
      <c r="G245" s="55" t="n"/>
      <c r="H245" s="139" t="n"/>
      <c r="I245" s="139" t="n"/>
      <c r="J245" s="139" t="n"/>
      <c r="K245" s="139" t="n"/>
      <c r="L245" s="139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</row>
    <row r="246" ht="45.75" customHeight="1" s="211">
      <c r="A246" s="139" t="n"/>
      <c r="B246" s="139" t="n"/>
      <c r="C246" s="139" t="n"/>
      <c r="D246" s="139" t="n"/>
      <c r="E246" s="139" t="n"/>
      <c r="F246" s="139" t="n"/>
      <c r="G246" s="55" t="n"/>
      <c r="H246" s="139" t="n"/>
      <c r="I246" s="139" t="n"/>
      <c r="J246" s="139" t="n"/>
      <c r="K246" s="139" t="n"/>
      <c r="L246" s="139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</row>
    <row r="247" ht="45.75" customHeight="1" s="211">
      <c r="A247" s="139" t="n"/>
      <c r="B247" s="139" t="n"/>
      <c r="C247" s="139" t="n"/>
      <c r="D247" s="139" t="n"/>
      <c r="E247" s="139" t="n"/>
      <c r="F247" s="139" t="n"/>
      <c r="G247" s="55" t="n"/>
      <c r="H247" s="139" t="n"/>
      <c r="I247" s="139" t="n"/>
      <c r="J247" s="139" t="n"/>
      <c r="K247" s="139" t="n"/>
      <c r="L247" s="139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</row>
    <row r="248" ht="45.75" customHeight="1" s="211">
      <c r="A248" s="139" t="n"/>
      <c r="B248" s="139" t="n"/>
      <c r="C248" s="139" t="n"/>
      <c r="D248" s="139" t="n"/>
      <c r="E248" s="139" t="n"/>
      <c r="F248" s="139" t="n"/>
      <c r="G248" s="55" t="n"/>
      <c r="H248" s="139" t="n"/>
      <c r="I248" s="139" t="n"/>
      <c r="J248" s="139" t="n"/>
      <c r="K248" s="139" t="n"/>
      <c r="L248" s="139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</row>
    <row r="249" ht="45.75" customHeight="1" s="211">
      <c r="A249" s="139" t="n"/>
      <c r="B249" s="139" t="n"/>
      <c r="C249" s="139" t="n"/>
      <c r="D249" s="139" t="n"/>
      <c r="E249" s="139" t="n"/>
      <c r="F249" s="139" t="n"/>
      <c r="G249" s="55" t="n"/>
      <c r="H249" s="139" t="n"/>
      <c r="I249" s="139" t="n"/>
      <c r="J249" s="139" t="n"/>
      <c r="K249" s="139" t="n"/>
      <c r="L249" s="139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</row>
    <row r="250" ht="45.75" customHeight="1" s="211">
      <c r="A250" s="139" t="n"/>
      <c r="B250" s="139" t="n"/>
      <c r="C250" s="139" t="n"/>
      <c r="D250" s="139" t="n"/>
      <c r="E250" s="139" t="n"/>
      <c r="F250" s="139" t="n"/>
      <c r="G250" s="55" t="n"/>
      <c r="H250" s="139" t="n"/>
      <c r="I250" s="139" t="n"/>
      <c r="J250" s="139" t="n"/>
      <c r="K250" s="139" t="n"/>
      <c r="L250" s="139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</row>
    <row r="251" ht="45.75" customHeight="1" s="211">
      <c r="A251" s="139" t="n"/>
      <c r="B251" s="139" t="n"/>
      <c r="C251" s="139" t="n"/>
      <c r="D251" s="139" t="n"/>
      <c r="E251" s="139" t="n"/>
      <c r="F251" s="139" t="n"/>
      <c r="G251" s="55" t="n"/>
      <c r="H251" s="139" t="n"/>
      <c r="I251" s="139" t="n"/>
      <c r="J251" s="139" t="n"/>
      <c r="K251" s="139" t="n"/>
      <c r="L251" s="139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</row>
    <row r="252" ht="45.75" customHeight="1" s="211">
      <c r="A252" s="139" t="n"/>
      <c r="B252" s="139" t="n"/>
      <c r="C252" s="139" t="n"/>
      <c r="D252" s="139" t="n"/>
      <c r="E252" s="139" t="n"/>
      <c r="F252" s="139" t="n"/>
      <c r="G252" s="55" t="n"/>
      <c r="H252" s="139" t="n"/>
      <c r="I252" s="139" t="n"/>
      <c r="J252" s="139" t="n"/>
      <c r="K252" s="139" t="n"/>
      <c r="L252" s="139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</row>
    <row r="253" ht="45.75" customHeight="1" s="211">
      <c r="A253" s="139" t="n"/>
      <c r="B253" s="139" t="n"/>
      <c r="C253" s="139" t="n"/>
      <c r="D253" s="139" t="n"/>
      <c r="E253" s="139" t="n"/>
      <c r="F253" s="139" t="n"/>
      <c r="G253" s="55" t="n"/>
      <c r="H253" s="139" t="n"/>
      <c r="I253" s="139" t="n"/>
      <c r="J253" s="139" t="n"/>
      <c r="K253" s="139" t="n"/>
      <c r="L253" s="139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</row>
    <row r="254" ht="45.75" customHeight="1" s="211">
      <c r="A254" s="139" t="n"/>
      <c r="B254" s="139" t="n"/>
      <c r="C254" s="139" t="n"/>
      <c r="D254" s="139" t="n"/>
      <c r="E254" s="139" t="n"/>
      <c r="F254" s="139" t="n"/>
      <c r="G254" s="55" t="n"/>
      <c r="H254" s="139" t="n"/>
      <c r="I254" s="139" t="n"/>
      <c r="J254" s="139" t="n"/>
      <c r="K254" s="139" t="n"/>
      <c r="L254" s="139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</row>
    <row r="255" ht="45.75" customHeight="1" s="211">
      <c r="A255" s="139" t="n"/>
      <c r="B255" s="139" t="n"/>
      <c r="C255" s="139" t="n"/>
      <c r="D255" s="139" t="n"/>
      <c r="E255" s="139" t="n"/>
      <c r="F255" s="139" t="n"/>
      <c r="G255" s="55" t="n"/>
      <c r="H255" s="139" t="n"/>
      <c r="I255" s="139" t="n"/>
      <c r="J255" s="139" t="n"/>
      <c r="K255" s="139" t="n"/>
      <c r="L255" s="139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</row>
    <row r="256" ht="45.75" customHeight="1" s="211">
      <c r="A256" s="139" t="n"/>
      <c r="B256" s="139" t="n"/>
      <c r="C256" s="139" t="n"/>
      <c r="D256" s="139" t="n"/>
      <c r="E256" s="139" t="n"/>
      <c r="F256" s="139" t="n"/>
      <c r="G256" s="55" t="n"/>
      <c r="H256" s="139" t="n"/>
      <c r="I256" s="139" t="n"/>
      <c r="J256" s="139" t="n"/>
      <c r="K256" s="139" t="n"/>
      <c r="L256" s="139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</row>
    <row r="257" ht="45.75" customHeight="1" s="211">
      <c r="A257" s="139" t="n"/>
      <c r="B257" s="139" t="n"/>
      <c r="C257" s="139" t="n"/>
      <c r="D257" s="139" t="n"/>
      <c r="E257" s="139" t="n"/>
      <c r="F257" s="139" t="n"/>
      <c r="G257" s="55" t="n"/>
      <c r="H257" s="139" t="n"/>
      <c r="I257" s="139" t="n"/>
      <c r="J257" s="139" t="n"/>
      <c r="K257" s="139" t="n"/>
      <c r="L257" s="139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</row>
    <row r="258" ht="45.75" customHeight="1" s="211">
      <c r="A258" s="139" t="n"/>
      <c r="B258" s="139" t="n"/>
      <c r="C258" s="139" t="n"/>
      <c r="D258" s="139" t="n"/>
      <c r="E258" s="139" t="n"/>
      <c r="F258" s="139" t="n"/>
      <c r="G258" s="55" t="n"/>
      <c r="H258" s="139" t="n"/>
      <c r="I258" s="139" t="n"/>
      <c r="J258" s="139" t="n"/>
      <c r="K258" s="139" t="n"/>
      <c r="L258" s="139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</row>
    <row r="259" ht="45.75" customHeight="1" s="211">
      <c r="A259" s="139" t="n"/>
      <c r="B259" s="139" t="n"/>
      <c r="C259" s="139" t="n"/>
      <c r="D259" s="139" t="n"/>
      <c r="E259" s="139" t="n"/>
      <c r="F259" s="139" t="n"/>
      <c r="G259" s="55" t="n"/>
      <c r="H259" s="139" t="n"/>
      <c r="I259" s="139" t="n"/>
      <c r="J259" s="139" t="n"/>
      <c r="K259" s="139" t="n"/>
      <c r="L259" s="139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</row>
    <row r="260" ht="45.75" customHeight="1" s="211">
      <c r="A260" s="139" t="n"/>
      <c r="B260" s="139" t="n"/>
      <c r="C260" s="139" t="n"/>
      <c r="D260" s="139" t="n"/>
      <c r="E260" s="139" t="n"/>
      <c r="F260" s="139" t="n"/>
      <c r="G260" s="55" t="n"/>
      <c r="H260" s="139" t="n"/>
      <c r="I260" s="139" t="n"/>
      <c r="J260" s="139" t="n"/>
      <c r="K260" s="139" t="n"/>
      <c r="L260" s="139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</row>
    <row r="261" ht="45.75" customHeight="1" s="211">
      <c r="A261" s="139" t="n"/>
      <c r="B261" s="139" t="n"/>
      <c r="C261" s="139" t="n"/>
      <c r="D261" s="139" t="n"/>
      <c r="E261" s="139" t="n"/>
      <c r="F261" s="139" t="n"/>
      <c r="G261" s="55" t="n"/>
      <c r="H261" s="139" t="n"/>
      <c r="I261" s="139" t="n"/>
      <c r="J261" s="139" t="n"/>
      <c r="K261" s="139" t="n"/>
      <c r="L261" s="139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</row>
    <row r="262" ht="45.75" customHeight="1" s="211">
      <c r="A262" s="139" t="n"/>
      <c r="B262" s="139" t="n"/>
      <c r="C262" s="139" t="n"/>
      <c r="D262" s="139" t="n"/>
      <c r="E262" s="139" t="n"/>
      <c r="F262" s="139" t="n"/>
      <c r="G262" s="55" t="n"/>
      <c r="H262" s="139" t="n"/>
      <c r="I262" s="139" t="n"/>
      <c r="J262" s="139" t="n"/>
      <c r="K262" s="139" t="n"/>
      <c r="L262" s="139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</row>
    <row r="263" ht="45.75" customHeight="1" s="211">
      <c r="A263" s="139" t="n"/>
      <c r="B263" s="139" t="n"/>
      <c r="C263" s="139" t="n"/>
      <c r="D263" s="139" t="n"/>
      <c r="E263" s="139" t="n"/>
      <c r="F263" s="139" t="n"/>
      <c r="G263" s="55" t="n"/>
      <c r="H263" s="139" t="n"/>
      <c r="I263" s="139" t="n"/>
      <c r="J263" s="139" t="n"/>
      <c r="K263" s="139" t="n"/>
      <c r="L263" s="139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</row>
    <row r="264" ht="45.75" customHeight="1" s="211">
      <c r="A264" s="139" t="n"/>
      <c r="B264" s="139" t="n"/>
      <c r="C264" s="139" t="n"/>
      <c r="D264" s="139" t="n"/>
      <c r="E264" s="139" t="n"/>
      <c r="F264" s="139" t="n"/>
      <c r="G264" s="55" t="n"/>
      <c r="H264" s="139" t="n"/>
      <c r="I264" s="139" t="n"/>
      <c r="J264" s="139" t="n"/>
      <c r="K264" s="139" t="n"/>
      <c r="L264" s="139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</row>
    <row r="265" ht="45.75" customHeight="1" s="211">
      <c r="A265" s="139" t="n"/>
      <c r="B265" s="139" t="n"/>
      <c r="C265" s="139" t="n"/>
      <c r="D265" s="139" t="n"/>
      <c r="E265" s="139" t="n"/>
      <c r="F265" s="139" t="n"/>
      <c r="G265" s="55" t="n"/>
      <c r="H265" s="139" t="n"/>
      <c r="I265" s="139" t="n"/>
      <c r="J265" s="139" t="n"/>
      <c r="K265" s="139" t="n"/>
      <c r="L265" s="139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</row>
    <row r="266" ht="45.75" customHeight="1" s="211">
      <c r="A266" s="139" t="n"/>
      <c r="B266" s="139" t="n"/>
      <c r="C266" s="139" t="n"/>
      <c r="D266" s="139" t="n"/>
      <c r="E266" s="139" t="n"/>
      <c r="F266" s="139" t="n"/>
      <c r="G266" s="55" t="n"/>
      <c r="H266" s="139" t="n"/>
      <c r="I266" s="139" t="n"/>
      <c r="J266" s="139" t="n"/>
      <c r="K266" s="139" t="n"/>
      <c r="L266" s="139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</row>
    <row r="267" ht="45.75" customHeight="1" s="211">
      <c r="A267" s="139" t="n"/>
      <c r="B267" s="139" t="n"/>
      <c r="C267" s="139" t="n"/>
      <c r="D267" s="139" t="n"/>
      <c r="E267" s="139" t="n"/>
      <c r="F267" s="139" t="n"/>
      <c r="G267" s="55" t="n"/>
      <c r="H267" s="139" t="n"/>
      <c r="I267" s="139" t="n"/>
      <c r="J267" s="139" t="n"/>
      <c r="K267" s="139" t="n"/>
      <c r="L267" s="139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</row>
    <row r="268" ht="45.75" customHeight="1" s="211">
      <c r="A268" s="139" t="n"/>
      <c r="B268" s="139" t="n"/>
      <c r="C268" s="139" t="n"/>
      <c r="D268" s="139" t="n"/>
      <c r="E268" s="139" t="n"/>
      <c r="F268" s="139" t="n"/>
      <c r="G268" s="55" t="n"/>
      <c r="H268" s="139" t="n"/>
      <c r="I268" s="139" t="n"/>
      <c r="J268" s="139" t="n"/>
      <c r="K268" s="139" t="n"/>
      <c r="L268" s="139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</row>
    <row r="269" ht="45.75" customHeight="1" s="211">
      <c r="A269" s="139" t="n"/>
      <c r="B269" s="139" t="n"/>
      <c r="C269" s="139" t="n"/>
      <c r="D269" s="139" t="n"/>
      <c r="E269" s="139" t="n"/>
      <c r="F269" s="139" t="n"/>
      <c r="G269" s="55" t="n"/>
      <c r="H269" s="139" t="n"/>
      <c r="I269" s="139" t="n"/>
      <c r="J269" s="139" t="n"/>
      <c r="K269" s="139" t="n"/>
      <c r="L269" s="139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</row>
    <row r="270" ht="45.75" customHeight="1" s="211">
      <c r="A270" s="139" t="n"/>
      <c r="B270" s="139" t="n"/>
      <c r="C270" s="139" t="n"/>
      <c r="D270" s="139" t="n"/>
      <c r="E270" s="139" t="n"/>
      <c r="F270" s="139" t="n"/>
      <c r="G270" s="55" t="n"/>
      <c r="H270" s="139" t="n"/>
      <c r="I270" s="139" t="n"/>
      <c r="J270" s="139" t="n"/>
      <c r="K270" s="139" t="n"/>
      <c r="L270" s="139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</row>
    <row r="271" ht="45.75" customHeight="1" s="211">
      <c r="A271" s="139" t="n"/>
      <c r="B271" s="139" t="n"/>
      <c r="C271" s="139" t="n"/>
      <c r="D271" s="139" t="n"/>
      <c r="E271" s="139" t="n"/>
      <c r="F271" s="139" t="n"/>
      <c r="G271" s="55" t="n"/>
      <c r="H271" s="139" t="n"/>
      <c r="I271" s="139" t="n"/>
      <c r="J271" s="139" t="n"/>
      <c r="K271" s="139" t="n"/>
      <c r="L271" s="139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</row>
    <row r="272" ht="45.75" customHeight="1" s="211">
      <c r="A272" s="139" t="n"/>
      <c r="B272" s="139" t="n"/>
      <c r="C272" s="139" t="n"/>
      <c r="D272" s="139" t="n"/>
      <c r="E272" s="139" t="n"/>
      <c r="F272" s="139" t="n"/>
      <c r="G272" s="55" t="n"/>
      <c r="H272" s="139" t="n"/>
      <c r="I272" s="139" t="n"/>
      <c r="J272" s="139" t="n"/>
      <c r="K272" s="139" t="n"/>
      <c r="L272" s="139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</row>
    <row r="273" ht="45.75" customHeight="1" s="211">
      <c r="A273" s="139" t="n"/>
      <c r="B273" s="139" t="n"/>
      <c r="C273" s="139" t="n"/>
      <c r="D273" s="139" t="n"/>
      <c r="E273" s="139" t="n"/>
      <c r="F273" s="139" t="n"/>
      <c r="G273" s="55" t="n"/>
      <c r="H273" s="139" t="n"/>
      <c r="I273" s="139" t="n"/>
      <c r="J273" s="139" t="n"/>
      <c r="K273" s="139" t="n"/>
      <c r="L273" s="139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</row>
    <row r="274" ht="45.75" customHeight="1" s="211">
      <c r="A274" s="139" t="n"/>
      <c r="B274" s="139" t="n"/>
      <c r="C274" s="139" t="n"/>
      <c r="D274" s="139" t="n"/>
      <c r="E274" s="139" t="n"/>
      <c r="F274" s="139" t="n"/>
      <c r="G274" s="55" t="n"/>
      <c r="H274" s="139" t="n"/>
      <c r="I274" s="139" t="n"/>
      <c r="J274" s="139" t="n"/>
      <c r="K274" s="139" t="n"/>
      <c r="L274" s="139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</row>
    <row r="275" ht="45.75" customHeight="1" s="211">
      <c r="A275" s="139" t="n"/>
      <c r="B275" s="139" t="n"/>
      <c r="C275" s="139" t="n"/>
      <c r="D275" s="139" t="n"/>
      <c r="E275" s="139" t="n"/>
      <c r="F275" s="139" t="n"/>
      <c r="G275" s="55" t="n"/>
      <c r="H275" s="139" t="n"/>
      <c r="I275" s="139" t="n"/>
      <c r="J275" s="139" t="n"/>
      <c r="K275" s="139" t="n"/>
      <c r="L275" s="139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</row>
    <row r="276" ht="45.75" customHeight="1" s="211">
      <c r="A276" s="139" t="n"/>
      <c r="B276" s="139" t="n"/>
      <c r="C276" s="139" t="n"/>
      <c r="D276" s="139" t="n"/>
      <c r="E276" s="139" t="n"/>
      <c r="F276" s="139" t="n"/>
      <c r="G276" s="55" t="n"/>
      <c r="H276" s="139" t="n"/>
      <c r="I276" s="139" t="n"/>
      <c r="J276" s="139" t="n"/>
      <c r="K276" s="139" t="n"/>
      <c r="L276" s="139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</row>
    <row r="277" ht="45.75" customHeight="1" s="211">
      <c r="A277" s="139" t="n"/>
      <c r="B277" s="139" t="n"/>
      <c r="C277" s="139" t="n"/>
      <c r="D277" s="139" t="n"/>
      <c r="E277" s="139" t="n"/>
      <c r="F277" s="139" t="n"/>
      <c r="G277" s="55" t="n"/>
      <c r="H277" s="139" t="n"/>
      <c r="I277" s="139" t="n"/>
      <c r="J277" s="139" t="n"/>
      <c r="K277" s="139" t="n"/>
      <c r="L277" s="139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</row>
    <row r="278" ht="45.75" customHeight="1" s="211">
      <c r="A278" s="139" t="n"/>
      <c r="B278" s="139" t="n"/>
      <c r="C278" s="139" t="n"/>
      <c r="D278" s="139" t="n"/>
      <c r="E278" s="139" t="n"/>
      <c r="F278" s="139" t="n"/>
      <c r="G278" s="55" t="n"/>
      <c r="H278" s="139" t="n"/>
      <c r="I278" s="139" t="n"/>
      <c r="J278" s="139" t="n"/>
      <c r="K278" s="139" t="n"/>
      <c r="L278" s="139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</row>
    <row r="279" ht="45.75" customHeight="1" s="211">
      <c r="A279" s="139" t="n"/>
      <c r="B279" s="139" t="n"/>
      <c r="C279" s="139" t="n"/>
      <c r="D279" s="139" t="n"/>
      <c r="E279" s="139" t="n"/>
      <c r="F279" s="139" t="n"/>
      <c r="G279" s="55" t="n"/>
      <c r="H279" s="139" t="n"/>
      <c r="I279" s="139" t="n"/>
      <c r="J279" s="139" t="n"/>
      <c r="K279" s="139" t="n"/>
      <c r="L279" s="139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</row>
    <row r="280" ht="45.75" customHeight="1" s="211">
      <c r="A280" s="139" t="n"/>
      <c r="B280" s="139" t="n"/>
      <c r="C280" s="139" t="n"/>
      <c r="D280" s="139" t="n"/>
      <c r="E280" s="139" t="n"/>
      <c r="F280" s="139" t="n"/>
      <c r="G280" s="55" t="n"/>
      <c r="H280" s="139" t="n"/>
      <c r="I280" s="139" t="n"/>
      <c r="J280" s="139" t="n"/>
      <c r="K280" s="139" t="n"/>
      <c r="L280" s="139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</row>
    <row r="281" ht="45.75" customHeight="1" s="211">
      <c r="A281" s="139" t="n"/>
      <c r="B281" s="139" t="n"/>
      <c r="C281" s="139" t="n"/>
      <c r="D281" s="139" t="n"/>
      <c r="E281" s="139" t="n"/>
      <c r="F281" s="139" t="n"/>
      <c r="G281" s="55" t="n"/>
      <c r="H281" s="139" t="n"/>
      <c r="I281" s="139" t="n"/>
      <c r="J281" s="139" t="n"/>
      <c r="K281" s="139" t="n"/>
      <c r="L281" s="139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</row>
    <row r="282" ht="45.75" customHeight="1" s="211">
      <c r="A282" s="139" t="n"/>
      <c r="B282" s="139" t="n"/>
      <c r="C282" s="139" t="n"/>
      <c r="D282" s="139" t="n"/>
      <c r="E282" s="139" t="n"/>
      <c r="F282" s="139" t="n"/>
      <c r="G282" s="55" t="n"/>
      <c r="H282" s="139" t="n"/>
      <c r="I282" s="139" t="n"/>
      <c r="J282" s="139" t="n"/>
      <c r="K282" s="139" t="n"/>
      <c r="L282" s="139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</row>
    <row r="283" ht="45.75" customHeight="1" s="211">
      <c r="A283" s="139" t="n"/>
      <c r="B283" s="139" t="n"/>
      <c r="C283" s="139" t="n"/>
      <c r="D283" s="139" t="n"/>
      <c r="E283" s="139" t="n"/>
      <c r="F283" s="139" t="n"/>
      <c r="G283" s="55" t="n"/>
      <c r="H283" s="139" t="n"/>
      <c r="I283" s="139" t="n"/>
      <c r="J283" s="139" t="n"/>
      <c r="K283" s="139" t="n"/>
      <c r="L283" s="139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</row>
    <row r="284" ht="45.75" customHeight="1" s="211">
      <c r="A284" s="139" t="n"/>
      <c r="B284" s="139" t="n"/>
      <c r="C284" s="139" t="n"/>
      <c r="D284" s="139" t="n"/>
      <c r="E284" s="139" t="n"/>
      <c r="F284" s="139" t="n"/>
      <c r="G284" s="55" t="n"/>
      <c r="H284" s="139" t="n"/>
      <c r="I284" s="139" t="n"/>
      <c r="J284" s="139" t="n"/>
      <c r="K284" s="139" t="n"/>
      <c r="L284" s="139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</row>
    <row r="285" ht="45.75" customHeight="1" s="211">
      <c r="A285" s="139" t="n"/>
      <c r="B285" s="139" t="n"/>
      <c r="C285" s="139" t="n"/>
      <c r="D285" s="139" t="n"/>
      <c r="E285" s="139" t="n"/>
      <c r="F285" s="139" t="n"/>
      <c r="G285" s="55" t="n"/>
      <c r="H285" s="139" t="n"/>
      <c r="I285" s="139" t="n"/>
      <c r="J285" s="139" t="n"/>
      <c r="K285" s="139" t="n"/>
      <c r="L285" s="139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</row>
    <row r="286" ht="45.75" customHeight="1" s="211">
      <c r="A286" s="139" t="n"/>
      <c r="B286" s="139" t="n"/>
      <c r="C286" s="139" t="n"/>
      <c r="D286" s="139" t="n"/>
      <c r="E286" s="139" t="n"/>
      <c r="F286" s="139" t="n"/>
      <c r="G286" s="55" t="n"/>
      <c r="H286" s="139" t="n"/>
      <c r="I286" s="139" t="n"/>
      <c r="J286" s="139" t="n"/>
      <c r="K286" s="139" t="n"/>
      <c r="L286" s="139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</row>
    <row r="287" ht="45.75" customHeight="1" s="211">
      <c r="A287" s="139" t="n"/>
      <c r="B287" s="139" t="n"/>
      <c r="C287" s="139" t="n"/>
      <c r="D287" s="139" t="n"/>
      <c r="E287" s="139" t="n"/>
      <c r="F287" s="139" t="n"/>
      <c r="G287" s="55" t="n"/>
      <c r="H287" s="139" t="n"/>
      <c r="I287" s="139" t="n"/>
      <c r="J287" s="139" t="n"/>
      <c r="K287" s="139" t="n"/>
      <c r="L287" s="139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</row>
    <row r="288" ht="45.75" customHeight="1" s="211">
      <c r="A288" s="139" t="n"/>
      <c r="B288" s="139" t="n"/>
      <c r="C288" s="139" t="n"/>
      <c r="D288" s="139" t="n"/>
      <c r="E288" s="139" t="n"/>
      <c r="F288" s="139" t="n"/>
      <c r="G288" s="55" t="n"/>
      <c r="H288" s="139" t="n"/>
      <c r="I288" s="139" t="n"/>
      <c r="J288" s="139" t="n"/>
      <c r="K288" s="139" t="n"/>
      <c r="L288" s="139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</row>
    <row r="289" ht="45.75" customHeight="1" s="211">
      <c r="A289" s="139" t="n"/>
      <c r="B289" s="139" t="n"/>
      <c r="C289" s="139" t="n"/>
      <c r="D289" s="139" t="n"/>
      <c r="E289" s="139" t="n"/>
      <c r="F289" s="139" t="n"/>
      <c r="G289" s="55" t="n"/>
      <c r="H289" s="139" t="n"/>
      <c r="I289" s="139" t="n"/>
      <c r="J289" s="139" t="n"/>
      <c r="K289" s="139" t="n"/>
      <c r="L289" s="139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</row>
    <row r="290" ht="45.75" customHeight="1" s="211">
      <c r="A290" s="139" t="n"/>
      <c r="B290" s="139" t="n"/>
      <c r="C290" s="139" t="n"/>
      <c r="D290" s="139" t="n"/>
      <c r="E290" s="139" t="n"/>
      <c r="F290" s="139" t="n"/>
      <c r="G290" s="55" t="n"/>
      <c r="H290" s="139" t="n"/>
      <c r="I290" s="139" t="n"/>
      <c r="J290" s="139" t="n"/>
      <c r="K290" s="139" t="n"/>
      <c r="L290" s="139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</row>
    <row r="291" ht="45.75" customHeight="1" s="211">
      <c r="A291" s="139" t="n"/>
      <c r="B291" s="139" t="n"/>
      <c r="C291" s="139" t="n"/>
      <c r="D291" s="139" t="n"/>
      <c r="E291" s="139" t="n"/>
      <c r="F291" s="139" t="n"/>
      <c r="G291" s="55" t="n"/>
      <c r="H291" s="139" t="n"/>
      <c r="I291" s="139" t="n"/>
      <c r="J291" s="139" t="n"/>
      <c r="K291" s="139" t="n"/>
      <c r="L291" s="139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</row>
    <row r="292" ht="45.75" customHeight="1" s="211">
      <c r="A292" s="139" t="n"/>
      <c r="B292" s="139" t="n"/>
      <c r="C292" s="139" t="n"/>
      <c r="D292" s="139" t="n"/>
      <c r="E292" s="139" t="n"/>
      <c r="F292" s="139" t="n"/>
      <c r="G292" s="55" t="n"/>
      <c r="H292" s="139" t="n"/>
      <c r="I292" s="139" t="n"/>
      <c r="J292" s="139" t="n"/>
      <c r="K292" s="139" t="n"/>
      <c r="L292" s="139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</row>
    <row r="293" ht="45.75" customHeight="1" s="211">
      <c r="A293" s="139" t="n"/>
      <c r="B293" s="139" t="n"/>
      <c r="C293" s="139" t="n"/>
      <c r="D293" s="139" t="n"/>
      <c r="E293" s="139" t="n"/>
      <c r="F293" s="139" t="n"/>
      <c r="G293" s="55" t="n"/>
      <c r="H293" s="139" t="n"/>
      <c r="I293" s="139" t="n"/>
      <c r="J293" s="139" t="n"/>
      <c r="K293" s="139" t="n"/>
      <c r="L293" s="139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</row>
    <row r="294" ht="45.75" customHeight="1" s="211">
      <c r="A294" s="139" t="n"/>
      <c r="B294" s="139" t="n"/>
      <c r="C294" s="139" t="n"/>
      <c r="D294" s="139" t="n"/>
      <c r="E294" s="139" t="n"/>
      <c r="F294" s="139" t="n"/>
      <c r="G294" s="55" t="n"/>
      <c r="H294" s="139" t="n"/>
      <c r="I294" s="139" t="n"/>
      <c r="J294" s="139" t="n"/>
      <c r="K294" s="139" t="n"/>
      <c r="L294" s="139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</row>
    <row r="295" ht="45.75" customHeight="1" s="211">
      <c r="A295" s="139" t="n"/>
      <c r="B295" s="139" t="n"/>
      <c r="C295" s="139" t="n"/>
      <c r="D295" s="139" t="n"/>
      <c r="E295" s="139" t="n"/>
      <c r="F295" s="139" t="n"/>
      <c r="G295" s="55" t="n"/>
      <c r="H295" s="139" t="n"/>
      <c r="I295" s="139" t="n"/>
      <c r="J295" s="139" t="n"/>
      <c r="K295" s="139" t="n"/>
      <c r="L295" s="139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</row>
    <row r="296" ht="45.75" customHeight="1" s="211">
      <c r="A296" s="139" t="n"/>
      <c r="B296" s="139" t="n"/>
      <c r="C296" s="139" t="n"/>
      <c r="D296" s="139" t="n"/>
      <c r="E296" s="139" t="n"/>
      <c r="F296" s="139" t="n"/>
      <c r="G296" s="55" t="n"/>
      <c r="H296" s="139" t="n"/>
      <c r="I296" s="139" t="n"/>
      <c r="J296" s="139" t="n"/>
      <c r="K296" s="139" t="n"/>
      <c r="L296" s="139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</row>
    <row r="297" ht="45.75" customHeight="1" s="211">
      <c r="A297" s="139" t="n"/>
      <c r="B297" s="139" t="n"/>
      <c r="C297" s="139" t="n"/>
      <c r="D297" s="139" t="n"/>
      <c r="E297" s="139" t="n"/>
      <c r="F297" s="139" t="n"/>
      <c r="G297" s="55" t="n"/>
      <c r="H297" s="139" t="n"/>
      <c r="I297" s="139" t="n"/>
      <c r="J297" s="139" t="n"/>
      <c r="K297" s="139" t="n"/>
      <c r="L297" s="139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</row>
    <row r="298" ht="45.75" customHeight="1" s="211">
      <c r="A298" s="139" t="n"/>
      <c r="B298" s="139" t="n"/>
      <c r="C298" s="139" t="n"/>
      <c r="D298" s="139" t="n"/>
      <c r="E298" s="139" t="n"/>
      <c r="F298" s="139" t="n"/>
      <c r="G298" s="55" t="n"/>
      <c r="H298" s="139" t="n"/>
      <c r="I298" s="139" t="n"/>
      <c r="J298" s="139" t="n"/>
      <c r="K298" s="139" t="n"/>
      <c r="L298" s="139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</row>
    <row r="299" ht="45.75" customHeight="1" s="211">
      <c r="A299" s="139" t="n"/>
      <c r="B299" s="139" t="n"/>
      <c r="C299" s="139" t="n"/>
      <c r="D299" s="139" t="n"/>
      <c r="E299" s="139" t="n"/>
      <c r="F299" s="139" t="n"/>
      <c r="G299" s="55" t="n"/>
      <c r="H299" s="139" t="n"/>
      <c r="I299" s="139" t="n"/>
      <c r="J299" s="139" t="n"/>
      <c r="K299" s="139" t="n"/>
      <c r="L299" s="139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</row>
    <row r="300" ht="45.75" customHeight="1" s="211">
      <c r="A300" s="139" t="n"/>
      <c r="B300" s="139" t="n"/>
      <c r="C300" s="139" t="n"/>
      <c r="D300" s="139" t="n"/>
      <c r="E300" s="139" t="n"/>
      <c r="F300" s="139" t="n"/>
      <c r="G300" s="55" t="n"/>
      <c r="H300" s="139" t="n"/>
      <c r="I300" s="139" t="n"/>
      <c r="J300" s="139" t="n"/>
      <c r="K300" s="139" t="n"/>
      <c r="L300" s="139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</row>
    <row r="301" ht="45.75" customHeight="1" s="211">
      <c r="A301" s="139" t="n"/>
      <c r="B301" s="139" t="n"/>
      <c r="C301" s="139" t="n"/>
      <c r="D301" s="139" t="n"/>
      <c r="E301" s="139" t="n"/>
      <c r="F301" s="139" t="n"/>
      <c r="G301" s="55" t="n"/>
      <c r="H301" s="139" t="n"/>
      <c r="I301" s="139" t="n"/>
      <c r="J301" s="139" t="n"/>
      <c r="K301" s="139" t="n"/>
      <c r="L301" s="139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</row>
    <row r="302" ht="45.75" customHeight="1" s="211">
      <c r="A302" s="139" t="n"/>
      <c r="B302" s="139" t="n"/>
      <c r="C302" s="139" t="n"/>
      <c r="D302" s="139" t="n"/>
      <c r="E302" s="139" t="n"/>
      <c r="F302" s="139" t="n"/>
      <c r="G302" s="55" t="n"/>
      <c r="H302" s="139" t="n"/>
      <c r="I302" s="139" t="n"/>
      <c r="J302" s="139" t="n"/>
      <c r="K302" s="139" t="n"/>
      <c r="L302" s="139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</row>
    <row r="303" ht="45.75" customHeight="1" s="211">
      <c r="A303" s="139" t="n"/>
      <c r="B303" s="139" t="n"/>
      <c r="C303" s="139" t="n"/>
      <c r="D303" s="139" t="n"/>
      <c r="E303" s="139" t="n"/>
      <c r="F303" s="139" t="n"/>
      <c r="G303" s="55" t="n"/>
      <c r="H303" s="139" t="n"/>
      <c r="I303" s="139" t="n"/>
      <c r="J303" s="139" t="n"/>
      <c r="K303" s="139" t="n"/>
      <c r="L303" s="139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</row>
    <row r="304" ht="45.75" customHeight="1" s="211">
      <c r="A304" s="139" t="n"/>
      <c r="B304" s="139" t="n"/>
      <c r="C304" s="139" t="n"/>
      <c r="D304" s="139" t="n"/>
      <c r="E304" s="139" t="n"/>
      <c r="F304" s="139" t="n"/>
      <c r="G304" s="55" t="n"/>
      <c r="H304" s="139" t="n"/>
      <c r="I304" s="139" t="n"/>
      <c r="J304" s="139" t="n"/>
      <c r="K304" s="139" t="n"/>
      <c r="L304" s="139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</row>
    <row r="305" ht="45.75" customHeight="1" s="211">
      <c r="A305" s="139" t="n"/>
      <c r="B305" s="139" t="n"/>
      <c r="C305" s="139" t="n"/>
      <c r="D305" s="139" t="n"/>
      <c r="E305" s="139" t="n"/>
      <c r="F305" s="139" t="n"/>
      <c r="G305" s="55" t="n"/>
      <c r="H305" s="139" t="n"/>
      <c r="I305" s="139" t="n"/>
      <c r="J305" s="139" t="n"/>
      <c r="K305" s="139" t="n"/>
      <c r="L305" s="139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</row>
    <row r="306" ht="45.75" customHeight="1" s="211">
      <c r="A306" s="139" t="n"/>
      <c r="B306" s="139" t="n"/>
      <c r="C306" s="139" t="n"/>
      <c r="D306" s="139" t="n"/>
      <c r="E306" s="139" t="n"/>
      <c r="F306" s="139" t="n"/>
      <c r="G306" s="55" t="n"/>
      <c r="H306" s="139" t="n"/>
      <c r="I306" s="139" t="n"/>
      <c r="J306" s="139" t="n"/>
      <c r="K306" s="139" t="n"/>
      <c r="L306" s="139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</row>
    <row r="307" ht="45.75" customHeight="1" s="211">
      <c r="A307" s="139" t="n"/>
      <c r="B307" s="139" t="n"/>
      <c r="C307" s="139" t="n"/>
      <c r="D307" s="139" t="n"/>
      <c r="E307" s="139" t="n"/>
      <c r="F307" s="139" t="n"/>
      <c r="G307" s="55" t="n"/>
      <c r="H307" s="139" t="n"/>
      <c r="I307" s="139" t="n"/>
      <c r="J307" s="139" t="n"/>
      <c r="K307" s="139" t="n"/>
      <c r="L307" s="139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</row>
    <row r="308" ht="45.75" customHeight="1" s="211">
      <c r="A308" s="139" t="n"/>
      <c r="B308" s="139" t="n"/>
      <c r="C308" s="139" t="n"/>
      <c r="D308" s="139" t="n"/>
      <c r="E308" s="139" t="n"/>
      <c r="F308" s="139" t="n"/>
      <c r="G308" s="55" t="n"/>
      <c r="H308" s="139" t="n"/>
      <c r="I308" s="139" t="n"/>
      <c r="J308" s="139" t="n"/>
      <c r="K308" s="139" t="n"/>
      <c r="L308" s="139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</row>
    <row r="309" ht="45.75" customHeight="1" s="211">
      <c r="A309" s="139" t="n"/>
      <c r="B309" s="139" t="n"/>
      <c r="C309" s="139" t="n"/>
      <c r="D309" s="139" t="n"/>
      <c r="E309" s="139" t="n"/>
      <c r="F309" s="139" t="n"/>
      <c r="G309" s="55" t="n"/>
      <c r="H309" s="139" t="n"/>
      <c r="I309" s="139" t="n"/>
      <c r="J309" s="139" t="n"/>
      <c r="K309" s="139" t="n"/>
      <c r="L309" s="139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</row>
    <row r="310" ht="45.75" customHeight="1" s="211">
      <c r="A310" s="139" t="n"/>
      <c r="B310" s="139" t="n"/>
      <c r="C310" s="139" t="n"/>
      <c r="D310" s="139" t="n"/>
      <c r="E310" s="139" t="n"/>
      <c r="F310" s="139" t="n"/>
      <c r="G310" s="55" t="n"/>
      <c r="H310" s="139" t="n"/>
      <c r="I310" s="139" t="n"/>
      <c r="J310" s="139" t="n"/>
      <c r="K310" s="139" t="n"/>
      <c r="L310" s="139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</row>
    <row r="311" ht="45.75" customHeight="1" s="211">
      <c r="A311" s="139" t="n"/>
      <c r="B311" s="139" t="n"/>
      <c r="C311" s="139" t="n"/>
      <c r="D311" s="139" t="n"/>
      <c r="E311" s="139" t="n"/>
      <c r="F311" s="139" t="n"/>
      <c r="G311" s="55" t="n"/>
      <c r="H311" s="139" t="n"/>
      <c r="I311" s="139" t="n"/>
      <c r="J311" s="139" t="n"/>
      <c r="K311" s="139" t="n"/>
      <c r="L311" s="139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</row>
    <row r="312" ht="45.75" customHeight="1" s="211">
      <c r="A312" s="139" t="n"/>
      <c r="B312" s="139" t="n"/>
      <c r="C312" s="139" t="n"/>
      <c r="D312" s="139" t="n"/>
      <c r="E312" s="139" t="n"/>
      <c r="F312" s="139" t="n"/>
      <c r="G312" s="55" t="n"/>
      <c r="H312" s="139" t="n"/>
      <c r="I312" s="139" t="n"/>
      <c r="J312" s="139" t="n"/>
      <c r="K312" s="139" t="n"/>
      <c r="L312" s="139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</row>
    <row r="313" ht="45.75" customHeight="1" s="211">
      <c r="A313" s="139" t="n"/>
      <c r="B313" s="139" t="n"/>
      <c r="C313" s="139" t="n"/>
      <c r="D313" s="139" t="n"/>
      <c r="E313" s="139" t="n"/>
      <c r="F313" s="139" t="n"/>
      <c r="G313" s="55" t="n"/>
      <c r="H313" s="139" t="n"/>
      <c r="I313" s="139" t="n"/>
      <c r="J313" s="139" t="n"/>
      <c r="K313" s="139" t="n"/>
      <c r="L313" s="139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</row>
    <row r="314" ht="45.75" customHeight="1" s="211">
      <c r="A314" s="139" t="n"/>
      <c r="B314" s="139" t="n"/>
      <c r="C314" s="139" t="n"/>
      <c r="D314" s="139" t="n"/>
      <c r="E314" s="139" t="n"/>
      <c r="F314" s="139" t="n"/>
      <c r="G314" s="55" t="n"/>
      <c r="H314" s="139" t="n"/>
      <c r="I314" s="139" t="n"/>
      <c r="J314" s="139" t="n"/>
      <c r="K314" s="139" t="n"/>
      <c r="L314" s="139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</row>
    <row r="315" ht="45.75" customHeight="1" s="211">
      <c r="A315" s="139" t="n"/>
      <c r="B315" s="139" t="n"/>
      <c r="C315" s="139" t="n"/>
      <c r="D315" s="139" t="n"/>
      <c r="E315" s="139" t="n"/>
      <c r="F315" s="139" t="n"/>
      <c r="G315" s="55" t="n"/>
      <c r="H315" s="139" t="n"/>
      <c r="I315" s="139" t="n"/>
      <c r="J315" s="139" t="n"/>
      <c r="K315" s="139" t="n"/>
      <c r="L315" s="139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</row>
    <row r="316" ht="45.75" customHeight="1" s="211">
      <c r="A316" s="139" t="n"/>
      <c r="B316" s="139" t="n"/>
      <c r="C316" s="139" t="n"/>
      <c r="D316" s="139" t="n"/>
      <c r="E316" s="139" t="n"/>
      <c r="F316" s="139" t="n"/>
      <c r="G316" s="55" t="n"/>
      <c r="H316" s="139" t="n"/>
      <c r="I316" s="139" t="n"/>
      <c r="J316" s="139" t="n"/>
      <c r="K316" s="139" t="n"/>
      <c r="L316" s="139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</row>
    <row r="317" ht="45.75" customHeight="1" s="211">
      <c r="A317" s="139" t="n"/>
      <c r="B317" s="139" t="n"/>
      <c r="C317" s="139" t="n"/>
      <c r="D317" s="139" t="n"/>
      <c r="E317" s="139" t="n"/>
      <c r="F317" s="139" t="n"/>
      <c r="G317" s="55" t="n"/>
      <c r="H317" s="139" t="n"/>
      <c r="I317" s="139" t="n"/>
      <c r="J317" s="139" t="n"/>
      <c r="K317" s="139" t="n"/>
      <c r="L317" s="139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</row>
    <row r="318" ht="45.75" customHeight="1" s="211">
      <c r="A318" s="139" t="n"/>
      <c r="B318" s="139" t="n"/>
      <c r="C318" s="139" t="n"/>
      <c r="D318" s="139" t="n"/>
      <c r="E318" s="139" t="n"/>
      <c r="F318" s="139" t="n"/>
      <c r="G318" s="55" t="n"/>
      <c r="H318" s="139" t="n"/>
      <c r="I318" s="139" t="n"/>
      <c r="J318" s="139" t="n"/>
      <c r="K318" s="139" t="n"/>
      <c r="L318" s="139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</row>
    <row r="319" ht="45.75" customHeight="1" s="211">
      <c r="A319" s="139" t="n"/>
      <c r="B319" s="139" t="n"/>
      <c r="C319" s="139" t="n"/>
      <c r="D319" s="139" t="n"/>
      <c r="E319" s="139" t="n"/>
      <c r="F319" s="139" t="n"/>
      <c r="G319" s="55" t="n"/>
      <c r="H319" s="139" t="n"/>
      <c r="I319" s="139" t="n"/>
      <c r="J319" s="139" t="n"/>
      <c r="K319" s="139" t="n"/>
      <c r="L319" s="139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</row>
    <row r="320" ht="45.75" customHeight="1" s="211">
      <c r="A320" s="139" t="n"/>
      <c r="B320" s="139" t="n"/>
      <c r="C320" s="139" t="n"/>
      <c r="D320" s="139" t="n"/>
      <c r="E320" s="139" t="n"/>
      <c r="F320" s="139" t="n"/>
      <c r="G320" s="55" t="n"/>
      <c r="H320" s="139" t="n"/>
      <c r="I320" s="139" t="n"/>
      <c r="J320" s="139" t="n"/>
      <c r="K320" s="139" t="n"/>
      <c r="L320" s="139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</row>
    <row r="321" ht="45.75" customHeight="1" s="211">
      <c r="A321" s="139" t="n"/>
      <c r="B321" s="139" t="n"/>
      <c r="C321" s="139" t="n"/>
      <c r="D321" s="139" t="n"/>
      <c r="E321" s="139" t="n"/>
      <c r="F321" s="139" t="n"/>
      <c r="G321" s="55" t="n"/>
      <c r="H321" s="139" t="n"/>
      <c r="I321" s="139" t="n"/>
      <c r="J321" s="139" t="n"/>
      <c r="K321" s="139" t="n"/>
      <c r="L321" s="139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</row>
    <row r="322" ht="45.75" customHeight="1" s="211">
      <c r="A322" s="139" t="n"/>
      <c r="B322" s="139" t="n"/>
      <c r="C322" s="139" t="n"/>
      <c r="D322" s="139" t="n"/>
      <c r="E322" s="139" t="n"/>
      <c r="F322" s="139" t="n"/>
      <c r="G322" s="55" t="n"/>
      <c r="H322" s="139" t="n"/>
      <c r="I322" s="139" t="n"/>
      <c r="J322" s="139" t="n"/>
      <c r="K322" s="139" t="n"/>
      <c r="L322" s="139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</row>
    <row r="323" ht="45.75" customHeight="1" s="211">
      <c r="A323" s="139" t="n"/>
      <c r="B323" s="139" t="n"/>
      <c r="C323" s="139" t="n"/>
      <c r="D323" s="139" t="n"/>
      <c r="E323" s="139" t="n"/>
      <c r="F323" s="139" t="n"/>
      <c r="G323" s="55" t="n"/>
      <c r="H323" s="139" t="n"/>
      <c r="I323" s="139" t="n"/>
      <c r="J323" s="139" t="n"/>
      <c r="K323" s="139" t="n"/>
      <c r="L323" s="139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</row>
    <row r="324" ht="45.75" customHeight="1" s="211">
      <c r="A324" s="139" t="n"/>
      <c r="B324" s="139" t="n"/>
      <c r="C324" s="139" t="n"/>
      <c r="D324" s="139" t="n"/>
      <c r="E324" s="139" t="n"/>
      <c r="F324" s="139" t="n"/>
      <c r="G324" s="55" t="n"/>
      <c r="H324" s="139" t="n"/>
      <c r="I324" s="139" t="n"/>
      <c r="J324" s="139" t="n"/>
      <c r="K324" s="139" t="n"/>
      <c r="L324" s="139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</row>
    <row r="325" ht="45.75" customHeight="1" s="211">
      <c r="A325" s="139" t="n"/>
      <c r="B325" s="139" t="n"/>
      <c r="C325" s="139" t="n"/>
      <c r="D325" s="139" t="n"/>
      <c r="E325" s="139" t="n"/>
      <c r="F325" s="139" t="n"/>
      <c r="G325" s="55" t="n"/>
      <c r="H325" s="139" t="n"/>
      <c r="I325" s="139" t="n"/>
      <c r="J325" s="139" t="n"/>
      <c r="K325" s="139" t="n"/>
      <c r="L325" s="139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</row>
    <row r="326" ht="45.75" customHeight="1" s="211">
      <c r="A326" s="139" t="n"/>
      <c r="B326" s="139" t="n"/>
      <c r="C326" s="139" t="n"/>
      <c r="D326" s="139" t="n"/>
      <c r="E326" s="139" t="n"/>
      <c r="F326" s="139" t="n"/>
      <c r="G326" s="55" t="n"/>
      <c r="H326" s="139" t="n"/>
      <c r="I326" s="139" t="n"/>
      <c r="J326" s="139" t="n"/>
      <c r="K326" s="139" t="n"/>
      <c r="L326" s="139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</row>
    <row r="327" ht="45.75" customHeight="1" s="211">
      <c r="A327" s="139" t="n"/>
      <c r="B327" s="139" t="n"/>
      <c r="C327" s="139" t="n"/>
      <c r="D327" s="139" t="n"/>
      <c r="E327" s="139" t="n"/>
      <c r="F327" s="139" t="n"/>
      <c r="G327" s="55" t="n"/>
      <c r="H327" s="139" t="n"/>
      <c r="I327" s="139" t="n"/>
      <c r="J327" s="139" t="n"/>
      <c r="K327" s="139" t="n"/>
      <c r="L327" s="139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</row>
    <row r="328" ht="45.75" customHeight="1" s="211">
      <c r="A328" s="139" t="n"/>
      <c r="B328" s="139" t="n"/>
      <c r="C328" s="139" t="n"/>
      <c r="D328" s="139" t="n"/>
      <c r="E328" s="139" t="n"/>
      <c r="F328" s="139" t="n"/>
      <c r="G328" s="55" t="n"/>
      <c r="H328" s="139" t="n"/>
      <c r="I328" s="139" t="n"/>
      <c r="J328" s="139" t="n"/>
      <c r="K328" s="139" t="n"/>
      <c r="L328" s="139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</row>
    <row r="329" ht="45.75" customHeight="1" s="211">
      <c r="A329" s="139" t="n"/>
      <c r="B329" s="139" t="n"/>
      <c r="C329" s="139" t="n"/>
      <c r="D329" s="139" t="n"/>
      <c r="E329" s="139" t="n"/>
      <c r="F329" s="139" t="n"/>
      <c r="G329" s="55" t="n"/>
      <c r="H329" s="139" t="n"/>
      <c r="I329" s="139" t="n"/>
      <c r="J329" s="139" t="n"/>
      <c r="K329" s="139" t="n"/>
      <c r="L329" s="139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</row>
    <row r="330" ht="45.75" customHeight="1" s="211">
      <c r="A330" s="139" t="n"/>
      <c r="B330" s="139" t="n"/>
      <c r="C330" s="139" t="n"/>
      <c r="D330" s="139" t="n"/>
      <c r="E330" s="139" t="n"/>
      <c r="F330" s="139" t="n"/>
      <c r="G330" s="55" t="n"/>
      <c r="H330" s="139" t="n"/>
      <c r="I330" s="139" t="n"/>
      <c r="J330" s="139" t="n"/>
      <c r="K330" s="139" t="n"/>
      <c r="L330" s="139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</row>
    <row r="331" ht="45.75" customHeight="1" s="211">
      <c r="A331" s="139" t="n"/>
      <c r="B331" s="139" t="n"/>
      <c r="C331" s="139" t="n"/>
      <c r="D331" s="139" t="n"/>
      <c r="E331" s="139" t="n"/>
      <c r="F331" s="139" t="n"/>
      <c r="G331" s="55" t="n"/>
      <c r="H331" s="139" t="n"/>
      <c r="I331" s="139" t="n"/>
      <c r="J331" s="139" t="n"/>
      <c r="K331" s="139" t="n"/>
      <c r="L331" s="139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</row>
    <row r="332" ht="45.75" customHeight="1" s="211">
      <c r="A332" s="139" t="n"/>
      <c r="B332" s="139" t="n"/>
      <c r="C332" s="139" t="n"/>
      <c r="D332" s="139" t="n"/>
      <c r="E332" s="139" t="n"/>
      <c r="F332" s="139" t="n"/>
      <c r="G332" s="55" t="n"/>
      <c r="H332" s="139" t="n"/>
      <c r="I332" s="139" t="n"/>
      <c r="J332" s="139" t="n"/>
      <c r="K332" s="139" t="n"/>
      <c r="L332" s="139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</row>
    <row r="333" ht="45.75" customHeight="1" s="211">
      <c r="A333" s="139" t="n"/>
      <c r="B333" s="139" t="n"/>
      <c r="C333" s="139" t="n"/>
      <c r="D333" s="139" t="n"/>
      <c r="E333" s="139" t="n"/>
      <c r="F333" s="139" t="n"/>
      <c r="G333" s="55" t="n"/>
      <c r="H333" s="139" t="n"/>
      <c r="I333" s="139" t="n"/>
      <c r="J333" s="139" t="n"/>
      <c r="K333" s="139" t="n"/>
      <c r="L333" s="139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</row>
    <row r="334" ht="45.75" customHeight="1" s="211">
      <c r="A334" s="139" t="n"/>
      <c r="B334" s="139" t="n"/>
      <c r="C334" s="139" t="n"/>
      <c r="D334" s="139" t="n"/>
      <c r="E334" s="139" t="n"/>
      <c r="F334" s="139" t="n"/>
      <c r="G334" s="55" t="n"/>
      <c r="H334" s="139" t="n"/>
      <c r="I334" s="139" t="n"/>
      <c r="J334" s="139" t="n"/>
      <c r="K334" s="139" t="n"/>
      <c r="L334" s="139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</row>
    <row r="335" ht="45.75" customHeight="1" s="211">
      <c r="A335" s="139" t="n"/>
      <c r="B335" s="139" t="n"/>
      <c r="C335" s="139" t="n"/>
      <c r="D335" s="139" t="n"/>
      <c r="E335" s="139" t="n"/>
      <c r="F335" s="139" t="n"/>
      <c r="G335" s="55" t="n"/>
      <c r="H335" s="139" t="n"/>
      <c r="I335" s="139" t="n"/>
      <c r="J335" s="139" t="n"/>
      <c r="K335" s="139" t="n"/>
      <c r="L335" s="139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</row>
    <row r="336" ht="45.75" customHeight="1" s="211">
      <c r="A336" s="139" t="n"/>
      <c r="B336" s="139" t="n"/>
      <c r="C336" s="139" t="n"/>
      <c r="D336" s="139" t="n"/>
      <c r="E336" s="139" t="n"/>
      <c r="F336" s="139" t="n"/>
      <c r="G336" s="55" t="n"/>
      <c r="H336" s="139" t="n"/>
      <c r="I336" s="139" t="n"/>
      <c r="J336" s="139" t="n"/>
      <c r="K336" s="139" t="n"/>
      <c r="L336" s="139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</row>
    <row r="337" ht="45.75" customHeight="1" s="211">
      <c r="A337" s="139" t="n"/>
      <c r="B337" s="139" t="n"/>
      <c r="C337" s="139" t="n"/>
      <c r="D337" s="139" t="n"/>
      <c r="E337" s="139" t="n"/>
      <c r="F337" s="139" t="n"/>
      <c r="G337" s="55" t="n"/>
      <c r="H337" s="139" t="n"/>
      <c r="I337" s="139" t="n"/>
      <c r="J337" s="139" t="n"/>
      <c r="K337" s="139" t="n"/>
      <c r="L337" s="139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</row>
    <row r="338" ht="45.75" customHeight="1" s="211">
      <c r="A338" s="139" t="n"/>
      <c r="B338" s="139" t="n"/>
      <c r="C338" s="139" t="n"/>
      <c r="D338" s="139" t="n"/>
      <c r="E338" s="139" t="n"/>
      <c r="F338" s="139" t="n"/>
      <c r="G338" s="55" t="n"/>
      <c r="H338" s="139" t="n"/>
      <c r="I338" s="139" t="n"/>
      <c r="J338" s="139" t="n"/>
      <c r="K338" s="139" t="n"/>
      <c r="L338" s="139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</row>
    <row r="339" ht="45.75" customHeight="1" s="211">
      <c r="A339" s="139" t="n"/>
      <c r="B339" s="139" t="n"/>
      <c r="C339" s="139" t="n"/>
      <c r="D339" s="139" t="n"/>
      <c r="E339" s="139" t="n"/>
      <c r="F339" s="139" t="n"/>
      <c r="G339" s="55" t="n"/>
      <c r="H339" s="139" t="n"/>
      <c r="I339" s="139" t="n"/>
      <c r="J339" s="139" t="n"/>
      <c r="K339" s="139" t="n"/>
      <c r="L339" s="139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</row>
    <row r="340" ht="45.75" customHeight="1" s="211">
      <c r="A340" s="139" t="n"/>
      <c r="B340" s="139" t="n"/>
      <c r="C340" s="139" t="n"/>
      <c r="D340" s="139" t="n"/>
      <c r="E340" s="139" t="n"/>
      <c r="F340" s="139" t="n"/>
      <c r="G340" s="55" t="n"/>
      <c r="H340" s="139" t="n"/>
      <c r="I340" s="139" t="n"/>
      <c r="J340" s="139" t="n"/>
      <c r="K340" s="139" t="n"/>
      <c r="L340" s="139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</row>
    <row r="341" ht="45.75" customHeight="1" s="211">
      <c r="A341" s="139" t="n"/>
      <c r="B341" s="139" t="n"/>
      <c r="C341" s="139" t="n"/>
      <c r="D341" s="139" t="n"/>
      <c r="E341" s="139" t="n"/>
      <c r="F341" s="139" t="n"/>
      <c r="G341" s="55" t="n"/>
      <c r="H341" s="139" t="n"/>
      <c r="I341" s="139" t="n"/>
      <c r="J341" s="139" t="n"/>
      <c r="K341" s="139" t="n"/>
      <c r="L341" s="139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</row>
    <row r="342" ht="45.75" customHeight="1" s="211">
      <c r="A342" s="139" t="n"/>
      <c r="B342" s="139" t="n"/>
      <c r="C342" s="139" t="n"/>
      <c r="D342" s="139" t="n"/>
      <c r="E342" s="139" t="n"/>
      <c r="F342" s="139" t="n"/>
      <c r="G342" s="55" t="n"/>
      <c r="H342" s="139" t="n"/>
      <c r="I342" s="139" t="n"/>
      <c r="J342" s="139" t="n"/>
      <c r="K342" s="139" t="n"/>
      <c r="L342" s="139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</row>
    <row r="343" ht="45.75" customHeight="1" s="211">
      <c r="A343" s="139" t="n"/>
      <c r="B343" s="139" t="n"/>
      <c r="C343" s="139" t="n"/>
      <c r="D343" s="139" t="n"/>
      <c r="E343" s="139" t="n"/>
      <c r="F343" s="139" t="n"/>
      <c r="G343" s="55" t="n"/>
      <c r="H343" s="139" t="n"/>
      <c r="I343" s="139" t="n"/>
      <c r="J343" s="139" t="n"/>
      <c r="K343" s="139" t="n"/>
      <c r="L343" s="139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</row>
    <row r="344" ht="45.75" customHeight="1" s="211">
      <c r="A344" s="139" t="n"/>
      <c r="B344" s="139" t="n"/>
      <c r="C344" s="139" t="n"/>
      <c r="D344" s="139" t="n"/>
      <c r="E344" s="139" t="n"/>
      <c r="F344" s="139" t="n"/>
      <c r="G344" s="55" t="n"/>
      <c r="H344" s="139" t="n"/>
      <c r="I344" s="139" t="n"/>
      <c r="J344" s="139" t="n"/>
      <c r="K344" s="139" t="n"/>
      <c r="L344" s="139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</row>
    <row r="345" ht="45.75" customHeight="1" s="211">
      <c r="A345" s="139" t="n"/>
      <c r="B345" s="139" t="n"/>
      <c r="C345" s="139" t="n"/>
      <c r="D345" s="139" t="n"/>
      <c r="E345" s="139" t="n"/>
      <c r="F345" s="139" t="n"/>
      <c r="G345" s="55" t="n"/>
      <c r="H345" s="139" t="n"/>
      <c r="I345" s="139" t="n"/>
      <c r="J345" s="139" t="n"/>
      <c r="K345" s="139" t="n"/>
      <c r="L345" s="139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</row>
    <row r="346" ht="45.75" customHeight="1" s="211">
      <c r="A346" s="139" t="n"/>
      <c r="B346" s="139" t="n"/>
      <c r="C346" s="139" t="n"/>
      <c r="D346" s="139" t="n"/>
      <c r="E346" s="139" t="n"/>
      <c r="F346" s="139" t="n"/>
      <c r="G346" s="55" t="n"/>
      <c r="H346" s="139" t="n"/>
      <c r="I346" s="139" t="n"/>
      <c r="J346" s="139" t="n"/>
      <c r="K346" s="139" t="n"/>
      <c r="L346" s="139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</row>
    <row r="347" ht="45.75" customHeight="1" s="211">
      <c r="A347" s="139" t="n"/>
      <c r="B347" s="139" t="n"/>
      <c r="C347" s="139" t="n"/>
      <c r="D347" s="139" t="n"/>
      <c r="E347" s="139" t="n"/>
      <c r="F347" s="139" t="n"/>
      <c r="G347" s="55" t="n"/>
      <c r="H347" s="139" t="n"/>
      <c r="I347" s="139" t="n"/>
      <c r="J347" s="139" t="n"/>
      <c r="K347" s="139" t="n"/>
      <c r="L347" s="139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</row>
    <row r="348" ht="45.75" customHeight="1" s="211">
      <c r="A348" s="139" t="n"/>
      <c r="B348" s="139" t="n"/>
      <c r="C348" s="139" t="n"/>
      <c r="D348" s="139" t="n"/>
      <c r="E348" s="139" t="n"/>
      <c r="F348" s="139" t="n"/>
      <c r="G348" s="55" t="n"/>
      <c r="H348" s="139" t="n"/>
      <c r="I348" s="139" t="n"/>
      <c r="J348" s="139" t="n"/>
      <c r="K348" s="139" t="n"/>
      <c r="L348" s="139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</row>
    <row r="349" ht="45.75" customHeight="1" s="211">
      <c r="A349" s="139" t="n"/>
      <c r="B349" s="139" t="n"/>
      <c r="C349" s="139" t="n"/>
      <c r="D349" s="139" t="n"/>
      <c r="E349" s="139" t="n"/>
      <c r="F349" s="139" t="n"/>
      <c r="G349" s="55" t="n"/>
      <c r="H349" s="139" t="n"/>
      <c r="I349" s="139" t="n"/>
      <c r="J349" s="139" t="n"/>
      <c r="K349" s="139" t="n"/>
      <c r="L349" s="139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</row>
    <row r="350" ht="45.75" customHeight="1" s="211">
      <c r="A350" s="139" t="n"/>
      <c r="B350" s="139" t="n"/>
      <c r="C350" s="139" t="n"/>
      <c r="D350" s="139" t="n"/>
      <c r="E350" s="139" t="n"/>
      <c r="F350" s="139" t="n"/>
      <c r="G350" s="55" t="n"/>
      <c r="H350" s="139" t="n"/>
      <c r="I350" s="139" t="n"/>
      <c r="J350" s="139" t="n"/>
      <c r="K350" s="139" t="n"/>
      <c r="L350" s="139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</row>
    <row r="351" ht="45.75" customHeight="1" s="211">
      <c r="A351" s="139" t="n"/>
      <c r="B351" s="139" t="n"/>
      <c r="C351" s="139" t="n"/>
      <c r="D351" s="139" t="n"/>
      <c r="E351" s="139" t="n"/>
      <c r="F351" s="139" t="n"/>
      <c r="G351" s="55" t="n"/>
      <c r="H351" s="139" t="n"/>
      <c r="I351" s="139" t="n"/>
      <c r="J351" s="139" t="n"/>
      <c r="K351" s="139" t="n"/>
      <c r="L351" s="139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</row>
    <row r="352" ht="45.75" customHeight="1" s="211">
      <c r="A352" s="139" t="n"/>
      <c r="B352" s="139" t="n"/>
      <c r="C352" s="139" t="n"/>
      <c r="D352" s="139" t="n"/>
      <c r="E352" s="139" t="n"/>
      <c r="F352" s="139" t="n"/>
      <c r="G352" s="55" t="n"/>
      <c r="H352" s="139" t="n"/>
      <c r="I352" s="139" t="n"/>
      <c r="J352" s="139" t="n"/>
      <c r="K352" s="139" t="n"/>
      <c r="L352" s="139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</row>
    <row r="353" ht="45.75" customHeight="1" s="211">
      <c r="A353" s="139" t="n"/>
      <c r="B353" s="139" t="n"/>
      <c r="C353" s="139" t="n"/>
      <c r="D353" s="139" t="n"/>
      <c r="E353" s="139" t="n"/>
      <c r="F353" s="139" t="n"/>
      <c r="G353" s="55" t="n"/>
      <c r="H353" s="139" t="n"/>
      <c r="I353" s="139" t="n"/>
      <c r="J353" s="139" t="n"/>
      <c r="K353" s="139" t="n"/>
      <c r="L353" s="139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</row>
    <row r="354" ht="45.75" customHeight="1" s="211">
      <c r="A354" s="139" t="n"/>
      <c r="B354" s="139" t="n"/>
      <c r="C354" s="139" t="n"/>
      <c r="D354" s="139" t="n"/>
      <c r="E354" s="139" t="n"/>
      <c r="F354" s="139" t="n"/>
      <c r="G354" s="55" t="n"/>
      <c r="H354" s="139" t="n"/>
      <c r="I354" s="139" t="n"/>
      <c r="J354" s="139" t="n"/>
      <c r="K354" s="139" t="n"/>
      <c r="L354" s="139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</row>
    <row r="355" ht="45.75" customHeight="1" s="211">
      <c r="A355" s="139" t="n"/>
      <c r="B355" s="139" t="n"/>
      <c r="C355" s="139" t="n"/>
      <c r="D355" s="139" t="n"/>
      <c r="E355" s="139" t="n"/>
      <c r="F355" s="139" t="n"/>
      <c r="G355" s="55" t="n"/>
      <c r="H355" s="139" t="n"/>
      <c r="I355" s="139" t="n"/>
      <c r="J355" s="139" t="n"/>
      <c r="K355" s="139" t="n"/>
      <c r="L355" s="139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</row>
    <row r="356" ht="45.75" customHeight="1" s="211">
      <c r="A356" s="139" t="n"/>
      <c r="B356" s="139" t="n"/>
      <c r="C356" s="139" t="n"/>
      <c r="D356" s="139" t="n"/>
      <c r="E356" s="139" t="n"/>
      <c r="F356" s="139" t="n"/>
      <c r="G356" s="55" t="n"/>
      <c r="H356" s="139" t="n"/>
      <c r="I356" s="139" t="n"/>
      <c r="J356" s="139" t="n"/>
      <c r="K356" s="139" t="n"/>
      <c r="L356" s="139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</row>
    <row r="357" ht="45.75" customHeight="1" s="211">
      <c r="A357" s="139" t="n"/>
      <c r="B357" s="139" t="n"/>
      <c r="C357" s="139" t="n"/>
      <c r="D357" s="139" t="n"/>
      <c r="E357" s="139" t="n"/>
      <c r="F357" s="139" t="n"/>
      <c r="G357" s="55" t="n"/>
      <c r="H357" s="139" t="n"/>
      <c r="I357" s="139" t="n"/>
      <c r="J357" s="139" t="n"/>
      <c r="K357" s="139" t="n"/>
      <c r="L357" s="139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</row>
    <row r="358" ht="45.75" customHeight="1" s="211">
      <c r="A358" s="139" t="n"/>
      <c r="B358" s="139" t="n"/>
      <c r="C358" s="139" t="n"/>
      <c r="D358" s="139" t="n"/>
      <c r="E358" s="139" t="n"/>
      <c r="F358" s="139" t="n"/>
      <c r="G358" s="55" t="n"/>
      <c r="H358" s="139" t="n"/>
      <c r="I358" s="139" t="n"/>
      <c r="J358" s="139" t="n"/>
      <c r="K358" s="139" t="n"/>
      <c r="L358" s="139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</row>
    <row r="359" ht="45.75" customHeight="1" s="211">
      <c r="A359" s="139" t="n"/>
      <c r="B359" s="139" t="n"/>
      <c r="C359" s="139" t="n"/>
      <c r="D359" s="139" t="n"/>
      <c r="E359" s="139" t="n"/>
      <c r="F359" s="139" t="n"/>
      <c r="G359" s="55" t="n"/>
      <c r="H359" s="139" t="n"/>
      <c r="I359" s="139" t="n"/>
      <c r="J359" s="139" t="n"/>
      <c r="K359" s="139" t="n"/>
      <c r="L359" s="139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</row>
    <row r="360" ht="45.75" customHeight="1" s="211">
      <c r="A360" s="139" t="n"/>
      <c r="B360" s="139" t="n"/>
      <c r="C360" s="139" t="n"/>
      <c r="D360" s="139" t="n"/>
      <c r="E360" s="139" t="n"/>
      <c r="F360" s="139" t="n"/>
      <c r="G360" s="55" t="n"/>
      <c r="H360" s="139" t="n"/>
      <c r="I360" s="139" t="n"/>
      <c r="J360" s="139" t="n"/>
      <c r="K360" s="139" t="n"/>
      <c r="L360" s="139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</row>
    <row r="361" ht="45.75" customHeight="1" s="211">
      <c r="A361" s="139" t="n"/>
      <c r="B361" s="139" t="n"/>
      <c r="C361" s="139" t="n"/>
      <c r="D361" s="139" t="n"/>
      <c r="E361" s="139" t="n"/>
      <c r="F361" s="139" t="n"/>
      <c r="G361" s="55" t="n"/>
      <c r="H361" s="139" t="n"/>
      <c r="I361" s="139" t="n"/>
      <c r="J361" s="139" t="n"/>
      <c r="K361" s="139" t="n"/>
      <c r="L361" s="139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</row>
    <row r="362" ht="45.75" customHeight="1" s="211">
      <c r="A362" s="139" t="n"/>
      <c r="B362" s="139" t="n"/>
      <c r="C362" s="139" t="n"/>
      <c r="D362" s="139" t="n"/>
      <c r="E362" s="139" t="n"/>
      <c r="F362" s="139" t="n"/>
      <c r="G362" s="55" t="n"/>
      <c r="H362" s="139" t="n"/>
      <c r="I362" s="139" t="n"/>
      <c r="J362" s="139" t="n"/>
      <c r="K362" s="139" t="n"/>
      <c r="L362" s="139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</row>
    <row r="363" ht="45.75" customHeight="1" s="211">
      <c r="A363" s="139" t="n"/>
      <c r="B363" s="139" t="n"/>
      <c r="C363" s="139" t="n"/>
      <c r="D363" s="139" t="n"/>
      <c r="E363" s="139" t="n"/>
      <c r="F363" s="139" t="n"/>
      <c r="G363" s="55" t="n"/>
      <c r="H363" s="139" t="n"/>
      <c r="I363" s="139" t="n"/>
      <c r="J363" s="139" t="n"/>
      <c r="K363" s="139" t="n"/>
      <c r="L363" s="139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</row>
    <row r="364" ht="45.75" customHeight="1" s="211">
      <c r="A364" s="139" t="n"/>
      <c r="B364" s="139" t="n"/>
      <c r="C364" s="139" t="n"/>
      <c r="D364" s="139" t="n"/>
      <c r="E364" s="139" t="n"/>
      <c r="F364" s="139" t="n"/>
      <c r="G364" s="55" t="n"/>
      <c r="H364" s="139" t="n"/>
      <c r="I364" s="139" t="n"/>
      <c r="J364" s="139" t="n"/>
      <c r="K364" s="139" t="n"/>
      <c r="L364" s="139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</row>
    <row r="365" ht="45.75" customHeight="1" s="211">
      <c r="A365" s="139" t="n"/>
      <c r="B365" s="139" t="n"/>
      <c r="C365" s="139" t="n"/>
      <c r="D365" s="139" t="n"/>
      <c r="E365" s="139" t="n"/>
      <c r="F365" s="139" t="n"/>
      <c r="G365" s="55" t="n"/>
      <c r="H365" s="139" t="n"/>
      <c r="I365" s="139" t="n"/>
      <c r="J365" s="139" t="n"/>
      <c r="K365" s="139" t="n"/>
      <c r="L365" s="139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</row>
    <row r="366" ht="45.75" customHeight="1" s="211">
      <c r="A366" s="139" t="n"/>
      <c r="B366" s="139" t="n"/>
      <c r="C366" s="139" t="n"/>
      <c r="D366" s="139" t="n"/>
      <c r="E366" s="139" t="n"/>
      <c r="F366" s="139" t="n"/>
      <c r="G366" s="55" t="n"/>
      <c r="H366" s="139" t="n"/>
      <c r="I366" s="139" t="n"/>
      <c r="J366" s="139" t="n"/>
      <c r="K366" s="139" t="n"/>
      <c r="L366" s="139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</row>
    <row r="367" ht="45.75" customHeight="1" s="211">
      <c r="A367" s="139" t="n"/>
      <c r="B367" s="139" t="n"/>
      <c r="C367" s="139" t="n"/>
      <c r="D367" s="139" t="n"/>
      <c r="E367" s="139" t="n"/>
      <c r="F367" s="139" t="n"/>
      <c r="G367" s="55" t="n"/>
      <c r="H367" s="139" t="n"/>
      <c r="I367" s="139" t="n"/>
      <c r="J367" s="139" t="n"/>
      <c r="K367" s="139" t="n"/>
      <c r="L367" s="139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</row>
    <row r="368" ht="45.75" customHeight="1" s="211">
      <c r="A368" s="139" t="n"/>
      <c r="B368" s="139" t="n"/>
      <c r="C368" s="139" t="n"/>
      <c r="D368" s="139" t="n"/>
      <c r="E368" s="139" t="n"/>
      <c r="F368" s="139" t="n"/>
      <c r="G368" s="55" t="n"/>
      <c r="H368" s="139" t="n"/>
      <c r="I368" s="139" t="n"/>
      <c r="J368" s="139" t="n"/>
      <c r="K368" s="139" t="n"/>
      <c r="L368" s="139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</row>
    <row r="369" ht="45.75" customHeight="1" s="211">
      <c r="A369" s="139" t="n"/>
      <c r="B369" s="139" t="n"/>
      <c r="C369" s="139" t="n"/>
      <c r="D369" s="139" t="n"/>
      <c r="E369" s="139" t="n"/>
      <c r="F369" s="139" t="n"/>
      <c r="G369" s="55" t="n"/>
      <c r="H369" s="139" t="n"/>
      <c r="I369" s="139" t="n"/>
      <c r="J369" s="139" t="n"/>
      <c r="K369" s="139" t="n"/>
      <c r="L369" s="139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</row>
    <row r="370" ht="45.75" customHeight="1" s="211">
      <c r="A370" s="139" t="n"/>
      <c r="B370" s="139" t="n"/>
      <c r="C370" s="139" t="n"/>
      <c r="D370" s="139" t="n"/>
      <c r="E370" s="139" t="n"/>
      <c r="F370" s="139" t="n"/>
      <c r="G370" s="55" t="n"/>
      <c r="H370" s="139" t="n"/>
      <c r="I370" s="139" t="n"/>
      <c r="J370" s="139" t="n"/>
      <c r="K370" s="139" t="n"/>
      <c r="L370" s="139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</row>
    <row r="371" ht="45.75" customHeight="1" s="211">
      <c r="A371" s="139" t="n"/>
      <c r="B371" s="139" t="n"/>
      <c r="C371" s="139" t="n"/>
      <c r="D371" s="139" t="n"/>
      <c r="E371" s="139" t="n"/>
      <c r="F371" s="139" t="n"/>
      <c r="G371" s="55" t="n"/>
      <c r="H371" s="139" t="n"/>
      <c r="I371" s="139" t="n"/>
      <c r="J371" s="139" t="n"/>
      <c r="K371" s="139" t="n"/>
      <c r="L371" s="139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</row>
    <row r="372" ht="45.75" customHeight="1" s="211">
      <c r="A372" s="139" t="n"/>
      <c r="B372" s="139" t="n"/>
      <c r="C372" s="139" t="n"/>
      <c r="D372" s="139" t="n"/>
      <c r="E372" s="139" t="n"/>
      <c r="F372" s="139" t="n"/>
      <c r="G372" s="55" t="n"/>
      <c r="H372" s="139" t="n"/>
      <c r="I372" s="139" t="n"/>
      <c r="J372" s="139" t="n"/>
      <c r="K372" s="139" t="n"/>
      <c r="L372" s="139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</row>
    <row r="373" ht="45.75" customHeight="1" s="211">
      <c r="A373" s="139" t="n"/>
      <c r="B373" s="139" t="n"/>
      <c r="C373" s="139" t="n"/>
      <c r="D373" s="139" t="n"/>
      <c r="E373" s="139" t="n"/>
      <c r="F373" s="139" t="n"/>
      <c r="G373" s="55" t="n"/>
      <c r="H373" s="139" t="n"/>
      <c r="I373" s="139" t="n"/>
      <c r="J373" s="139" t="n"/>
      <c r="K373" s="139" t="n"/>
      <c r="L373" s="139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</row>
    <row r="374" ht="45.75" customHeight="1" s="211">
      <c r="A374" s="139" t="n"/>
      <c r="B374" s="139" t="n"/>
      <c r="C374" s="139" t="n"/>
      <c r="D374" s="139" t="n"/>
      <c r="E374" s="139" t="n"/>
      <c r="F374" s="139" t="n"/>
      <c r="G374" s="55" t="n"/>
      <c r="H374" s="139" t="n"/>
      <c r="I374" s="139" t="n"/>
      <c r="J374" s="139" t="n"/>
      <c r="K374" s="139" t="n"/>
      <c r="L374" s="139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</row>
    <row r="375" ht="45.75" customHeight="1" s="211">
      <c r="A375" s="139" t="n"/>
      <c r="B375" s="139" t="n"/>
      <c r="C375" s="139" t="n"/>
      <c r="D375" s="139" t="n"/>
      <c r="E375" s="139" t="n"/>
      <c r="F375" s="139" t="n"/>
      <c r="G375" s="55" t="n"/>
      <c r="H375" s="139" t="n"/>
      <c r="I375" s="139" t="n"/>
      <c r="J375" s="139" t="n"/>
      <c r="K375" s="139" t="n"/>
      <c r="L375" s="139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</row>
    <row r="376" ht="45.75" customHeight="1" s="211">
      <c r="A376" s="139" t="n"/>
      <c r="B376" s="139" t="n"/>
      <c r="C376" s="139" t="n"/>
      <c r="D376" s="139" t="n"/>
      <c r="E376" s="139" t="n"/>
      <c r="F376" s="139" t="n"/>
      <c r="G376" s="55" t="n"/>
      <c r="H376" s="139" t="n"/>
      <c r="I376" s="139" t="n"/>
      <c r="J376" s="139" t="n"/>
      <c r="K376" s="139" t="n"/>
      <c r="L376" s="139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</row>
    <row r="377" ht="45.75" customHeight="1" s="211">
      <c r="A377" s="139" t="n"/>
      <c r="B377" s="139" t="n"/>
      <c r="C377" s="139" t="n"/>
      <c r="D377" s="139" t="n"/>
      <c r="E377" s="139" t="n"/>
      <c r="F377" s="139" t="n"/>
      <c r="G377" s="55" t="n"/>
      <c r="H377" s="139" t="n"/>
      <c r="I377" s="139" t="n"/>
      <c r="J377" s="139" t="n"/>
      <c r="K377" s="139" t="n"/>
      <c r="L377" s="139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</row>
    <row r="378" ht="45.75" customHeight="1" s="211">
      <c r="A378" s="139" t="n"/>
      <c r="B378" s="139" t="n"/>
      <c r="C378" s="139" t="n"/>
      <c r="D378" s="139" t="n"/>
      <c r="E378" s="139" t="n"/>
      <c r="F378" s="139" t="n"/>
      <c r="G378" s="55" t="n"/>
      <c r="H378" s="139" t="n"/>
      <c r="I378" s="139" t="n"/>
      <c r="J378" s="139" t="n"/>
      <c r="K378" s="139" t="n"/>
      <c r="L378" s="139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</row>
    <row r="379" ht="45.75" customHeight="1" s="211">
      <c r="A379" s="139" t="n"/>
      <c r="B379" s="139" t="n"/>
      <c r="C379" s="139" t="n"/>
      <c r="D379" s="139" t="n"/>
      <c r="E379" s="139" t="n"/>
      <c r="F379" s="139" t="n"/>
      <c r="G379" s="55" t="n"/>
      <c r="H379" s="139" t="n"/>
      <c r="I379" s="139" t="n"/>
      <c r="J379" s="139" t="n"/>
      <c r="K379" s="139" t="n"/>
      <c r="L379" s="139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</row>
    <row r="380" ht="45.75" customHeight="1" s="211">
      <c r="A380" s="139" t="n"/>
      <c r="B380" s="139" t="n"/>
      <c r="C380" s="139" t="n"/>
      <c r="D380" s="139" t="n"/>
      <c r="E380" s="139" t="n"/>
      <c r="F380" s="139" t="n"/>
      <c r="G380" s="55" t="n"/>
      <c r="H380" s="139" t="n"/>
      <c r="I380" s="139" t="n"/>
      <c r="J380" s="139" t="n"/>
      <c r="K380" s="139" t="n"/>
      <c r="L380" s="139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</row>
    <row r="381" ht="45.75" customHeight="1" s="211">
      <c r="A381" s="139" t="n"/>
      <c r="B381" s="139" t="n"/>
      <c r="C381" s="139" t="n"/>
      <c r="D381" s="139" t="n"/>
      <c r="E381" s="139" t="n"/>
      <c r="F381" s="139" t="n"/>
      <c r="G381" s="55" t="n"/>
      <c r="H381" s="139" t="n"/>
      <c r="I381" s="139" t="n"/>
      <c r="J381" s="139" t="n"/>
      <c r="K381" s="139" t="n"/>
      <c r="L381" s="139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</row>
    <row r="382" ht="45.75" customHeight="1" s="211">
      <c r="A382" s="139" t="n"/>
      <c r="B382" s="139" t="n"/>
      <c r="C382" s="139" t="n"/>
      <c r="D382" s="139" t="n"/>
      <c r="E382" s="139" t="n"/>
      <c r="F382" s="139" t="n"/>
      <c r="G382" s="55" t="n"/>
      <c r="H382" s="139" t="n"/>
      <c r="I382" s="139" t="n"/>
      <c r="J382" s="139" t="n"/>
      <c r="K382" s="139" t="n"/>
      <c r="L382" s="139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</row>
    <row r="383" ht="45.75" customHeight="1" s="211">
      <c r="A383" s="139" t="n"/>
      <c r="B383" s="139" t="n"/>
      <c r="C383" s="139" t="n"/>
      <c r="D383" s="139" t="n"/>
      <c r="E383" s="139" t="n"/>
      <c r="F383" s="139" t="n"/>
      <c r="G383" s="55" t="n"/>
      <c r="H383" s="139" t="n"/>
      <c r="I383" s="139" t="n"/>
      <c r="J383" s="139" t="n"/>
      <c r="K383" s="139" t="n"/>
      <c r="L383" s="139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</row>
    <row r="384" ht="45.75" customHeight="1" s="211">
      <c r="A384" s="139" t="n"/>
      <c r="B384" s="139" t="n"/>
      <c r="C384" s="139" t="n"/>
      <c r="D384" s="139" t="n"/>
      <c r="E384" s="139" t="n"/>
      <c r="F384" s="139" t="n"/>
      <c r="G384" s="55" t="n"/>
      <c r="H384" s="139" t="n"/>
      <c r="I384" s="139" t="n"/>
      <c r="J384" s="139" t="n"/>
      <c r="K384" s="139" t="n"/>
      <c r="L384" s="139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</row>
    <row r="385" ht="45.75" customHeight="1" s="211">
      <c r="A385" s="139" t="n"/>
      <c r="B385" s="139" t="n"/>
      <c r="C385" s="139" t="n"/>
      <c r="D385" s="139" t="n"/>
      <c r="E385" s="139" t="n"/>
      <c r="F385" s="139" t="n"/>
      <c r="G385" s="55" t="n"/>
      <c r="H385" s="139" t="n"/>
      <c r="I385" s="139" t="n"/>
      <c r="J385" s="139" t="n"/>
      <c r="K385" s="139" t="n"/>
      <c r="L385" s="139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</row>
    <row r="386" ht="45.75" customHeight="1" s="211">
      <c r="A386" s="139" t="n"/>
      <c r="B386" s="139" t="n"/>
      <c r="C386" s="139" t="n"/>
      <c r="D386" s="139" t="n"/>
      <c r="E386" s="139" t="n"/>
      <c r="F386" s="139" t="n"/>
      <c r="G386" s="55" t="n"/>
      <c r="H386" s="139" t="n"/>
      <c r="I386" s="139" t="n"/>
      <c r="J386" s="139" t="n"/>
      <c r="K386" s="139" t="n"/>
      <c r="L386" s="139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</row>
    <row r="387" ht="45.75" customHeight="1" s="211">
      <c r="A387" s="139" t="n"/>
      <c r="B387" s="139" t="n"/>
      <c r="C387" s="139" t="n"/>
      <c r="D387" s="139" t="n"/>
      <c r="E387" s="139" t="n"/>
      <c r="F387" s="139" t="n"/>
      <c r="G387" s="55" t="n"/>
      <c r="H387" s="139" t="n"/>
      <c r="I387" s="139" t="n"/>
      <c r="J387" s="139" t="n"/>
      <c r="K387" s="139" t="n"/>
      <c r="L387" s="139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</row>
    <row r="388" ht="45.75" customHeight="1" s="211">
      <c r="A388" s="139" t="n"/>
      <c r="B388" s="139" t="n"/>
      <c r="C388" s="139" t="n"/>
      <c r="D388" s="139" t="n"/>
      <c r="E388" s="139" t="n"/>
      <c r="F388" s="139" t="n"/>
      <c r="G388" s="55" t="n"/>
      <c r="H388" s="139" t="n"/>
      <c r="I388" s="139" t="n"/>
      <c r="J388" s="139" t="n"/>
      <c r="K388" s="139" t="n"/>
      <c r="L388" s="139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</row>
    <row r="389" ht="45.75" customHeight="1" s="211">
      <c r="A389" s="139" t="n"/>
      <c r="B389" s="139" t="n"/>
      <c r="C389" s="139" t="n"/>
      <c r="D389" s="139" t="n"/>
      <c r="E389" s="139" t="n"/>
      <c r="F389" s="139" t="n"/>
      <c r="G389" s="55" t="n"/>
      <c r="H389" s="139" t="n"/>
      <c r="I389" s="139" t="n"/>
      <c r="J389" s="139" t="n"/>
      <c r="K389" s="139" t="n"/>
      <c r="L389" s="139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</row>
    <row r="390" ht="45.75" customHeight="1" s="211">
      <c r="A390" s="139" t="n"/>
      <c r="B390" s="139" t="n"/>
      <c r="C390" s="139" t="n"/>
      <c r="D390" s="139" t="n"/>
      <c r="E390" s="139" t="n"/>
      <c r="F390" s="139" t="n"/>
      <c r="G390" s="55" t="n"/>
      <c r="H390" s="139" t="n"/>
      <c r="I390" s="139" t="n"/>
      <c r="J390" s="139" t="n"/>
      <c r="K390" s="139" t="n"/>
      <c r="L390" s="139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</row>
    <row r="391" ht="45.75" customHeight="1" s="211">
      <c r="A391" s="139" t="n"/>
      <c r="B391" s="139" t="n"/>
      <c r="C391" s="139" t="n"/>
      <c r="D391" s="139" t="n"/>
      <c r="E391" s="139" t="n"/>
      <c r="F391" s="139" t="n"/>
      <c r="G391" s="55" t="n"/>
      <c r="H391" s="139" t="n"/>
      <c r="I391" s="139" t="n"/>
      <c r="J391" s="139" t="n"/>
      <c r="K391" s="139" t="n"/>
      <c r="L391" s="139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</row>
    <row r="392" ht="45.75" customHeight="1" s="211">
      <c r="A392" s="139" t="n"/>
      <c r="B392" s="139" t="n"/>
      <c r="C392" s="139" t="n"/>
      <c r="D392" s="139" t="n"/>
      <c r="E392" s="139" t="n"/>
      <c r="F392" s="139" t="n"/>
      <c r="G392" s="55" t="n"/>
      <c r="H392" s="139" t="n"/>
      <c r="I392" s="139" t="n"/>
      <c r="J392" s="139" t="n"/>
      <c r="K392" s="139" t="n"/>
      <c r="L392" s="139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</row>
    <row r="393" ht="45.75" customHeight="1" s="211">
      <c r="A393" s="139" t="n"/>
      <c r="B393" s="139" t="n"/>
      <c r="C393" s="139" t="n"/>
      <c r="D393" s="139" t="n"/>
      <c r="E393" s="139" t="n"/>
      <c r="F393" s="139" t="n"/>
      <c r="G393" s="55" t="n"/>
      <c r="H393" s="139" t="n"/>
      <c r="I393" s="139" t="n"/>
      <c r="J393" s="139" t="n"/>
      <c r="K393" s="139" t="n"/>
      <c r="L393" s="139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</row>
    <row r="394" ht="45.75" customHeight="1" s="211">
      <c r="A394" s="139" t="n"/>
      <c r="B394" s="139" t="n"/>
      <c r="C394" s="139" t="n"/>
      <c r="D394" s="139" t="n"/>
      <c r="E394" s="139" t="n"/>
      <c r="F394" s="139" t="n"/>
      <c r="G394" s="55" t="n"/>
      <c r="H394" s="139" t="n"/>
      <c r="I394" s="139" t="n"/>
      <c r="J394" s="139" t="n"/>
      <c r="K394" s="139" t="n"/>
      <c r="L394" s="139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</row>
    <row r="395" ht="45.75" customHeight="1" s="211">
      <c r="A395" s="139" t="n"/>
      <c r="B395" s="139" t="n"/>
      <c r="C395" s="139" t="n"/>
      <c r="D395" s="139" t="n"/>
      <c r="E395" s="139" t="n"/>
      <c r="F395" s="139" t="n"/>
      <c r="G395" s="55" t="n"/>
      <c r="H395" s="139" t="n"/>
      <c r="I395" s="139" t="n"/>
      <c r="J395" s="139" t="n"/>
      <c r="K395" s="139" t="n"/>
      <c r="L395" s="139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</row>
    <row r="396" ht="45.75" customHeight="1" s="211">
      <c r="A396" s="139" t="n"/>
      <c r="B396" s="139" t="n"/>
      <c r="C396" s="139" t="n"/>
      <c r="D396" s="139" t="n"/>
      <c r="E396" s="139" t="n"/>
      <c r="F396" s="139" t="n"/>
      <c r="G396" s="55" t="n"/>
      <c r="H396" s="139" t="n"/>
      <c r="I396" s="139" t="n"/>
      <c r="J396" s="139" t="n"/>
      <c r="K396" s="139" t="n"/>
      <c r="L396" s="139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</row>
    <row r="397" ht="45.75" customHeight="1" s="211">
      <c r="A397" s="139" t="n"/>
      <c r="B397" s="139" t="n"/>
      <c r="C397" s="139" t="n"/>
      <c r="D397" s="139" t="n"/>
      <c r="E397" s="139" t="n"/>
      <c r="F397" s="139" t="n"/>
      <c r="G397" s="55" t="n"/>
      <c r="H397" s="139" t="n"/>
      <c r="I397" s="139" t="n"/>
      <c r="J397" s="139" t="n"/>
      <c r="K397" s="139" t="n"/>
      <c r="L397" s="139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</row>
    <row r="398" ht="45.75" customHeight="1" s="211">
      <c r="A398" s="139" t="n"/>
      <c r="B398" s="139" t="n"/>
      <c r="C398" s="139" t="n"/>
      <c r="D398" s="139" t="n"/>
      <c r="E398" s="139" t="n"/>
      <c r="F398" s="139" t="n"/>
      <c r="G398" s="55" t="n"/>
      <c r="H398" s="139" t="n"/>
      <c r="I398" s="139" t="n"/>
      <c r="J398" s="139" t="n"/>
      <c r="K398" s="139" t="n"/>
      <c r="L398" s="139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</row>
    <row r="399" ht="45.75" customHeight="1" s="211">
      <c r="A399" s="139" t="n"/>
      <c r="B399" s="139" t="n"/>
      <c r="C399" s="139" t="n"/>
      <c r="D399" s="139" t="n"/>
      <c r="E399" s="139" t="n"/>
      <c r="F399" s="139" t="n"/>
      <c r="G399" s="55" t="n"/>
      <c r="H399" s="139" t="n"/>
      <c r="I399" s="139" t="n"/>
      <c r="J399" s="139" t="n"/>
      <c r="K399" s="139" t="n"/>
      <c r="L399" s="139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</row>
    <row r="400" ht="45.75" customHeight="1" s="211">
      <c r="A400" s="139" t="n"/>
      <c r="B400" s="139" t="n"/>
      <c r="C400" s="139" t="n"/>
      <c r="D400" s="139" t="n"/>
      <c r="E400" s="139" t="n"/>
      <c r="F400" s="139" t="n"/>
      <c r="G400" s="55" t="n"/>
      <c r="H400" s="139" t="n"/>
      <c r="I400" s="139" t="n"/>
      <c r="J400" s="139" t="n"/>
      <c r="K400" s="139" t="n"/>
      <c r="L400" s="139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</row>
    <row r="401" ht="45.75" customHeight="1" s="211">
      <c r="A401" s="139" t="n"/>
      <c r="B401" s="139" t="n"/>
      <c r="C401" s="139" t="n"/>
      <c r="D401" s="139" t="n"/>
      <c r="E401" s="139" t="n"/>
      <c r="F401" s="139" t="n"/>
      <c r="G401" s="55" t="n"/>
      <c r="H401" s="139" t="n"/>
      <c r="I401" s="139" t="n"/>
      <c r="J401" s="139" t="n"/>
      <c r="K401" s="139" t="n"/>
      <c r="L401" s="139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</row>
    <row r="402" ht="45.75" customHeight="1" s="211">
      <c r="A402" s="139" t="n"/>
      <c r="B402" s="139" t="n"/>
      <c r="C402" s="139" t="n"/>
      <c r="D402" s="139" t="n"/>
      <c r="E402" s="139" t="n"/>
      <c r="F402" s="139" t="n"/>
      <c r="G402" s="55" t="n"/>
      <c r="H402" s="139" t="n"/>
      <c r="I402" s="139" t="n"/>
      <c r="J402" s="139" t="n"/>
      <c r="K402" s="139" t="n"/>
      <c r="L402" s="139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</row>
    <row r="403" ht="45.75" customHeight="1" s="211">
      <c r="A403" s="139" t="n"/>
      <c r="B403" s="139" t="n"/>
      <c r="C403" s="139" t="n"/>
      <c r="D403" s="139" t="n"/>
      <c r="E403" s="139" t="n"/>
      <c r="F403" s="139" t="n"/>
      <c r="G403" s="55" t="n"/>
      <c r="H403" s="139" t="n"/>
      <c r="I403" s="139" t="n"/>
      <c r="J403" s="139" t="n"/>
      <c r="K403" s="139" t="n"/>
      <c r="L403" s="139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</row>
    <row r="404" ht="45.75" customHeight="1" s="211">
      <c r="A404" s="139" t="n"/>
      <c r="B404" s="139" t="n"/>
      <c r="C404" s="139" t="n"/>
      <c r="D404" s="139" t="n"/>
      <c r="E404" s="139" t="n"/>
      <c r="F404" s="139" t="n"/>
      <c r="G404" s="55" t="n"/>
      <c r="H404" s="139" t="n"/>
      <c r="I404" s="139" t="n"/>
      <c r="J404" s="139" t="n"/>
      <c r="K404" s="139" t="n"/>
      <c r="L404" s="139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</row>
    <row r="405" ht="45.75" customHeight="1" s="211">
      <c r="A405" s="139" t="n"/>
      <c r="B405" s="139" t="n"/>
      <c r="C405" s="139" t="n"/>
      <c r="D405" s="139" t="n"/>
      <c r="E405" s="139" t="n"/>
      <c r="F405" s="139" t="n"/>
      <c r="G405" s="55" t="n"/>
      <c r="H405" s="139" t="n"/>
      <c r="I405" s="139" t="n"/>
      <c r="J405" s="139" t="n"/>
      <c r="K405" s="139" t="n"/>
      <c r="L405" s="139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</row>
    <row r="406" ht="45.75" customHeight="1" s="211">
      <c r="A406" s="139" t="n"/>
      <c r="B406" s="139" t="n"/>
      <c r="C406" s="139" t="n"/>
      <c r="D406" s="139" t="n"/>
      <c r="E406" s="139" t="n"/>
      <c r="F406" s="139" t="n"/>
      <c r="G406" s="55" t="n"/>
      <c r="H406" s="139" t="n"/>
      <c r="I406" s="139" t="n"/>
      <c r="J406" s="139" t="n"/>
      <c r="K406" s="139" t="n"/>
      <c r="L406" s="139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</row>
    <row r="407" ht="45.75" customHeight="1" s="211">
      <c r="A407" s="139" t="n"/>
      <c r="B407" s="139" t="n"/>
      <c r="C407" s="139" t="n"/>
      <c r="D407" s="139" t="n"/>
      <c r="E407" s="139" t="n"/>
      <c r="F407" s="139" t="n"/>
      <c r="G407" s="55" t="n"/>
      <c r="H407" s="139" t="n"/>
      <c r="I407" s="139" t="n"/>
      <c r="J407" s="139" t="n"/>
      <c r="K407" s="139" t="n"/>
      <c r="L407" s="139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</row>
    <row r="408" ht="45.75" customHeight="1" s="211">
      <c r="A408" s="139" t="n"/>
      <c r="B408" s="139" t="n"/>
      <c r="C408" s="139" t="n"/>
      <c r="D408" s="139" t="n"/>
      <c r="E408" s="139" t="n"/>
      <c r="F408" s="139" t="n"/>
      <c r="G408" s="55" t="n"/>
      <c r="H408" s="139" t="n"/>
      <c r="I408" s="139" t="n"/>
      <c r="J408" s="139" t="n"/>
      <c r="K408" s="139" t="n"/>
      <c r="L408" s="139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</row>
    <row r="409" ht="45.75" customHeight="1" s="211">
      <c r="A409" s="139" t="n"/>
      <c r="B409" s="139" t="n"/>
      <c r="C409" s="139" t="n"/>
      <c r="D409" s="139" t="n"/>
      <c r="E409" s="139" t="n"/>
      <c r="F409" s="139" t="n"/>
      <c r="G409" s="55" t="n"/>
      <c r="H409" s="139" t="n"/>
      <c r="I409" s="139" t="n"/>
      <c r="J409" s="139" t="n"/>
      <c r="K409" s="139" t="n"/>
      <c r="L409" s="139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</row>
    <row r="410" ht="45.75" customHeight="1" s="211">
      <c r="A410" s="139" t="n"/>
      <c r="B410" s="139" t="n"/>
      <c r="C410" s="139" t="n"/>
      <c r="D410" s="139" t="n"/>
      <c r="E410" s="139" t="n"/>
      <c r="F410" s="139" t="n"/>
      <c r="G410" s="55" t="n"/>
      <c r="H410" s="139" t="n"/>
      <c r="I410" s="139" t="n"/>
      <c r="J410" s="139" t="n"/>
      <c r="K410" s="139" t="n"/>
      <c r="L410" s="139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</row>
    <row r="411" ht="45.75" customHeight="1" s="211">
      <c r="A411" s="139" t="n"/>
      <c r="B411" s="139" t="n"/>
      <c r="C411" s="139" t="n"/>
      <c r="D411" s="139" t="n"/>
      <c r="E411" s="139" t="n"/>
      <c r="F411" s="139" t="n"/>
      <c r="G411" s="55" t="n"/>
      <c r="H411" s="139" t="n"/>
      <c r="I411" s="139" t="n"/>
      <c r="J411" s="139" t="n"/>
      <c r="K411" s="139" t="n"/>
      <c r="L411" s="139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</row>
    <row r="412" ht="45.75" customHeight="1" s="211">
      <c r="A412" s="139" t="n"/>
      <c r="B412" s="139" t="n"/>
      <c r="C412" s="139" t="n"/>
      <c r="D412" s="139" t="n"/>
      <c r="E412" s="139" t="n"/>
      <c r="F412" s="139" t="n"/>
      <c r="G412" s="55" t="n"/>
      <c r="H412" s="139" t="n"/>
      <c r="I412" s="139" t="n"/>
      <c r="J412" s="139" t="n"/>
      <c r="K412" s="139" t="n"/>
      <c r="L412" s="139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</row>
    <row r="413" ht="45.75" customHeight="1" s="211">
      <c r="A413" s="139" t="n"/>
      <c r="B413" s="139" t="n"/>
      <c r="C413" s="139" t="n"/>
      <c r="D413" s="139" t="n"/>
      <c r="E413" s="139" t="n"/>
      <c r="F413" s="139" t="n"/>
      <c r="G413" s="55" t="n"/>
      <c r="H413" s="139" t="n"/>
      <c r="I413" s="139" t="n"/>
      <c r="J413" s="139" t="n"/>
      <c r="K413" s="139" t="n"/>
      <c r="L413" s="139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</row>
    <row r="414" ht="45.75" customHeight="1" s="211">
      <c r="A414" s="139" t="n"/>
      <c r="B414" s="139" t="n"/>
      <c r="C414" s="139" t="n"/>
      <c r="D414" s="139" t="n"/>
      <c r="E414" s="139" t="n"/>
      <c r="F414" s="139" t="n"/>
      <c r="G414" s="55" t="n"/>
      <c r="H414" s="139" t="n"/>
      <c r="I414" s="139" t="n"/>
      <c r="J414" s="139" t="n"/>
      <c r="K414" s="139" t="n"/>
      <c r="L414" s="139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</row>
    <row r="415" ht="45.75" customHeight="1" s="211">
      <c r="A415" s="139" t="n"/>
      <c r="B415" s="139" t="n"/>
      <c r="C415" s="139" t="n"/>
      <c r="D415" s="139" t="n"/>
      <c r="E415" s="139" t="n"/>
      <c r="F415" s="139" t="n"/>
      <c r="G415" s="55" t="n"/>
      <c r="H415" s="139" t="n"/>
      <c r="I415" s="139" t="n"/>
      <c r="J415" s="139" t="n"/>
      <c r="K415" s="139" t="n"/>
      <c r="L415" s="139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</row>
    <row r="416" ht="45.75" customHeight="1" s="211">
      <c r="A416" s="139" t="n"/>
      <c r="B416" s="139" t="n"/>
      <c r="C416" s="139" t="n"/>
      <c r="D416" s="139" t="n"/>
      <c r="E416" s="139" t="n"/>
      <c r="F416" s="139" t="n"/>
      <c r="G416" s="55" t="n"/>
      <c r="H416" s="139" t="n"/>
      <c r="I416" s="139" t="n"/>
      <c r="J416" s="139" t="n"/>
      <c r="K416" s="139" t="n"/>
      <c r="L416" s="139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</row>
    <row r="417" ht="45.75" customHeight="1" s="211">
      <c r="A417" s="139" t="n"/>
      <c r="B417" s="139" t="n"/>
      <c r="C417" s="139" t="n"/>
      <c r="D417" s="139" t="n"/>
      <c r="E417" s="139" t="n"/>
      <c r="F417" s="139" t="n"/>
      <c r="G417" s="55" t="n"/>
      <c r="H417" s="139" t="n"/>
      <c r="I417" s="139" t="n"/>
      <c r="J417" s="139" t="n"/>
      <c r="K417" s="139" t="n"/>
      <c r="L417" s="139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</row>
    <row r="418" ht="45.75" customHeight="1" s="211">
      <c r="A418" s="139" t="n"/>
      <c r="B418" s="139" t="n"/>
      <c r="C418" s="139" t="n"/>
      <c r="D418" s="139" t="n"/>
      <c r="E418" s="139" t="n"/>
      <c r="F418" s="139" t="n"/>
      <c r="G418" s="55" t="n"/>
      <c r="H418" s="139" t="n"/>
      <c r="I418" s="139" t="n"/>
      <c r="J418" s="139" t="n"/>
      <c r="K418" s="139" t="n"/>
      <c r="L418" s="139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</row>
    <row r="419" ht="45.75" customHeight="1" s="211">
      <c r="A419" s="139" t="n"/>
      <c r="B419" s="139" t="n"/>
      <c r="C419" s="139" t="n"/>
      <c r="D419" s="139" t="n"/>
      <c r="E419" s="139" t="n"/>
      <c r="F419" s="139" t="n"/>
      <c r="G419" s="55" t="n"/>
      <c r="H419" s="139" t="n"/>
      <c r="I419" s="139" t="n"/>
      <c r="J419" s="139" t="n"/>
      <c r="K419" s="139" t="n"/>
      <c r="L419" s="139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</row>
    <row r="420" ht="45.75" customHeight="1" s="211">
      <c r="A420" s="139" t="n"/>
      <c r="B420" s="139" t="n"/>
      <c r="C420" s="139" t="n"/>
      <c r="D420" s="139" t="n"/>
      <c r="E420" s="139" t="n"/>
      <c r="F420" s="139" t="n"/>
      <c r="G420" s="55" t="n"/>
      <c r="H420" s="139" t="n"/>
      <c r="I420" s="139" t="n"/>
      <c r="J420" s="139" t="n"/>
      <c r="K420" s="139" t="n"/>
      <c r="L420" s="139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</row>
    <row r="421" ht="45.75" customHeight="1" s="211">
      <c r="A421" s="139" t="n"/>
      <c r="B421" s="139" t="n"/>
      <c r="C421" s="139" t="n"/>
      <c r="D421" s="139" t="n"/>
      <c r="E421" s="139" t="n"/>
      <c r="F421" s="139" t="n"/>
      <c r="G421" s="55" t="n"/>
      <c r="H421" s="139" t="n"/>
      <c r="I421" s="139" t="n"/>
      <c r="J421" s="139" t="n"/>
      <c r="K421" s="139" t="n"/>
      <c r="L421" s="139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</row>
    <row r="422" ht="45.75" customHeight="1" s="211">
      <c r="A422" s="139" t="n"/>
      <c r="B422" s="139" t="n"/>
      <c r="C422" s="139" t="n"/>
      <c r="D422" s="139" t="n"/>
      <c r="E422" s="139" t="n"/>
      <c r="F422" s="139" t="n"/>
      <c r="G422" s="55" t="n"/>
      <c r="H422" s="139" t="n"/>
      <c r="I422" s="139" t="n"/>
      <c r="J422" s="139" t="n"/>
      <c r="K422" s="139" t="n"/>
      <c r="L422" s="139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</row>
    <row r="423" ht="45.75" customHeight="1" s="211">
      <c r="A423" s="139" t="n"/>
      <c r="B423" s="139" t="n"/>
      <c r="C423" s="139" t="n"/>
      <c r="D423" s="139" t="n"/>
      <c r="E423" s="139" t="n"/>
      <c r="F423" s="139" t="n"/>
      <c r="G423" s="55" t="n"/>
      <c r="H423" s="139" t="n"/>
      <c r="I423" s="139" t="n"/>
      <c r="J423" s="139" t="n"/>
      <c r="K423" s="139" t="n"/>
      <c r="L423" s="139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</row>
    <row r="424" ht="45.75" customHeight="1" s="211">
      <c r="A424" s="139" t="n"/>
      <c r="B424" s="139" t="n"/>
      <c r="C424" s="139" t="n"/>
      <c r="D424" s="139" t="n"/>
      <c r="E424" s="139" t="n"/>
      <c r="F424" s="139" t="n"/>
      <c r="G424" s="55" t="n"/>
      <c r="H424" s="139" t="n"/>
      <c r="I424" s="139" t="n"/>
      <c r="J424" s="139" t="n"/>
      <c r="K424" s="139" t="n"/>
      <c r="L424" s="139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</row>
    <row r="425" ht="45.75" customHeight="1" s="211">
      <c r="A425" s="139" t="n"/>
      <c r="B425" s="139" t="n"/>
      <c r="C425" s="139" t="n"/>
      <c r="D425" s="139" t="n"/>
      <c r="E425" s="139" t="n"/>
      <c r="F425" s="139" t="n"/>
      <c r="G425" s="55" t="n"/>
      <c r="H425" s="139" t="n"/>
      <c r="I425" s="139" t="n"/>
      <c r="J425" s="139" t="n"/>
      <c r="K425" s="139" t="n"/>
      <c r="L425" s="139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</row>
    <row r="426" ht="45.75" customHeight="1" s="211">
      <c r="A426" s="139" t="n"/>
      <c r="B426" s="139" t="n"/>
      <c r="C426" s="139" t="n"/>
      <c r="D426" s="139" t="n"/>
      <c r="E426" s="139" t="n"/>
      <c r="F426" s="139" t="n"/>
      <c r="G426" s="55" t="n"/>
      <c r="H426" s="139" t="n"/>
      <c r="I426" s="139" t="n"/>
      <c r="J426" s="139" t="n"/>
      <c r="K426" s="139" t="n"/>
      <c r="L426" s="139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</row>
    <row r="427" ht="45.75" customHeight="1" s="211">
      <c r="A427" s="139" t="n"/>
      <c r="B427" s="139" t="n"/>
      <c r="C427" s="139" t="n"/>
      <c r="D427" s="139" t="n"/>
      <c r="E427" s="139" t="n"/>
      <c r="F427" s="139" t="n"/>
      <c r="G427" s="55" t="n"/>
      <c r="H427" s="139" t="n"/>
      <c r="I427" s="139" t="n"/>
      <c r="J427" s="139" t="n"/>
      <c r="K427" s="139" t="n"/>
      <c r="L427" s="139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</row>
    <row r="428" ht="45.75" customHeight="1" s="211">
      <c r="A428" s="139" t="n"/>
      <c r="B428" s="139" t="n"/>
      <c r="C428" s="139" t="n"/>
      <c r="D428" s="139" t="n"/>
      <c r="E428" s="139" t="n"/>
      <c r="F428" s="139" t="n"/>
      <c r="G428" s="55" t="n"/>
      <c r="H428" s="139" t="n"/>
      <c r="I428" s="139" t="n"/>
      <c r="J428" s="139" t="n"/>
      <c r="K428" s="139" t="n"/>
      <c r="L428" s="139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</row>
    <row r="429" ht="45.75" customHeight="1" s="211">
      <c r="A429" s="139" t="n"/>
      <c r="B429" s="139" t="n"/>
      <c r="C429" s="139" t="n"/>
      <c r="D429" s="139" t="n"/>
      <c r="E429" s="139" t="n"/>
      <c r="F429" s="139" t="n"/>
      <c r="G429" s="55" t="n"/>
      <c r="H429" s="139" t="n"/>
      <c r="I429" s="139" t="n"/>
      <c r="J429" s="139" t="n"/>
      <c r="K429" s="139" t="n"/>
      <c r="L429" s="139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</row>
    <row r="430" ht="45.75" customHeight="1" s="211">
      <c r="A430" s="139" t="n"/>
      <c r="B430" s="139" t="n"/>
      <c r="C430" s="139" t="n"/>
      <c r="D430" s="139" t="n"/>
      <c r="E430" s="139" t="n"/>
      <c r="F430" s="139" t="n"/>
      <c r="G430" s="55" t="n"/>
      <c r="H430" s="139" t="n"/>
      <c r="I430" s="139" t="n"/>
      <c r="J430" s="139" t="n"/>
      <c r="K430" s="139" t="n"/>
      <c r="L430" s="139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</row>
    <row r="431" ht="45.75" customHeight="1" s="211">
      <c r="A431" s="139" t="n"/>
      <c r="B431" s="139" t="n"/>
      <c r="C431" s="139" t="n"/>
      <c r="D431" s="139" t="n"/>
      <c r="E431" s="139" t="n"/>
      <c r="F431" s="139" t="n"/>
      <c r="G431" s="55" t="n"/>
      <c r="H431" s="139" t="n"/>
      <c r="I431" s="139" t="n"/>
      <c r="J431" s="139" t="n"/>
      <c r="K431" s="139" t="n"/>
      <c r="L431" s="139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</row>
    <row r="432" ht="45.75" customHeight="1" s="211">
      <c r="A432" s="139" t="n"/>
      <c r="B432" s="139" t="n"/>
      <c r="C432" s="139" t="n"/>
      <c r="D432" s="139" t="n"/>
      <c r="E432" s="139" t="n"/>
      <c r="F432" s="139" t="n"/>
      <c r="G432" s="55" t="n"/>
      <c r="H432" s="139" t="n"/>
      <c r="I432" s="139" t="n"/>
      <c r="J432" s="139" t="n"/>
      <c r="K432" s="139" t="n"/>
      <c r="L432" s="139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</row>
    <row r="433" ht="45.75" customHeight="1" s="211">
      <c r="A433" s="139" t="n"/>
      <c r="B433" s="139" t="n"/>
      <c r="C433" s="139" t="n"/>
      <c r="D433" s="139" t="n"/>
      <c r="E433" s="139" t="n"/>
      <c r="F433" s="139" t="n"/>
      <c r="G433" s="55" t="n"/>
      <c r="H433" s="139" t="n"/>
      <c r="I433" s="139" t="n"/>
      <c r="J433" s="139" t="n"/>
      <c r="K433" s="139" t="n"/>
      <c r="L433" s="139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</row>
    <row r="434" ht="45.75" customHeight="1" s="211">
      <c r="A434" s="139" t="n"/>
      <c r="B434" s="139" t="n"/>
      <c r="C434" s="139" t="n"/>
      <c r="D434" s="139" t="n"/>
      <c r="E434" s="139" t="n"/>
      <c r="F434" s="139" t="n"/>
      <c r="G434" s="55" t="n"/>
      <c r="H434" s="139" t="n"/>
      <c r="I434" s="139" t="n"/>
      <c r="J434" s="139" t="n"/>
      <c r="K434" s="139" t="n"/>
      <c r="L434" s="139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</row>
    <row r="435" ht="45.75" customHeight="1" s="211">
      <c r="A435" s="139" t="n"/>
      <c r="B435" s="139" t="n"/>
      <c r="C435" s="139" t="n"/>
      <c r="D435" s="139" t="n"/>
      <c r="E435" s="139" t="n"/>
      <c r="F435" s="139" t="n"/>
      <c r="G435" s="55" t="n"/>
      <c r="H435" s="139" t="n"/>
      <c r="I435" s="139" t="n"/>
      <c r="J435" s="139" t="n"/>
      <c r="K435" s="139" t="n"/>
      <c r="L435" s="139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</row>
    <row r="436" ht="45.75" customHeight="1" s="211">
      <c r="A436" s="139" t="n"/>
      <c r="B436" s="139" t="n"/>
      <c r="C436" s="139" t="n"/>
      <c r="D436" s="139" t="n"/>
      <c r="E436" s="139" t="n"/>
      <c r="F436" s="139" t="n"/>
      <c r="G436" s="55" t="n"/>
      <c r="H436" s="139" t="n"/>
      <c r="I436" s="139" t="n"/>
      <c r="J436" s="139" t="n"/>
      <c r="K436" s="139" t="n"/>
      <c r="L436" s="139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</row>
    <row r="437" ht="45.75" customHeight="1" s="211">
      <c r="A437" s="139" t="n"/>
      <c r="B437" s="139" t="n"/>
      <c r="C437" s="139" t="n"/>
      <c r="D437" s="139" t="n"/>
      <c r="E437" s="139" t="n"/>
      <c r="F437" s="139" t="n"/>
      <c r="G437" s="55" t="n"/>
      <c r="H437" s="139" t="n"/>
      <c r="I437" s="139" t="n"/>
      <c r="J437" s="139" t="n"/>
      <c r="K437" s="139" t="n"/>
      <c r="L437" s="139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</row>
    <row r="438" ht="45.75" customHeight="1" s="211">
      <c r="A438" s="139" t="n"/>
      <c r="B438" s="139" t="n"/>
      <c r="C438" s="139" t="n"/>
      <c r="D438" s="139" t="n"/>
      <c r="E438" s="139" t="n"/>
      <c r="F438" s="139" t="n"/>
      <c r="G438" s="55" t="n"/>
      <c r="H438" s="139" t="n"/>
      <c r="I438" s="139" t="n"/>
      <c r="J438" s="139" t="n"/>
      <c r="K438" s="139" t="n"/>
      <c r="L438" s="139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</row>
    <row r="439" ht="45.75" customHeight="1" s="211">
      <c r="A439" s="139" t="n"/>
      <c r="B439" s="139" t="n"/>
      <c r="C439" s="139" t="n"/>
      <c r="D439" s="139" t="n"/>
      <c r="E439" s="139" t="n"/>
      <c r="F439" s="139" t="n"/>
      <c r="G439" s="55" t="n"/>
      <c r="H439" s="139" t="n"/>
      <c r="I439" s="139" t="n"/>
      <c r="J439" s="139" t="n"/>
      <c r="K439" s="139" t="n"/>
      <c r="L439" s="139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</row>
    <row r="440" ht="45.75" customHeight="1" s="211">
      <c r="A440" s="139" t="n"/>
      <c r="B440" s="139" t="n"/>
      <c r="C440" s="139" t="n"/>
      <c r="D440" s="139" t="n"/>
      <c r="E440" s="139" t="n"/>
      <c r="F440" s="139" t="n"/>
      <c r="G440" s="55" t="n"/>
      <c r="H440" s="139" t="n"/>
      <c r="I440" s="139" t="n"/>
      <c r="J440" s="139" t="n"/>
      <c r="K440" s="139" t="n"/>
      <c r="L440" s="139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</row>
    <row r="441" ht="45.75" customHeight="1" s="211">
      <c r="A441" s="139" t="n"/>
      <c r="B441" s="139" t="n"/>
      <c r="C441" s="139" t="n"/>
      <c r="D441" s="139" t="n"/>
      <c r="E441" s="139" t="n"/>
      <c r="F441" s="139" t="n"/>
      <c r="G441" s="55" t="n"/>
      <c r="H441" s="139" t="n"/>
      <c r="I441" s="139" t="n"/>
      <c r="J441" s="139" t="n"/>
      <c r="K441" s="139" t="n"/>
      <c r="L441" s="139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</row>
    <row r="442" ht="45.75" customHeight="1" s="211">
      <c r="A442" s="139" t="n"/>
      <c r="B442" s="139" t="n"/>
      <c r="C442" s="139" t="n"/>
      <c r="D442" s="139" t="n"/>
      <c r="E442" s="139" t="n"/>
      <c r="F442" s="139" t="n"/>
      <c r="G442" s="55" t="n"/>
      <c r="H442" s="139" t="n"/>
      <c r="I442" s="139" t="n"/>
      <c r="J442" s="139" t="n"/>
      <c r="K442" s="139" t="n"/>
      <c r="L442" s="139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</row>
    <row r="443" ht="45.75" customHeight="1" s="211">
      <c r="A443" s="139" t="n"/>
      <c r="B443" s="139" t="n"/>
      <c r="C443" s="139" t="n"/>
      <c r="D443" s="139" t="n"/>
      <c r="E443" s="139" t="n"/>
      <c r="F443" s="139" t="n"/>
      <c r="G443" s="55" t="n"/>
      <c r="H443" s="139" t="n"/>
      <c r="I443" s="139" t="n"/>
      <c r="J443" s="139" t="n"/>
      <c r="K443" s="139" t="n"/>
      <c r="L443" s="139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</row>
    <row r="444" ht="45.75" customHeight="1" s="211">
      <c r="A444" s="139" t="n"/>
      <c r="B444" s="139" t="n"/>
      <c r="C444" s="139" t="n"/>
      <c r="D444" s="139" t="n"/>
      <c r="E444" s="139" t="n"/>
      <c r="F444" s="139" t="n"/>
      <c r="G444" s="55" t="n"/>
      <c r="H444" s="139" t="n"/>
      <c r="I444" s="139" t="n"/>
      <c r="J444" s="139" t="n"/>
      <c r="K444" s="139" t="n"/>
      <c r="L444" s="139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</row>
    <row r="445" ht="45.75" customHeight="1" s="211">
      <c r="A445" s="139" t="n"/>
      <c r="B445" s="139" t="n"/>
      <c r="C445" s="139" t="n"/>
      <c r="D445" s="139" t="n"/>
      <c r="E445" s="139" t="n"/>
      <c r="F445" s="139" t="n"/>
      <c r="G445" s="55" t="n"/>
      <c r="H445" s="139" t="n"/>
      <c r="I445" s="139" t="n"/>
      <c r="J445" s="139" t="n"/>
      <c r="K445" s="139" t="n"/>
      <c r="L445" s="139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</row>
    <row r="446" ht="45.75" customHeight="1" s="211">
      <c r="A446" s="139" t="n"/>
      <c r="B446" s="139" t="n"/>
      <c r="C446" s="139" t="n"/>
      <c r="D446" s="139" t="n"/>
      <c r="E446" s="139" t="n"/>
      <c r="F446" s="139" t="n"/>
      <c r="G446" s="55" t="n"/>
      <c r="H446" s="139" t="n"/>
      <c r="I446" s="139" t="n"/>
      <c r="J446" s="139" t="n"/>
      <c r="K446" s="139" t="n"/>
      <c r="L446" s="139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</row>
    <row r="447" ht="45.75" customHeight="1" s="211">
      <c r="A447" s="139" t="n"/>
      <c r="B447" s="139" t="n"/>
      <c r="C447" s="139" t="n"/>
      <c r="D447" s="139" t="n"/>
      <c r="E447" s="139" t="n"/>
      <c r="F447" s="139" t="n"/>
      <c r="G447" s="55" t="n"/>
      <c r="H447" s="139" t="n"/>
      <c r="I447" s="139" t="n"/>
      <c r="J447" s="139" t="n"/>
      <c r="K447" s="139" t="n"/>
      <c r="L447" s="139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</row>
    <row r="448" ht="45.75" customHeight="1" s="211">
      <c r="A448" s="139" t="n"/>
      <c r="B448" s="139" t="n"/>
      <c r="C448" s="139" t="n"/>
      <c r="D448" s="139" t="n"/>
      <c r="E448" s="139" t="n"/>
      <c r="F448" s="139" t="n"/>
      <c r="G448" s="55" t="n"/>
      <c r="H448" s="139" t="n"/>
      <c r="I448" s="139" t="n"/>
      <c r="J448" s="139" t="n"/>
      <c r="K448" s="139" t="n"/>
      <c r="L448" s="139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</row>
    <row r="449" ht="45.75" customHeight="1" s="211">
      <c r="A449" s="139" t="n"/>
      <c r="B449" s="139" t="n"/>
      <c r="C449" s="139" t="n"/>
      <c r="D449" s="139" t="n"/>
      <c r="E449" s="139" t="n"/>
      <c r="F449" s="139" t="n"/>
      <c r="G449" s="55" t="n"/>
      <c r="H449" s="139" t="n"/>
      <c r="I449" s="139" t="n"/>
      <c r="J449" s="139" t="n"/>
      <c r="K449" s="139" t="n"/>
      <c r="L449" s="139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</row>
    <row r="450" ht="45.75" customHeight="1" s="211">
      <c r="A450" s="139" t="n"/>
      <c r="B450" s="139" t="n"/>
      <c r="C450" s="139" t="n"/>
      <c r="D450" s="139" t="n"/>
      <c r="E450" s="139" t="n"/>
      <c r="F450" s="139" t="n"/>
      <c r="G450" s="55" t="n"/>
      <c r="H450" s="139" t="n"/>
      <c r="I450" s="139" t="n"/>
      <c r="J450" s="139" t="n"/>
      <c r="K450" s="139" t="n"/>
      <c r="L450" s="139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</row>
    <row r="451" ht="45.75" customHeight="1" s="211">
      <c r="A451" s="139" t="n"/>
      <c r="B451" s="139" t="n"/>
      <c r="C451" s="139" t="n"/>
      <c r="D451" s="139" t="n"/>
      <c r="E451" s="139" t="n"/>
      <c r="F451" s="139" t="n"/>
      <c r="G451" s="55" t="n"/>
      <c r="H451" s="139" t="n"/>
      <c r="I451" s="139" t="n"/>
      <c r="J451" s="139" t="n"/>
      <c r="K451" s="139" t="n"/>
      <c r="L451" s="139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</row>
    <row r="452" ht="45.75" customHeight="1" s="211">
      <c r="A452" s="139" t="n"/>
      <c r="B452" s="139" t="n"/>
      <c r="C452" s="139" t="n"/>
      <c r="D452" s="139" t="n"/>
      <c r="E452" s="139" t="n"/>
      <c r="F452" s="139" t="n"/>
      <c r="G452" s="55" t="n"/>
      <c r="H452" s="139" t="n"/>
      <c r="I452" s="139" t="n"/>
      <c r="J452" s="139" t="n"/>
      <c r="K452" s="139" t="n"/>
      <c r="L452" s="139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</row>
    <row r="453" ht="45.75" customHeight="1" s="211">
      <c r="A453" s="139" t="n"/>
      <c r="B453" s="139" t="n"/>
      <c r="C453" s="139" t="n"/>
      <c r="D453" s="139" t="n"/>
      <c r="E453" s="139" t="n"/>
      <c r="F453" s="139" t="n"/>
      <c r="G453" s="55" t="n"/>
      <c r="H453" s="139" t="n"/>
      <c r="I453" s="139" t="n"/>
      <c r="J453" s="139" t="n"/>
      <c r="K453" s="139" t="n"/>
      <c r="L453" s="139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</row>
    <row r="454" ht="45.75" customHeight="1" s="211">
      <c r="A454" s="139" t="n"/>
      <c r="B454" s="139" t="n"/>
      <c r="C454" s="139" t="n"/>
      <c r="D454" s="139" t="n"/>
      <c r="E454" s="139" t="n"/>
      <c r="F454" s="139" t="n"/>
      <c r="G454" s="55" t="n"/>
      <c r="H454" s="139" t="n"/>
      <c r="I454" s="139" t="n"/>
      <c r="J454" s="139" t="n"/>
      <c r="K454" s="139" t="n"/>
      <c r="L454" s="139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</row>
    <row r="455" ht="45.75" customHeight="1" s="211">
      <c r="A455" s="139" t="n"/>
      <c r="B455" s="139" t="n"/>
      <c r="C455" s="139" t="n"/>
      <c r="D455" s="139" t="n"/>
      <c r="E455" s="139" t="n"/>
      <c r="F455" s="139" t="n"/>
      <c r="G455" s="55" t="n"/>
      <c r="H455" s="139" t="n"/>
      <c r="I455" s="139" t="n"/>
      <c r="J455" s="139" t="n"/>
      <c r="K455" s="139" t="n"/>
      <c r="L455" s="139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</row>
    <row r="456" ht="45.75" customHeight="1" s="211">
      <c r="A456" s="139" t="n"/>
      <c r="B456" s="139" t="n"/>
      <c r="C456" s="139" t="n"/>
      <c r="D456" s="139" t="n"/>
      <c r="E456" s="139" t="n"/>
      <c r="F456" s="139" t="n"/>
      <c r="G456" s="55" t="n"/>
      <c r="H456" s="139" t="n"/>
      <c r="I456" s="139" t="n"/>
      <c r="J456" s="139" t="n"/>
      <c r="K456" s="139" t="n"/>
      <c r="L456" s="139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</row>
    <row r="457" ht="45.75" customHeight="1" s="211">
      <c r="A457" s="139" t="n"/>
      <c r="B457" s="139" t="n"/>
      <c r="C457" s="139" t="n"/>
      <c r="D457" s="139" t="n"/>
      <c r="E457" s="139" t="n"/>
      <c r="F457" s="139" t="n"/>
      <c r="G457" s="55" t="n"/>
      <c r="H457" s="139" t="n"/>
      <c r="I457" s="139" t="n"/>
      <c r="J457" s="139" t="n"/>
      <c r="K457" s="139" t="n"/>
      <c r="L457" s="139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</row>
    <row r="458" ht="45.75" customHeight="1" s="211">
      <c r="A458" s="139" t="n"/>
      <c r="B458" s="139" t="n"/>
      <c r="C458" s="139" t="n"/>
      <c r="D458" s="139" t="n"/>
      <c r="E458" s="139" t="n"/>
      <c r="F458" s="139" t="n"/>
      <c r="G458" s="55" t="n"/>
      <c r="H458" s="139" t="n"/>
      <c r="I458" s="139" t="n"/>
      <c r="J458" s="139" t="n"/>
      <c r="K458" s="139" t="n"/>
      <c r="L458" s="139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</row>
    <row r="459" ht="45.75" customHeight="1" s="211">
      <c r="A459" s="139" t="n"/>
      <c r="B459" s="139" t="n"/>
      <c r="C459" s="139" t="n"/>
      <c r="D459" s="139" t="n"/>
      <c r="E459" s="139" t="n"/>
      <c r="F459" s="139" t="n"/>
      <c r="G459" s="55" t="n"/>
      <c r="H459" s="139" t="n"/>
      <c r="I459" s="139" t="n"/>
      <c r="J459" s="139" t="n"/>
      <c r="K459" s="139" t="n"/>
      <c r="L459" s="139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</row>
    <row r="460" ht="45.75" customHeight="1" s="211">
      <c r="A460" s="139" t="n"/>
      <c r="B460" s="139" t="n"/>
      <c r="C460" s="139" t="n"/>
      <c r="D460" s="139" t="n"/>
      <c r="E460" s="139" t="n"/>
      <c r="F460" s="139" t="n"/>
      <c r="G460" s="55" t="n"/>
      <c r="H460" s="139" t="n"/>
      <c r="I460" s="139" t="n"/>
      <c r="J460" s="139" t="n"/>
      <c r="K460" s="139" t="n"/>
      <c r="L460" s="139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</row>
    <row r="461" ht="45.75" customHeight="1" s="211">
      <c r="A461" s="139" t="n"/>
      <c r="B461" s="139" t="n"/>
      <c r="C461" s="139" t="n"/>
      <c r="D461" s="139" t="n"/>
      <c r="E461" s="139" t="n"/>
      <c r="F461" s="139" t="n"/>
      <c r="G461" s="55" t="n"/>
      <c r="H461" s="139" t="n"/>
      <c r="I461" s="139" t="n"/>
      <c r="J461" s="139" t="n"/>
      <c r="K461" s="139" t="n"/>
      <c r="L461" s="139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</row>
    <row r="462" ht="45.75" customHeight="1" s="211">
      <c r="A462" s="139" t="n"/>
      <c r="B462" s="139" t="n"/>
      <c r="C462" s="139" t="n"/>
      <c r="D462" s="139" t="n"/>
      <c r="E462" s="139" t="n"/>
      <c r="F462" s="139" t="n"/>
      <c r="G462" s="55" t="n"/>
      <c r="H462" s="139" t="n"/>
      <c r="I462" s="139" t="n"/>
      <c r="J462" s="139" t="n"/>
      <c r="K462" s="139" t="n"/>
      <c r="L462" s="139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</row>
    <row r="463" ht="45.75" customHeight="1" s="211">
      <c r="A463" s="139" t="n"/>
      <c r="B463" s="139" t="n"/>
      <c r="C463" s="139" t="n"/>
      <c r="D463" s="139" t="n"/>
      <c r="E463" s="139" t="n"/>
      <c r="F463" s="139" t="n"/>
      <c r="G463" s="55" t="n"/>
      <c r="H463" s="139" t="n"/>
      <c r="I463" s="139" t="n"/>
      <c r="J463" s="139" t="n"/>
      <c r="K463" s="139" t="n"/>
      <c r="L463" s="139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</row>
    <row r="464" ht="45.75" customHeight="1" s="211">
      <c r="A464" s="139" t="n"/>
      <c r="B464" s="139" t="n"/>
      <c r="C464" s="139" t="n"/>
      <c r="D464" s="139" t="n"/>
      <c r="E464" s="139" t="n"/>
      <c r="F464" s="139" t="n"/>
      <c r="G464" s="55" t="n"/>
      <c r="H464" s="139" t="n"/>
      <c r="I464" s="139" t="n"/>
      <c r="J464" s="139" t="n"/>
      <c r="K464" s="139" t="n"/>
      <c r="L464" s="139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</row>
    <row r="465" ht="45.75" customHeight="1" s="211">
      <c r="A465" s="139" t="n"/>
      <c r="B465" s="139" t="n"/>
      <c r="C465" s="139" t="n"/>
      <c r="D465" s="139" t="n"/>
      <c r="E465" s="139" t="n"/>
      <c r="F465" s="139" t="n"/>
      <c r="G465" s="55" t="n"/>
      <c r="H465" s="139" t="n"/>
      <c r="I465" s="139" t="n"/>
      <c r="J465" s="139" t="n"/>
      <c r="K465" s="139" t="n"/>
      <c r="L465" s="139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</row>
    <row r="466" ht="45.75" customHeight="1" s="211">
      <c r="A466" s="139" t="n"/>
      <c r="B466" s="139" t="n"/>
      <c r="C466" s="139" t="n"/>
      <c r="D466" s="139" t="n"/>
      <c r="E466" s="139" t="n"/>
      <c r="F466" s="139" t="n"/>
      <c r="G466" s="55" t="n"/>
      <c r="H466" s="139" t="n"/>
      <c r="I466" s="139" t="n"/>
      <c r="J466" s="139" t="n"/>
      <c r="K466" s="139" t="n"/>
      <c r="L466" s="139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</row>
    <row r="467" ht="45.75" customHeight="1" s="211">
      <c r="A467" s="139" t="n"/>
      <c r="B467" s="139" t="n"/>
      <c r="C467" s="139" t="n"/>
      <c r="D467" s="139" t="n"/>
      <c r="E467" s="139" t="n"/>
      <c r="F467" s="139" t="n"/>
      <c r="G467" s="55" t="n"/>
      <c r="H467" s="139" t="n"/>
      <c r="I467" s="139" t="n"/>
      <c r="J467" s="139" t="n"/>
      <c r="K467" s="139" t="n"/>
      <c r="L467" s="139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</row>
    <row r="468" ht="45.75" customHeight="1" s="211">
      <c r="A468" s="139" t="n"/>
      <c r="B468" s="139" t="n"/>
      <c r="C468" s="139" t="n"/>
      <c r="D468" s="139" t="n"/>
      <c r="E468" s="139" t="n"/>
      <c r="F468" s="139" t="n"/>
      <c r="G468" s="55" t="n"/>
      <c r="H468" s="139" t="n"/>
      <c r="I468" s="139" t="n"/>
      <c r="J468" s="139" t="n"/>
      <c r="K468" s="139" t="n"/>
      <c r="L468" s="139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</row>
    <row r="469" ht="45.75" customHeight="1" s="211">
      <c r="A469" s="139" t="n"/>
      <c r="B469" s="139" t="n"/>
      <c r="C469" s="139" t="n"/>
      <c r="D469" s="139" t="n"/>
      <c r="E469" s="139" t="n"/>
      <c r="F469" s="139" t="n"/>
      <c r="G469" s="55" t="n"/>
      <c r="H469" s="139" t="n"/>
      <c r="I469" s="139" t="n"/>
      <c r="J469" s="139" t="n"/>
      <c r="K469" s="139" t="n"/>
      <c r="L469" s="139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</row>
    <row r="470" ht="45.75" customHeight="1" s="211">
      <c r="A470" s="139" t="n"/>
      <c r="B470" s="139" t="n"/>
      <c r="C470" s="139" t="n"/>
      <c r="D470" s="139" t="n"/>
      <c r="E470" s="139" t="n"/>
      <c r="F470" s="139" t="n"/>
      <c r="G470" s="55" t="n"/>
      <c r="H470" s="139" t="n"/>
      <c r="I470" s="139" t="n"/>
      <c r="J470" s="139" t="n"/>
      <c r="K470" s="139" t="n"/>
      <c r="L470" s="139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</row>
    <row r="471" ht="45.75" customHeight="1" s="211">
      <c r="A471" s="139" t="n"/>
      <c r="B471" s="139" t="n"/>
      <c r="C471" s="139" t="n"/>
      <c r="D471" s="139" t="n"/>
      <c r="E471" s="139" t="n"/>
      <c r="F471" s="139" t="n"/>
      <c r="G471" s="55" t="n"/>
      <c r="H471" s="139" t="n"/>
      <c r="I471" s="139" t="n"/>
      <c r="J471" s="139" t="n"/>
      <c r="K471" s="139" t="n"/>
      <c r="L471" s="139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</row>
    <row r="472" ht="45.75" customHeight="1" s="211">
      <c r="A472" s="139" t="n"/>
      <c r="B472" s="139" t="n"/>
      <c r="C472" s="139" t="n"/>
      <c r="D472" s="139" t="n"/>
      <c r="E472" s="139" t="n"/>
      <c r="F472" s="139" t="n"/>
      <c r="G472" s="55" t="n"/>
      <c r="H472" s="139" t="n"/>
      <c r="I472" s="139" t="n"/>
      <c r="J472" s="139" t="n"/>
      <c r="K472" s="139" t="n"/>
      <c r="L472" s="139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</row>
    <row r="473" ht="45.75" customHeight="1" s="211">
      <c r="A473" s="139" t="n"/>
      <c r="B473" s="139" t="n"/>
      <c r="C473" s="139" t="n"/>
      <c r="D473" s="139" t="n"/>
      <c r="E473" s="139" t="n"/>
      <c r="F473" s="139" t="n"/>
      <c r="G473" s="55" t="n"/>
      <c r="H473" s="139" t="n"/>
      <c r="I473" s="139" t="n"/>
      <c r="J473" s="139" t="n"/>
      <c r="K473" s="139" t="n"/>
      <c r="L473" s="139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</row>
    <row r="474" ht="45.75" customHeight="1" s="211">
      <c r="A474" s="139" t="n"/>
      <c r="B474" s="139" t="n"/>
      <c r="C474" s="139" t="n"/>
      <c r="D474" s="139" t="n"/>
      <c r="E474" s="139" t="n"/>
      <c r="F474" s="139" t="n"/>
      <c r="G474" s="55" t="n"/>
      <c r="H474" s="139" t="n"/>
      <c r="I474" s="139" t="n"/>
      <c r="J474" s="139" t="n"/>
      <c r="K474" s="139" t="n"/>
      <c r="L474" s="139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</row>
    <row r="475" ht="45.75" customHeight="1" s="211">
      <c r="A475" s="139" t="n"/>
      <c r="B475" s="139" t="n"/>
      <c r="C475" s="139" t="n"/>
      <c r="D475" s="139" t="n"/>
      <c r="E475" s="139" t="n"/>
      <c r="F475" s="139" t="n"/>
      <c r="G475" s="55" t="n"/>
      <c r="H475" s="139" t="n"/>
      <c r="I475" s="139" t="n"/>
      <c r="J475" s="139" t="n"/>
      <c r="K475" s="139" t="n"/>
      <c r="L475" s="139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</row>
    <row r="476" ht="45.75" customHeight="1" s="211">
      <c r="A476" s="139" t="n"/>
      <c r="B476" s="139" t="n"/>
      <c r="C476" s="139" t="n"/>
      <c r="D476" s="139" t="n"/>
      <c r="E476" s="139" t="n"/>
      <c r="F476" s="139" t="n"/>
      <c r="G476" s="55" t="n"/>
      <c r="H476" s="139" t="n"/>
      <c r="I476" s="139" t="n"/>
      <c r="J476" s="139" t="n"/>
      <c r="K476" s="139" t="n"/>
      <c r="L476" s="139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</row>
    <row r="477" ht="45.75" customHeight="1" s="211">
      <c r="A477" s="139" t="n"/>
      <c r="B477" s="139" t="n"/>
      <c r="C477" s="139" t="n"/>
      <c r="D477" s="139" t="n"/>
      <c r="E477" s="139" t="n"/>
      <c r="F477" s="139" t="n"/>
      <c r="G477" s="55" t="n"/>
      <c r="H477" s="139" t="n"/>
      <c r="I477" s="139" t="n"/>
      <c r="J477" s="139" t="n"/>
      <c r="K477" s="139" t="n"/>
      <c r="L477" s="139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</row>
    <row r="478" ht="45.75" customHeight="1" s="211">
      <c r="A478" s="139" t="n"/>
      <c r="B478" s="139" t="n"/>
      <c r="C478" s="139" t="n"/>
      <c r="D478" s="139" t="n"/>
      <c r="E478" s="139" t="n"/>
      <c r="F478" s="139" t="n"/>
      <c r="G478" s="55" t="n"/>
      <c r="H478" s="139" t="n"/>
      <c r="I478" s="139" t="n"/>
      <c r="J478" s="139" t="n"/>
      <c r="K478" s="139" t="n"/>
      <c r="L478" s="139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</row>
    <row r="479" ht="45.75" customHeight="1" s="211">
      <c r="A479" s="139" t="n"/>
      <c r="B479" s="139" t="n"/>
      <c r="C479" s="139" t="n"/>
      <c r="D479" s="139" t="n"/>
      <c r="E479" s="139" t="n"/>
      <c r="F479" s="139" t="n"/>
      <c r="G479" s="55" t="n"/>
      <c r="H479" s="139" t="n"/>
      <c r="I479" s="139" t="n"/>
      <c r="J479" s="139" t="n"/>
      <c r="K479" s="139" t="n"/>
      <c r="L479" s="139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</row>
    <row r="480" ht="45.75" customHeight="1" s="211">
      <c r="A480" s="139" t="n"/>
      <c r="B480" s="139" t="n"/>
      <c r="C480" s="139" t="n"/>
      <c r="D480" s="139" t="n"/>
      <c r="E480" s="139" t="n"/>
      <c r="F480" s="139" t="n"/>
      <c r="G480" s="55" t="n"/>
      <c r="H480" s="139" t="n"/>
      <c r="I480" s="139" t="n"/>
      <c r="J480" s="139" t="n"/>
      <c r="K480" s="139" t="n"/>
      <c r="L480" s="139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</row>
    <row r="481" ht="45.75" customHeight="1" s="211">
      <c r="A481" s="139" t="n"/>
      <c r="B481" s="139" t="n"/>
      <c r="C481" s="139" t="n"/>
      <c r="D481" s="139" t="n"/>
      <c r="E481" s="139" t="n"/>
      <c r="F481" s="139" t="n"/>
      <c r="G481" s="55" t="n"/>
      <c r="H481" s="139" t="n"/>
      <c r="I481" s="139" t="n"/>
      <c r="J481" s="139" t="n"/>
      <c r="K481" s="139" t="n"/>
      <c r="L481" s="139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</row>
    <row r="482" ht="45.75" customHeight="1" s="211">
      <c r="A482" s="139" t="n"/>
      <c r="B482" s="139" t="n"/>
      <c r="C482" s="139" t="n"/>
      <c r="D482" s="139" t="n"/>
      <c r="E482" s="139" t="n"/>
      <c r="F482" s="139" t="n"/>
      <c r="G482" s="55" t="n"/>
      <c r="H482" s="139" t="n"/>
      <c r="I482" s="139" t="n"/>
      <c r="J482" s="139" t="n"/>
      <c r="K482" s="139" t="n"/>
      <c r="L482" s="139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</row>
    <row r="483" ht="45.75" customHeight="1" s="211">
      <c r="A483" s="139" t="n"/>
      <c r="B483" s="139" t="n"/>
      <c r="C483" s="139" t="n"/>
      <c r="D483" s="139" t="n"/>
      <c r="E483" s="139" t="n"/>
      <c r="F483" s="139" t="n"/>
      <c r="G483" s="55" t="n"/>
      <c r="H483" s="139" t="n"/>
      <c r="I483" s="139" t="n"/>
      <c r="J483" s="139" t="n"/>
      <c r="K483" s="139" t="n"/>
      <c r="L483" s="139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</row>
    <row r="484" ht="45.75" customHeight="1" s="211">
      <c r="A484" s="139" t="n"/>
      <c r="B484" s="139" t="n"/>
      <c r="C484" s="139" t="n"/>
      <c r="D484" s="139" t="n"/>
      <c r="E484" s="139" t="n"/>
      <c r="F484" s="139" t="n"/>
      <c r="G484" s="55" t="n"/>
      <c r="H484" s="139" t="n"/>
      <c r="I484" s="139" t="n"/>
      <c r="J484" s="139" t="n"/>
      <c r="K484" s="139" t="n"/>
      <c r="L484" s="139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</row>
    <row r="485" ht="45.75" customHeight="1" s="211">
      <c r="A485" s="139" t="n"/>
      <c r="B485" s="139" t="n"/>
      <c r="C485" s="139" t="n"/>
      <c r="D485" s="139" t="n"/>
      <c r="E485" s="139" t="n"/>
      <c r="F485" s="139" t="n"/>
      <c r="G485" s="55" t="n"/>
      <c r="H485" s="139" t="n"/>
      <c r="I485" s="139" t="n"/>
      <c r="J485" s="139" t="n"/>
      <c r="K485" s="139" t="n"/>
      <c r="L485" s="139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</row>
    <row r="486" ht="45.75" customHeight="1" s="211">
      <c r="A486" s="139" t="n"/>
      <c r="B486" s="139" t="n"/>
      <c r="C486" s="139" t="n"/>
      <c r="D486" s="139" t="n"/>
      <c r="E486" s="139" t="n"/>
      <c r="F486" s="139" t="n"/>
      <c r="G486" s="55" t="n"/>
      <c r="H486" s="139" t="n"/>
      <c r="I486" s="139" t="n"/>
      <c r="J486" s="139" t="n"/>
      <c r="K486" s="139" t="n"/>
      <c r="L486" s="139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</row>
    <row r="487" ht="45.75" customHeight="1" s="211">
      <c r="A487" s="139" t="n"/>
      <c r="B487" s="139" t="n"/>
      <c r="C487" s="139" t="n"/>
      <c r="D487" s="139" t="n"/>
      <c r="E487" s="139" t="n"/>
      <c r="F487" s="139" t="n"/>
      <c r="G487" s="55" t="n"/>
      <c r="H487" s="139" t="n"/>
      <c r="I487" s="139" t="n"/>
      <c r="J487" s="139" t="n"/>
      <c r="K487" s="139" t="n"/>
      <c r="L487" s="139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</row>
    <row r="488" ht="45.75" customHeight="1" s="211">
      <c r="A488" s="139" t="n"/>
      <c r="B488" s="139" t="n"/>
      <c r="C488" s="139" t="n"/>
      <c r="D488" s="139" t="n"/>
      <c r="E488" s="139" t="n"/>
      <c r="F488" s="139" t="n"/>
      <c r="G488" s="55" t="n"/>
      <c r="H488" s="139" t="n"/>
      <c r="I488" s="139" t="n"/>
      <c r="J488" s="139" t="n"/>
      <c r="K488" s="139" t="n"/>
      <c r="L488" s="139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</row>
    <row r="489" ht="45.75" customHeight="1" s="211">
      <c r="A489" s="139" t="n"/>
      <c r="B489" s="139" t="n"/>
      <c r="C489" s="139" t="n"/>
      <c r="D489" s="139" t="n"/>
      <c r="E489" s="139" t="n"/>
      <c r="F489" s="139" t="n"/>
      <c r="G489" s="55" t="n"/>
      <c r="H489" s="139" t="n"/>
      <c r="I489" s="139" t="n"/>
      <c r="J489" s="139" t="n"/>
      <c r="K489" s="139" t="n"/>
      <c r="L489" s="139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</row>
    <row r="490" ht="45.75" customHeight="1" s="211">
      <c r="A490" s="139" t="n"/>
      <c r="B490" s="139" t="n"/>
      <c r="C490" s="139" t="n"/>
      <c r="D490" s="139" t="n"/>
      <c r="E490" s="139" t="n"/>
      <c r="F490" s="139" t="n"/>
      <c r="G490" s="55" t="n"/>
      <c r="H490" s="139" t="n"/>
      <c r="I490" s="139" t="n"/>
      <c r="J490" s="139" t="n"/>
      <c r="K490" s="139" t="n"/>
      <c r="L490" s="139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</row>
    <row r="491" ht="45.75" customHeight="1" s="211">
      <c r="A491" s="139" t="n"/>
      <c r="B491" s="139" t="n"/>
      <c r="C491" s="139" t="n"/>
      <c r="D491" s="139" t="n"/>
      <c r="E491" s="139" t="n"/>
      <c r="F491" s="139" t="n"/>
      <c r="G491" s="55" t="n"/>
      <c r="H491" s="139" t="n"/>
      <c r="I491" s="139" t="n"/>
      <c r="J491" s="139" t="n"/>
      <c r="K491" s="139" t="n"/>
      <c r="L491" s="139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</row>
    <row r="492" ht="45.75" customHeight="1" s="211">
      <c r="A492" s="139" t="n"/>
      <c r="B492" s="139" t="n"/>
      <c r="C492" s="139" t="n"/>
      <c r="D492" s="139" t="n"/>
      <c r="E492" s="139" t="n"/>
      <c r="F492" s="139" t="n"/>
      <c r="G492" s="55" t="n"/>
      <c r="H492" s="139" t="n"/>
      <c r="I492" s="139" t="n"/>
      <c r="J492" s="139" t="n"/>
      <c r="K492" s="139" t="n"/>
      <c r="L492" s="139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</row>
    <row r="493" ht="45.75" customHeight="1" s="211">
      <c r="A493" s="139" t="n"/>
      <c r="B493" s="139" t="n"/>
      <c r="C493" s="139" t="n"/>
      <c r="D493" s="139" t="n"/>
      <c r="E493" s="139" t="n"/>
      <c r="F493" s="139" t="n"/>
      <c r="G493" s="55" t="n"/>
      <c r="H493" s="139" t="n"/>
      <c r="I493" s="139" t="n"/>
      <c r="J493" s="139" t="n"/>
      <c r="K493" s="139" t="n"/>
      <c r="L493" s="139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</row>
    <row r="494" ht="45.75" customHeight="1" s="211">
      <c r="A494" s="139" t="n"/>
      <c r="B494" s="139" t="n"/>
      <c r="C494" s="139" t="n"/>
      <c r="D494" s="139" t="n"/>
      <c r="E494" s="139" t="n"/>
      <c r="F494" s="139" t="n"/>
      <c r="G494" s="55" t="n"/>
      <c r="H494" s="139" t="n"/>
      <c r="I494" s="139" t="n"/>
      <c r="J494" s="139" t="n"/>
      <c r="K494" s="139" t="n"/>
      <c r="L494" s="139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</row>
    <row r="495" ht="45.75" customHeight="1" s="211">
      <c r="A495" s="139" t="n"/>
      <c r="B495" s="139" t="n"/>
      <c r="C495" s="139" t="n"/>
      <c r="D495" s="139" t="n"/>
      <c r="E495" s="139" t="n"/>
      <c r="F495" s="139" t="n"/>
      <c r="G495" s="55" t="n"/>
      <c r="H495" s="139" t="n"/>
      <c r="I495" s="139" t="n"/>
      <c r="J495" s="139" t="n"/>
      <c r="K495" s="139" t="n"/>
      <c r="L495" s="139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</row>
    <row r="496" ht="45.75" customHeight="1" s="211">
      <c r="A496" s="139" t="n"/>
      <c r="B496" s="139" t="n"/>
      <c r="C496" s="139" t="n"/>
      <c r="D496" s="139" t="n"/>
      <c r="E496" s="139" t="n"/>
      <c r="F496" s="139" t="n"/>
      <c r="G496" s="55" t="n"/>
      <c r="H496" s="139" t="n"/>
      <c r="I496" s="139" t="n"/>
      <c r="J496" s="139" t="n"/>
      <c r="K496" s="139" t="n"/>
      <c r="L496" s="139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</row>
    <row r="497" ht="45.75" customHeight="1" s="211">
      <c r="A497" s="139" t="n"/>
      <c r="B497" s="139" t="n"/>
      <c r="C497" s="139" t="n"/>
      <c r="D497" s="139" t="n"/>
      <c r="E497" s="139" t="n"/>
      <c r="F497" s="139" t="n"/>
      <c r="G497" s="55" t="n"/>
      <c r="H497" s="139" t="n"/>
      <c r="I497" s="139" t="n"/>
      <c r="J497" s="139" t="n"/>
      <c r="K497" s="139" t="n"/>
      <c r="L497" s="139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</row>
    <row r="498" ht="45.75" customHeight="1" s="211">
      <c r="A498" s="139" t="n"/>
      <c r="B498" s="139" t="n"/>
      <c r="C498" s="139" t="n"/>
      <c r="D498" s="139" t="n"/>
      <c r="E498" s="139" t="n"/>
      <c r="F498" s="139" t="n"/>
      <c r="G498" s="55" t="n"/>
      <c r="H498" s="139" t="n"/>
      <c r="I498" s="139" t="n"/>
      <c r="J498" s="139" t="n"/>
      <c r="K498" s="139" t="n"/>
      <c r="L498" s="139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</row>
    <row r="499" ht="45.75" customHeight="1" s="211">
      <c r="A499" s="139" t="n"/>
      <c r="B499" s="139" t="n"/>
      <c r="C499" s="139" t="n"/>
      <c r="D499" s="139" t="n"/>
      <c r="E499" s="139" t="n"/>
      <c r="F499" s="139" t="n"/>
      <c r="G499" s="55" t="n"/>
      <c r="H499" s="139" t="n"/>
      <c r="I499" s="139" t="n"/>
      <c r="J499" s="139" t="n"/>
      <c r="K499" s="139" t="n"/>
      <c r="L499" s="139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</row>
    <row r="500" ht="45.75" customHeight="1" s="211">
      <c r="A500" s="139" t="n"/>
      <c r="B500" s="139" t="n"/>
      <c r="C500" s="139" t="n"/>
      <c r="D500" s="139" t="n"/>
      <c r="E500" s="139" t="n"/>
      <c r="F500" s="139" t="n"/>
      <c r="G500" s="55" t="n"/>
      <c r="H500" s="139" t="n"/>
      <c r="I500" s="139" t="n"/>
      <c r="J500" s="139" t="n"/>
      <c r="K500" s="139" t="n"/>
      <c r="L500" s="139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</row>
    <row r="501" ht="45.75" customHeight="1" s="211">
      <c r="A501" s="139" t="n"/>
      <c r="B501" s="139" t="n"/>
      <c r="C501" s="139" t="n"/>
      <c r="D501" s="139" t="n"/>
      <c r="E501" s="139" t="n"/>
      <c r="F501" s="139" t="n"/>
      <c r="G501" s="55" t="n"/>
      <c r="H501" s="139" t="n"/>
      <c r="I501" s="139" t="n"/>
      <c r="J501" s="139" t="n"/>
      <c r="K501" s="139" t="n"/>
      <c r="L501" s="139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</row>
    <row r="502" ht="45.75" customHeight="1" s="211">
      <c r="A502" s="139" t="n"/>
      <c r="B502" s="139" t="n"/>
      <c r="C502" s="139" t="n"/>
      <c r="D502" s="139" t="n"/>
      <c r="E502" s="139" t="n"/>
      <c r="F502" s="139" t="n"/>
      <c r="G502" s="55" t="n"/>
      <c r="H502" s="139" t="n"/>
      <c r="I502" s="139" t="n"/>
      <c r="J502" s="139" t="n"/>
      <c r="K502" s="139" t="n"/>
      <c r="L502" s="139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</row>
    <row r="503" ht="45.75" customHeight="1" s="211">
      <c r="A503" s="139" t="n"/>
      <c r="B503" s="139" t="n"/>
      <c r="C503" s="139" t="n"/>
      <c r="D503" s="139" t="n"/>
      <c r="E503" s="139" t="n"/>
      <c r="F503" s="139" t="n"/>
      <c r="G503" s="55" t="n"/>
      <c r="H503" s="139" t="n"/>
      <c r="I503" s="139" t="n"/>
      <c r="J503" s="139" t="n"/>
      <c r="K503" s="139" t="n"/>
      <c r="L503" s="139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</row>
    <row r="504" ht="45.75" customHeight="1" s="211">
      <c r="A504" s="139" t="n"/>
      <c r="B504" s="139" t="n"/>
      <c r="C504" s="139" t="n"/>
      <c r="D504" s="139" t="n"/>
      <c r="E504" s="139" t="n"/>
      <c r="F504" s="139" t="n"/>
      <c r="G504" s="55" t="n"/>
      <c r="H504" s="139" t="n"/>
      <c r="I504" s="139" t="n"/>
      <c r="J504" s="139" t="n"/>
      <c r="K504" s="139" t="n"/>
      <c r="L504" s="139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</row>
    <row r="505" ht="45.75" customHeight="1" s="211">
      <c r="A505" s="139" t="n"/>
      <c r="B505" s="139" t="n"/>
      <c r="C505" s="139" t="n"/>
      <c r="D505" s="139" t="n"/>
      <c r="E505" s="139" t="n"/>
      <c r="F505" s="139" t="n"/>
      <c r="G505" s="55" t="n"/>
      <c r="H505" s="139" t="n"/>
      <c r="I505" s="139" t="n"/>
      <c r="J505" s="139" t="n"/>
      <c r="K505" s="139" t="n"/>
      <c r="L505" s="139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</row>
    <row r="506" ht="45.75" customHeight="1" s="211">
      <c r="A506" s="139" t="n"/>
      <c r="B506" s="139" t="n"/>
      <c r="C506" s="139" t="n"/>
      <c r="D506" s="139" t="n"/>
      <c r="E506" s="139" t="n"/>
      <c r="F506" s="139" t="n"/>
      <c r="G506" s="55" t="n"/>
      <c r="H506" s="139" t="n"/>
      <c r="I506" s="139" t="n"/>
      <c r="J506" s="139" t="n"/>
      <c r="K506" s="139" t="n"/>
      <c r="L506" s="139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</row>
    <row r="507" ht="45.75" customHeight="1" s="211">
      <c r="A507" s="139" t="n"/>
      <c r="B507" s="139" t="n"/>
      <c r="C507" s="139" t="n"/>
      <c r="D507" s="139" t="n"/>
      <c r="E507" s="139" t="n"/>
      <c r="F507" s="139" t="n"/>
      <c r="G507" s="55" t="n"/>
      <c r="H507" s="139" t="n"/>
      <c r="I507" s="139" t="n"/>
      <c r="J507" s="139" t="n"/>
      <c r="K507" s="139" t="n"/>
      <c r="L507" s="139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</row>
    <row r="508" ht="45.75" customHeight="1" s="211">
      <c r="A508" s="139" t="n"/>
      <c r="B508" s="139" t="n"/>
      <c r="C508" s="139" t="n"/>
      <c r="D508" s="139" t="n"/>
      <c r="E508" s="139" t="n"/>
      <c r="F508" s="139" t="n"/>
      <c r="G508" s="55" t="n"/>
      <c r="H508" s="139" t="n"/>
      <c r="I508" s="139" t="n"/>
      <c r="J508" s="139" t="n"/>
      <c r="K508" s="139" t="n"/>
      <c r="L508" s="139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</row>
    <row r="509" ht="45.75" customHeight="1" s="211">
      <c r="A509" s="139" t="n"/>
      <c r="B509" s="139" t="n"/>
      <c r="C509" s="139" t="n"/>
      <c r="D509" s="139" t="n"/>
      <c r="E509" s="139" t="n"/>
      <c r="F509" s="139" t="n"/>
      <c r="G509" s="55" t="n"/>
      <c r="H509" s="139" t="n"/>
      <c r="I509" s="139" t="n"/>
      <c r="J509" s="139" t="n"/>
      <c r="K509" s="139" t="n"/>
      <c r="L509" s="139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</row>
    <row r="510" ht="45.75" customHeight="1" s="211">
      <c r="A510" s="139" t="n"/>
      <c r="B510" s="139" t="n"/>
      <c r="C510" s="139" t="n"/>
      <c r="D510" s="139" t="n"/>
      <c r="E510" s="139" t="n"/>
      <c r="F510" s="139" t="n"/>
      <c r="G510" s="55" t="n"/>
      <c r="H510" s="139" t="n"/>
      <c r="I510" s="139" t="n"/>
      <c r="J510" s="139" t="n"/>
      <c r="K510" s="139" t="n"/>
      <c r="L510" s="139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</row>
    <row r="511" ht="45.75" customHeight="1" s="211">
      <c r="A511" s="139" t="n"/>
      <c r="B511" s="139" t="n"/>
      <c r="C511" s="139" t="n"/>
      <c r="D511" s="139" t="n"/>
      <c r="E511" s="139" t="n"/>
      <c r="F511" s="139" t="n"/>
      <c r="G511" s="55" t="n"/>
      <c r="H511" s="139" t="n"/>
      <c r="I511" s="139" t="n"/>
      <c r="J511" s="139" t="n"/>
      <c r="K511" s="139" t="n"/>
      <c r="L511" s="139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</row>
    <row r="512" ht="45.75" customHeight="1" s="211">
      <c r="A512" s="139" t="n"/>
      <c r="B512" s="139" t="n"/>
      <c r="C512" s="139" t="n"/>
      <c r="D512" s="139" t="n"/>
      <c r="E512" s="139" t="n"/>
      <c r="F512" s="139" t="n"/>
      <c r="G512" s="55" t="n"/>
      <c r="H512" s="139" t="n"/>
      <c r="I512" s="139" t="n"/>
      <c r="J512" s="139" t="n"/>
      <c r="K512" s="139" t="n"/>
      <c r="L512" s="139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</row>
    <row r="513" ht="45.75" customHeight="1" s="211">
      <c r="A513" s="139" t="n"/>
      <c r="B513" s="139" t="n"/>
      <c r="C513" s="139" t="n"/>
      <c r="D513" s="139" t="n"/>
      <c r="E513" s="139" t="n"/>
      <c r="F513" s="139" t="n"/>
      <c r="G513" s="55" t="n"/>
      <c r="H513" s="139" t="n"/>
      <c r="I513" s="139" t="n"/>
      <c r="J513" s="139" t="n"/>
      <c r="K513" s="139" t="n"/>
      <c r="L513" s="139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</row>
    <row r="514" ht="45.75" customHeight="1" s="211">
      <c r="A514" s="139" t="n"/>
      <c r="B514" s="139" t="n"/>
      <c r="C514" s="139" t="n"/>
      <c r="D514" s="139" t="n"/>
      <c r="E514" s="139" t="n"/>
      <c r="F514" s="139" t="n"/>
      <c r="G514" s="55" t="n"/>
      <c r="H514" s="139" t="n"/>
      <c r="I514" s="139" t="n"/>
      <c r="J514" s="139" t="n"/>
      <c r="K514" s="139" t="n"/>
      <c r="L514" s="139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</row>
    <row r="515" ht="45.75" customHeight="1" s="211">
      <c r="A515" s="139" t="n"/>
      <c r="B515" s="139" t="n"/>
      <c r="C515" s="139" t="n"/>
      <c r="D515" s="139" t="n"/>
      <c r="E515" s="139" t="n"/>
      <c r="F515" s="139" t="n"/>
      <c r="G515" s="55" t="n"/>
      <c r="H515" s="139" t="n"/>
      <c r="I515" s="139" t="n"/>
      <c r="J515" s="139" t="n"/>
      <c r="K515" s="139" t="n"/>
      <c r="L515" s="139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</row>
    <row r="516" ht="45.75" customHeight="1" s="211">
      <c r="A516" s="139" t="n"/>
      <c r="B516" s="139" t="n"/>
      <c r="C516" s="139" t="n"/>
      <c r="D516" s="139" t="n"/>
      <c r="E516" s="139" t="n"/>
      <c r="F516" s="139" t="n"/>
      <c r="G516" s="55" t="n"/>
      <c r="H516" s="139" t="n"/>
      <c r="I516" s="139" t="n"/>
      <c r="J516" s="139" t="n"/>
      <c r="K516" s="139" t="n"/>
      <c r="L516" s="139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</row>
    <row r="517" ht="45.75" customHeight="1" s="211">
      <c r="A517" s="139" t="n"/>
      <c r="B517" s="139" t="n"/>
      <c r="C517" s="139" t="n"/>
      <c r="D517" s="139" t="n"/>
      <c r="E517" s="139" t="n"/>
      <c r="F517" s="139" t="n"/>
      <c r="G517" s="55" t="n"/>
      <c r="H517" s="139" t="n"/>
      <c r="I517" s="139" t="n"/>
      <c r="J517" s="139" t="n"/>
      <c r="K517" s="139" t="n"/>
      <c r="L517" s="139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</row>
    <row r="518" ht="45.75" customHeight="1" s="211">
      <c r="A518" s="139" t="n"/>
      <c r="B518" s="139" t="n"/>
      <c r="C518" s="139" t="n"/>
      <c r="D518" s="139" t="n"/>
      <c r="E518" s="139" t="n"/>
      <c r="F518" s="139" t="n"/>
      <c r="G518" s="55" t="n"/>
      <c r="H518" s="139" t="n"/>
      <c r="I518" s="139" t="n"/>
      <c r="J518" s="139" t="n"/>
      <c r="K518" s="139" t="n"/>
      <c r="L518" s="139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</row>
    <row r="519" ht="45.75" customHeight="1" s="211">
      <c r="A519" s="139" t="n"/>
      <c r="B519" s="139" t="n"/>
      <c r="C519" s="139" t="n"/>
      <c r="D519" s="139" t="n"/>
      <c r="E519" s="139" t="n"/>
      <c r="F519" s="139" t="n"/>
      <c r="G519" s="55" t="n"/>
      <c r="H519" s="139" t="n"/>
      <c r="I519" s="139" t="n"/>
      <c r="J519" s="139" t="n"/>
      <c r="K519" s="139" t="n"/>
      <c r="L519" s="139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</row>
    <row r="520" ht="45.75" customHeight="1" s="211">
      <c r="A520" s="139" t="n"/>
      <c r="B520" s="139" t="n"/>
      <c r="C520" s="139" t="n"/>
      <c r="D520" s="139" t="n"/>
      <c r="E520" s="139" t="n"/>
      <c r="F520" s="139" t="n"/>
      <c r="G520" s="55" t="n"/>
      <c r="H520" s="139" t="n"/>
      <c r="I520" s="139" t="n"/>
      <c r="J520" s="139" t="n"/>
      <c r="K520" s="139" t="n"/>
      <c r="L520" s="139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</row>
    <row r="521" ht="45.75" customHeight="1" s="211">
      <c r="A521" s="139" t="n"/>
      <c r="B521" s="139" t="n"/>
      <c r="C521" s="139" t="n"/>
      <c r="D521" s="139" t="n"/>
      <c r="E521" s="139" t="n"/>
      <c r="F521" s="139" t="n"/>
      <c r="G521" s="55" t="n"/>
      <c r="H521" s="139" t="n"/>
      <c r="I521" s="139" t="n"/>
      <c r="J521" s="139" t="n"/>
      <c r="K521" s="139" t="n"/>
      <c r="L521" s="139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</row>
    <row r="522" ht="45.75" customHeight="1" s="211">
      <c r="A522" s="139" t="n"/>
      <c r="B522" s="139" t="n"/>
      <c r="C522" s="139" t="n"/>
      <c r="D522" s="139" t="n"/>
      <c r="E522" s="139" t="n"/>
      <c r="F522" s="139" t="n"/>
      <c r="G522" s="55" t="n"/>
      <c r="H522" s="139" t="n"/>
      <c r="I522" s="139" t="n"/>
      <c r="J522" s="139" t="n"/>
      <c r="K522" s="139" t="n"/>
      <c r="L522" s="139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</row>
    <row r="523" ht="45.75" customHeight="1" s="211">
      <c r="A523" s="139" t="n"/>
      <c r="B523" s="139" t="n"/>
      <c r="C523" s="139" t="n"/>
      <c r="D523" s="139" t="n"/>
      <c r="E523" s="139" t="n"/>
      <c r="F523" s="139" t="n"/>
      <c r="G523" s="55" t="n"/>
      <c r="H523" s="139" t="n"/>
      <c r="I523" s="139" t="n"/>
      <c r="J523" s="139" t="n"/>
      <c r="K523" s="139" t="n"/>
      <c r="L523" s="139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</row>
    <row r="524" ht="45.75" customHeight="1" s="211">
      <c r="A524" s="139" t="n"/>
      <c r="B524" s="139" t="n"/>
      <c r="C524" s="139" t="n"/>
      <c r="D524" s="139" t="n"/>
      <c r="E524" s="139" t="n"/>
      <c r="F524" s="139" t="n"/>
      <c r="G524" s="55" t="n"/>
      <c r="H524" s="139" t="n"/>
      <c r="I524" s="139" t="n"/>
      <c r="J524" s="139" t="n"/>
      <c r="K524" s="139" t="n"/>
      <c r="L524" s="139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</row>
    <row r="525" ht="45.75" customHeight="1" s="211">
      <c r="A525" s="139" t="n"/>
      <c r="B525" s="139" t="n"/>
      <c r="C525" s="139" t="n"/>
      <c r="D525" s="139" t="n"/>
      <c r="E525" s="139" t="n"/>
      <c r="F525" s="139" t="n"/>
      <c r="G525" s="55" t="n"/>
      <c r="H525" s="139" t="n"/>
      <c r="I525" s="139" t="n"/>
      <c r="J525" s="139" t="n"/>
      <c r="K525" s="139" t="n"/>
      <c r="L525" s="139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</row>
    <row r="526" ht="45.75" customHeight="1" s="211">
      <c r="A526" s="139" t="n"/>
      <c r="B526" s="139" t="n"/>
      <c r="C526" s="139" t="n"/>
      <c r="D526" s="139" t="n"/>
      <c r="E526" s="139" t="n"/>
      <c r="F526" s="139" t="n"/>
      <c r="G526" s="55" t="n"/>
      <c r="H526" s="139" t="n"/>
      <c r="I526" s="139" t="n"/>
      <c r="J526" s="139" t="n"/>
      <c r="K526" s="139" t="n"/>
      <c r="L526" s="139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</row>
    <row r="527" ht="45.75" customHeight="1" s="211">
      <c r="A527" s="139" t="n"/>
      <c r="B527" s="139" t="n"/>
      <c r="C527" s="139" t="n"/>
      <c r="D527" s="139" t="n"/>
      <c r="E527" s="139" t="n"/>
      <c r="F527" s="139" t="n"/>
      <c r="G527" s="55" t="n"/>
      <c r="H527" s="139" t="n"/>
      <c r="I527" s="139" t="n"/>
      <c r="J527" s="139" t="n"/>
      <c r="K527" s="139" t="n"/>
      <c r="L527" s="139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</row>
    <row r="528" ht="45.75" customHeight="1" s="211">
      <c r="A528" s="139" t="n"/>
      <c r="B528" s="139" t="n"/>
      <c r="C528" s="139" t="n"/>
      <c r="D528" s="139" t="n"/>
      <c r="E528" s="139" t="n"/>
      <c r="F528" s="139" t="n"/>
      <c r="G528" s="55" t="n"/>
      <c r="H528" s="139" t="n"/>
      <c r="I528" s="139" t="n"/>
      <c r="J528" s="139" t="n"/>
      <c r="K528" s="139" t="n"/>
      <c r="L528" s="139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</row>
    <row r="529" ht="45.75" customHeight="1" s="211">
      <c r="A529" s="139" t="n"/>
      <c r="B529" s="139" t="n"/>
      <c r="C529" s="139" t="n"/>
      <c r="D529" s="139" t="n"/>
      <c r="E529" s="139" t="n"/>
      <c r="F529" s="139" t="n"/>
      <c r="G529" s="55" t="n"/>
      <c r="H529" s="139" t="n"/>
      <c r="I529" s="139" t="n"/>
      <c r="J529" s="139" t="n"/>
      <c r="K529" s="139" t="n"/>
      <c r="L529" s="139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</row>
    <row r="530" ht="45.75" customHeight="1" s="211">
      <c r="A530" s="139" t="n"/>
      <c r="B530" s="139" t="n"/>
      <c r="C530" s="139" t="n"/>
      <c r="D530" s="139" t="n"/>
      <c r="E530" s="139" t="n"/>
      <c r="F530" s="139" t="n"/>
      <c r="G530" s="55" t="n"/>
      <c r="H530" s="139" t="n"/>
      <c r="I530" s="139" t="n"/>
      <c r="J530" s="139" t="n"/>
      <c r="K530" s="139" t="n"/>
      <c r="L530" s="139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</row>
    <row r="531" ht="45.75" customHeight="1" s="211">
      <c r="A531" s="139" t="n"/>
      <c r="B531" s="139" t="n"/>
      <c r="C531" s="139" t="n"/>
      <c r="D531" s="139" t="n"/>
      <c r="E531" s="139" t="n"/>
      <c r="F531" s="139" t="n"/>
      <c r="G531" s="55" t="n"/>
      <c r="H531" s="139" t="n"/>
      <c r="I531" s="139" t="n"/>
      <c r="J531" s="139" t="n"/>
      <c r="K531" s="139" t="n"/>
      <c r="L531" s="139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</row>
    <row r="532" ht="45.75" customHeight="1" s="211">
      <c r="A532" s="139" t="n"/>
      <c r="B532" s="139" t="n"/>
      <c r="C532" s="139" t="n"/>
      <c r="D532" s="139" t="n"/>
      <c r="E532" s="139" t="n"/>
      <c r="F532" s="139" t="n"/>
      <c r="G532" s="55" t="n"/>
      <c r="H532" s="139" t="n"/>
      <c r="I532" s="139" t="n"/>
      <c r="J532" s="139" t="n"/>
      <c r="K532" s="139" t="n"/>
      <c r="L532" s="139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</row>
    <row r="533" ht="45.75" customHeight="1" s="211">
      <c r="A533" s="139" t="n"/>
      <c r="B533" s="139" t="n"/>
      <c r="C533" s="139" t="n"/>
      <c r="D533" s="139" t="n"/>
      <c r="E533" s="139" t="n"/>
      <c r="F533" s="139" t="n"/>
      <c r="G533" s="55" t="n"/>
      <c r="H533" s="139" t="n"/>
      <c r="I533" s="139" t="n"/>
      <c r="J533" s="139" t="n"/>
      <c r="K533" s="139" t="n"/>
      <c r="L533" s="139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</row>
    <row r="534" ht="45.75" customHeight="1" s="211">
      <c r="A534" s="139" t="n"/>
      <c r="B534" s="139" t="n"/>
      <c r="C534" s="139" t="n"/>
      <c r="D534" s="139" t="n"/>
      <c r="E534" s="139" t="n"/>
      <c r="F534" s="139" t="n"/>
      <c r="G534" s="55" t="n"/>
      <c r="H534" s="139" t="n"/>
      <c r="I534" s="139" t="n"/>
      <c r="J534" s="139" t="n"/>
      <c r="K534" s="139" t="n"/>
      <c r="L534" s="139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</row>
    <row r="535" ht="45.75" customHeight="1" s="211">
      <c r="A535" s="139" t="n"/>
      <c r="B535" s="139" t="n"/>
      <c r="C535" s="139" t="n"/>
      <c r="D535" s="139" t="n"/>
      <c r="E535" s="139" t="n"/>
      <c r="F535" s="139" t="n"/>
      <c r="G535" s="55" t="n"/>
      <c r="H535" s="139" t="n"/>
      <c r="I535" s="139" t="n"/>
      <c r="J535" s="139" t="n"/>
      <c r="K535" s="139" t="n"/>
      <c r="L535" s="139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</row>
    <row r="536" ht="45.75" customHeight="1" s="211">
      <c r="A536" s="139" t="n"/>
      <c r="B536" s="139" t="n"/>
      <c r="C536" s="139" t="n"/>
      <c r="D536" s="139" t="n"/>
      <c r="E536" s="139" t="n"/>
      <c r="F536" s="139" t="n"/>
      <c r="G536" s="55" t="n"/>
      <c r="H536" s="139" t="n"/>
      <c r="I536" s="139" t="n"/>
      <c r="J536" s="139" t="n"/>
      <c r="K536" s="139" t="n"/>
      <c r="L536" s="139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</row>
    <row r="537" ht="45.75" customHeight="1" s="211">
      <c r="A537" s="139" t="n"/>
      <c r="B537" s="139" t="n"/>
      <c r="C537" s="139" t="n"/>
      <c r="D537" s="139" t="n"/>
      <c r="E537" s="139" t="n"/>
      <c r="F537" s="139" t="n"/>
      <c r="G537" s="55" t="n"/>
      <c r="H537" s="139" t="n"/>
      <c r="I537" s="139" t="n"/>
      <c r="J537" s="139" t="n"/>
      <c r="K537" s="139" t="n"/>
      <c r="L537" s="139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</row>
    <row r="538" ht="45.75" customHeight="1" s="211">
      <c r="A538" s="139" t="n"/>
      <c r="B538" s="139" t="n"/>
      <c r="C538" s="139" t="n"/>
      <c r="D538" s="139" t="n"/>
      <c r="E538" s="139" t="n"/>
      <c r="F538" s="139" t="n"/>
      <c r="G538" s="55" t="n"/>
      <c r="H538" s="139" t="n"/>
      <c r="I538" s="139" t="n"/>
      <c r="J538" s="139" t="n"/>
      <c r="K538" s="139" t="n"/>
      <c r="L538" s="139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</row>
    <row r="539" ht="45.75" customHeight="1" s="211">
      <c r="A539" s="139" t="n"/>
      <c r="B539" s="139" t="n"/>
      <c r="C539" s="139" t="n"/>
      <c r="D539" s="139" t="n"/>
      <c r="E539" s="139" t="n"/>
      <c r="F539" s="139" t="n"/>
      <c r="G539" s="55" t="n"/>
      <c r="H539" s="139" t="n"/>
      <c r="I539" s="139" t="n"/>
      <c r="J539" s="139" t="n"/>
      <c r="K539" s="139" t="n"/>
      <c r="L539" s="139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</row>
    <row r="540" ht="45.75" customHeight="1" s="211">
      <c r="A540" s="139" t="n"/>
      <c r="B540" s="139" t="n"/>
      <c r="C540" s="139" t="n"/>
      <c r="D540" s="139" t="n"/>
      <c r="E540" s="139" t="n"/>
      <c r="F540" s="139" t="n"/>
      <c r="G540" s="55" t="n"/>
      <c r="H540" s="139" t="n"/>
      <c r="I540" s="139" t="n"/>
      <c r="J540" s="139" t="n"/>
      <c r="K540" s="139" t="n"/>
      <c r="L540" s="139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</row>
    <row r="541" ht="45.75" customHeight="1" s="211">
      <c r="A541" s="139" t="n"/>
      <c r="B541" s="139" t="n"/>
      <c r="C541" s="139" t="n"/>
      <c r="D541" s="139" t="n"/>
      <c r="E541" s="139" t="n"/>
      <c r="F541" s="139" t="n"/>
      <c r="G541" s="55" t="n"/>
      <c r="H541" s="139" t="n"/>
      <c r="I541" s="139" t="n"/>
      <c r="J541" s="139" t="n"/>
      <c r="K541" s="139" t="n"/>
      <c r="L541" s="139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</row>
    <row r="542" ht="45.75" customHeight="1" s="211">
      <c r="A542" s="139" t="n"/>
      <c r="B542" s="139" t="n"/>
      <c r="C542" s="139" t="n"/>
      <c r="D542" s="139" t="n"/>
      <c r="E542" s="139" t="n"/>
      <c r="F542" s="139" t="n"/>
      <c r="G542" s="55" t="n"/>
      <c r="H542" s="139" t="n"/>
      <c r="I542" s="139" t="n"/>
      <c r="J542" s="139" t="n"/>
      <c r="K542" s="139" t="n"/>
      <c r="L542" s="139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</row>
    <row r="543" ht="45.75" customHeight="1" s="211">
      <c r="A543" s="139" t="n"/>
      <c r="B543" s="139" t="n"/>
      <c r="C543" s="139" t="n"/>
      <c r="D543" s="139" t="n"/>
      <c r="E543" s="139" t="n"/>
      <c r="F543" s="139" t="n"/>
      <c r="G543" s="55" t="n"/>
      <c r="H543" s="139" t="n"/>
      <c r="I543" s="139" t="n"/>
      <c r="J543" s="139" t="n"/>
      <c r="K543" s="139" t="n"/>
      <c r="L543" s="139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</row>
    <row r="544" ht="45.75" customHeight="1" s="211">
      <c r="A544" s="139" t="n"/>
      <c r="B544" s="139" t="n"/>
      <c r="C544" s="139" t="n"/>
      <c r="D544" s="139" t="n"/>
      <c r="E544" s="139" t="n"/>
      <c r="F544" s="139" t="n"/>
      <c r="G544" s="55" t="n"/>
      <c r="H544" s="139" t="n"/>
      <c r="I544" s="139" t="n"/>
      <c r="J544" s="139" t="n"/>
      <c r="K544" s="139" t="n"/>
      <c r="L544" s="139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</row>
    <row r="545" ht="45.75" customHeight="1" s="211">
      <c r="A545" s="139" t="n"/>
      <c r="B545" s="139" t="n"/>
      <c r="C545" s="139" t="n"/>
      <c r="D545" s="139" t="n"/>
      <c r="E545" s="139" t="n"/>
      <c r="F545" s="139" t="n"/>
      <c r="G545" s="55" t="n"/>
      <c r="H545" s="139" t="n"/>
      <c r="I545" s="139" t="n"/>
      <c r="J545" s="139" t="n"/>
      <c r="K545" s="139" t="n"/>
      <c r="L545" s="139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</row>
    <row r="546" ht="45.75" customHeight="1" s="211">
      <c r="A546" s="139" t="n"/>
      <c r="B546" s="139" t="n"/>
      <c r="C546" s="139" t="n"/>
      <c r="D546" s="139" t="n"/>
      <c r="E546" s="139" t="n"/>
      <c r="F546" s="139" t="n"/>
      <c r="G546" s="55" t="n"/>
      <c r="H546" s="139" t="n"/>
      <c r="I546" s="139" t="n"/>
      <c r="J546" s="139" t="n"/>
      <c r="K546" s="139" t="n"/>
      <c r="L546" s="139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</row>
    <row r="547" ht="45.75" customHeight="1" s="211">
      <c r="A547" s="139" t="n"/>
      <c r="B547" s="139" t="n"/>
      <c r="C547" s="139" t="n"/>
      <c r="D547" s="139" t="n"/>
      <c r="E547" s="139" t="n"/>
      <c r="F547" s="139" t="n"/>
      <c r="G547" s="55" t="n"/>
      <c r="H547" s="139" t="n"/>
      <c r="I547" s="139" t="n"/>
      <c r="J547" s="139" t="n"/>
      <c r="K547" s="139" t="n"/>
      <c r="L547" s="139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</row>
    <row r="548" ht="45.75" customHeight="1" s="211">
      <c r="A548" s="139" t="n"/>
      <c r="B548" s="139" t="n"/>
      <c r="C548" s="139" t="n"/>
      <c r="D548" s="139" t="n"/>
      <c r="E548" s="139" t="n"/>
      <c r="F548" s="139" t="n"/>
      <c r="G548" s="55" t="n"/>
      <c r="H548" s="139" t="n"/>
      <c r="I548" s="139" t="n"/>
      <c r="J548" s="139" t="n"/>
      <c r="K548" s="139" t="n"/>
      <c r="L548" s="139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</row>
    <row r="549" ht="45.75" customHeight="1" s="211">
      <c r="A549" s="139" t="n"/>
      <c r="B549" s="139" t="n"/>
      <c r="C549" s="139" t="n"/>
      <c r="D549" s="139" t="n"/>
      <c r="E549" s="139" t="n"/>
      <c r="F549" s="139" t="n"/>
      <c r="G549" s="55" t="n"/>
      <c r="H549" s="139" t="n"/>
      <c r="I549" s="139" t="n"/>
      <c r="J549" s="139" t="n"/>
      <c r="K549" s="139" t="n"/>
      <c r="L549" s="139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</row>
    <row r="550" ht="45.75" customHeight="1" s="211">
      <c r="A550" s="139" t="n"/>
      <c r="B550" s="139" t="n"/>
      <c r="C550" s="139" t="n"/>
      <c r="D550" s="139" t="n"/>
      <c r="E550" s="139" t="n"/>
      <c r="F550" s="139" t="n"/>
      <c r="G550" s="55" t="n"/>
      <c r="H550" s="139" t="n"/>
      <c r="I550" s="139" t="n"/>
      <c r="J550" s="139" t="n"/>
      <c r="K550" s="139" t="n"/>
      <c r="L550" s="139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</row>
    <row r="551" ht="45.75" customHeight="1" s="211">
      <c r="A551" s="139" t="n"/>
      <c r="B551" s="139" t="n"/>
      <c r="C551" s="139" t="n"/>
      <c r="D551" s="139" t="n"/>
      <c r="E551" s="139" t="n"/>
      <c r="F551" s="139" t="n"/>
      <c r="G551" s="55" t="n"/>
      <c r="H551" s="139" t="n"/>
      <c r="I551" s="139" t="n"/>
      <c r="J551" s="139" t="n"/>
      <c r="K551" s="139" t="n"/>
      <c r="L551" s="139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</row>
    <row r="552" ht="45.75" customHeight="1" s="211">
      <c r="A552" s="139" t="n"/>
      <c r="B552" s="139" t="n"/>
      <c r="C552" s="139" t="n"/>
      <c r="D552" s="139" t="n"/>
      <c r="E552" s="139" t="n"/>
      <c r="F552" s="139" t="n"/>
      <c r="G552" s="55" t="n"/>
      <c r="H552" s="139" t="n"/>
      <c r="I552" s="139" t="n"/>
      <c r="J552" s="139" t="n"/>
      <c r="K552" s="139" t="n"/>
      <c r="L552" s="139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</row>
    <row r="553" ht="45.75" customHeight="1" s="211">
      <c r="A553" s="139" t="n"/>
      <c r="B553" s="139" t="n"/>
      <c r="C553" s="139" t="n"/>
      <c r="D553" s="139" t="n"/>
      <c r="E553" s="139" t="n"/>
      <c r="F553" s="139" t="n"/>
      <c r="G553" s="55" t="n"/>
      <c r="H553" s="139" t="n"/>
      <c r="I553" s="139" t="n"/>
      <c r="J553" s="139" t="n"/>
      <c r="K553" s="139" t="n"/>
      <c r="L553" s="139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</row>
    <row r="554" ht="45.75" customHeight="1" s="211">
      <c r="A554" s="139" t="n"/>
      <c r="B554" s="139" t="n"/>
      <c r="C554" s="139" t="n"/>
      <c r="D554" s="139" t="n"/>
      <c r="E554" s="139" t="n"/>
      <c r="F554" s="139" t="n"/>
      <c r="G554" s="55" t="n"/>
      <c r="H554" s="139" t="n"/>
      <c r="I554" s="139" t="n"/>
      <c r="J554" s="139" t="n"/>
      <c r="K554" s="139" t="n"/>
      <c r="L554" s="139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</row>
    <row r="555" ht="45.75" customHeight="1" s="211">
      <c r="A555" s="139" t="n"/>
      <c r="B555" s="139" t="n"/>
      <c r="C555" s="139" t="n"/>
      <c r="D555" s="139" t="n"/>
      <c r="E555" s="139" t="n"/>
      <c r="F555" s="139" t="n"/>
      <c r="G555" s="55" t="n"/>
      <c r="H555" s="139" t="n"/>
      <c r="I555" s="139" t="n"/>
      <c r="J555" s="139" t="n"/>
      <c r="K555" s="139" t="n"/>
      <c r="L555" s="139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</row>
    <row r="556" ht="45.75" customHeight="1" s="211">
      <c r="A556" s="139" t="n"/>
      <c r="B556" s="139" t="n"/>
      <c r="C556" s="139" t="n"/>
      <c r="D556" s="139" t="n"/>
      <c r="E556" s="139" t="n"/>
      <c r="F556" s="139" t="n"/>
      <c r="G556" s="55" t="n"/>
      <c r="H556" s="139" t="n"/>
      <c r="I556" s="139" t="n"/>
      <c r="J556" s="139" t="n"/>
      <c r="K556" s="139" t="n"/>
      <c r="L556" s="139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</row>
    <row r="557" ht="45.75" customHeight="1" s="211">
      <c r="A557" s="139" t="n"/>
      <c r="B557" s="139" t="n"/>
      <c r="C557" s="139" t="n"/>
      <c r="D557" s="139" t="n"/>
      <c r="E557" s="139" t="n"/>
      <c r="F557" s="139" t="n"/>
      <c r="G557" s="55" t="n"/>
      <c r="H557" s="139" t="n"/>
      <c r="I557" s="139" t="n"/>
      <c r="J557" s="139" t="n"/>
      <c r="K557" s="139" t="n"/>
      <c r="L557" s="139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</row>
    <row r="558" ht="45.75" customHeight="1" s="211">
      <c r="A558" s="139" t="n"/>
      <c r="B558" s="139" t="n"/>
      <c r="C558" s="139" t="n"/>
      <c r="D558" s="139" t="n"/>
      <c r="E558" s="139" t="n"/>
      <c r="F558" s="139" t="n"/>
      <c r="G558" s="55" t="n"/>
      <c r="H558" s="139" t="n"/>
      <c r="I558" s="139" t="n"/>
      <c r="J558" s="139" t="n"/>
      <c r="K558" s="139" t="n"/>
      <c r="L558" s="139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</row>
    <row r="559" ht="45.75" customHeight="1" s="211">
      <c r="A559" s="139" t="n"/>
      <c r="B559" s="139" t="n"/>
      <c r="C559" s="139" t="n"/>
      <c r="D559" s="139" t="n"/>
      <c r="E559" s="139" t="n"/>
      <c r="F559" s="139" t="n"/>
      <c r="G559" s="55" t="n"/>
      <c r="H559" s="139" t="n"/>
      <c r="I559" s="139" t="n"/>
      <c r="J559" s="139" t="n"/>
      <c r="K559" s="139" t="n"/>
      <c r="L559" s="139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</row>
    <row r="560" ht="45.75" customHeight="1" s="211">
      <c r="A560" s="139" t="n"/>
      <c r="B560" s="139" t="n"/>
      <c r="C560" s="139" t="n"/>
      <c r="D560" s="139" t="n"/>
      <c r="E560" s="139" t="n"/>
      <c r="F560" s="139" t="n"/>
      <c r="G560" s="55" t="n"/>
      <c r="H560" s="139" t="n"/>
      <c r="I560" s="139" t="n"/>
      <c r="J560" s="139" t="n"/>
      <c r="K560" s="139" t="n"/>
      <c r="L560" s="139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</row>
    <row r="561" ht="45.75" customHeight="1" s="211">
      <c r="A561" s="139" t="n"/>
      <c r="B561" s="139" t="n"/>
      <c r="C561" s="139" t="n"/>
      <c r="D561" s="139" t="n"/>
      <c r="E561" s="139" t="n"/>
      <c r="F561" s="139" t="n"/>
      <c r="G561" s="55" t="n"/>
      <c r="H561" s="139" t="n"/>
      <c r="I561" s="139" t="n"/>
      <c r="J561" s="139" t="n"/>
      <c r="K561" s="139" t="n"/>
      <c r="L561" s="139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</row>
    <row r="562" ht="45.75" customHeight="1" s="211">
      <c r="A562" s="139" t="n"/>
      <c r="B562" s="139" t="n"/>
      <c r="C562" s="139" t="n"/>
      <c r="D562" s="139" t="n"/>
      <c r="E562" s="139" t="n"/>
      <c r="F562" s="139" t="n"/>
      <c r="G562" s="55" t="n"/>
      <c r="H562" s="139" t="n"/>
      <c r="I562" s="139" t="n"/>
      <c r="J562" s="139" t="n"/>
      <c r="K562" s="139" t="n"/>
      <c r="L562" s="139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</row>
    <row r="563" ht="45.75" customHeight="1" s="211">
      <c r="A563" s="139" t="n"/>
      <c r="B563" s="139" t="n"/>
      <c r="C563" s="139" t="n"/>
      <c r="D563" s="139" t="n"/>
      <c r="E563" s="139" t="n"/>
      <c r="F563" s="139" t="n"/>
      <c r="G563" s="55" t="n"/>
      <c r="H563" s="139" t="n"/>
      <c r="I563" s="139" t="n"/>
      <c r="J563" s="139" t="n"/>
      <c r="K563" s="139" t="n"/>
      <c r="L563" s="139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</row>
    <row r="564" ht="45.75" customHeight="1" s="211">
      <c r="A564" s="139" t="n"/>
      <c r="B564" s="139" t="n"/>
      <c r="C564" s="139" t="n"/>
      <c r="D564" s="139" t="n"/>
      <c r="E564" s="139" t="n"/>
      <c r="F564" s="139" t="n"/>
      <c r="G564" s="55" t="n"/>
      <c r="H564" s="139" t="n"/>
      <c r="I564" s="139" t="n"/>
      <c r="J564" s="139" t="n"/>
      <c r="K564" s="139" t="n"/>
      <c r="L564" s="139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</row>
    <row r="565" ht="45.75" customHeight="1" s="211">
      <c r="A565" s="139" t="n"/>
      <c r="B565" s="139" t="n"/>
      <c r="C565" s="139" t="n"/>
      <c r="D565" s="139" t="n"/>
      <c r="E565" s="139" t="n"/>
      <c r="F565" s="139" t="n"/>
      <c r="G565" s="55" t="n"/>
      <c r="H565" s="139" t="n"/>
      <c r="I565" s="139" t="n"/>
      <c r="J565" s="139" t="n"/>
      <c r="K565" s="139" t="n"/>
      <c r="L565" s="139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</row>
    <row r="566" ht="45.75" customHeight="1" s="211">
      <c r="A566" s="139" t="n"/>
      <c r="B566" s="139" t="n"/>
      <c r="C566" s="139" t="n"/>
      <c r="D566" s="139" t="n"/>
      <c r="E566" s="139" t="n"/>
      <c r="F566" s="139" t="n"/>
      <c r="G566" s="55" t="n"/>
      <c r="H566" s="139" t="n"/>
      <c r="I566" s="139" t="n"/>
      <c r="J566" s="139" t="n"/>
      <c r="K566" s="139" t="n"/>
      <c r="L566" s="139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</row>
    <row r="567" ht="45.75" customHeight="1" s="211">
      <c r="A567" s="139" t="n"/>
      <c r="B567" s="139" t="n"/>
      <c r="C567" s="139" t="n"/>
      <c r="D567" s="139" t="n"/>
      <c r="E567" s="139" t="n"/>
      <c r="F567" s="139" t="n"/>
      <c r="G567" s="55" t="n"/>
      <c r="H567" s="139" t="n"/>
      <c r="I567" s="139" t="n"/>
      <c r="J567" s="139" t="n"/>
      <c r="K567" s="139" t="n"/>
      <c r="L567" s="139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</row>
    <row r="568" ht="45.75" customHeight="1" s="211">
      <c r="A568" s="139" t="n"/>
      <c r="B568" s="139" t="n"/>
      <c r="C568" s="139" t="n"/>
      <c r="D568" s="139" t="n"/>
      <c r="E568" s="139" t="n"/>
      <c r="F568" s="139" t="n"/>
      <c r="G568" s="55" t="n"/>
      <c r="H568" s="139" t="n"/>
      <c r="I568" s="139" t="n"/>
      <c r="J568" s="139" t="n"/>
      <c r="K568" s="139" t="n"/>
      <c r="L568" s="139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</row>
    <row r="569" ht="45.75" customHeight="1" s="211">
      <c r="A569" s="139" t="n"/>
      <c r="B569" s="139" t="n"/>
      <c r="C569" s="139" t="n"/>
      <c r="D569" s="139" t="n"/>
      <c r="E569" s="139" t="n"/>
      <c r="F569" s="139" t="n"/>
      <c r="G569" s="55" t="n"/>
      <c r="H569" s="139" t="n"/>
      <c r="I569" s="139" t="n"/>
      <c r="J569" s="139" t="n"/>
      <c r="K569" s="139" t="n"/>
      <c r="L569" s="139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</row>
    <row r="570" ht="45.75" customHeight="1" s="211">
      <c r="A570" s="139" t="n"/>
      <c r="B570" s="139" t="n"/>
      <c r="C570" s="139" t="n"/>
      <c r="D570" s="139" t="n"/>
      <c r="E570" s="139" t="n"/>
      <c r="F570" s="139" t="n"/>
      <c r="G570" s="55" t="n"/>
      <c r="H570" s="139" t="n"/>
      <c r="I570" s="139" t="n"/>
      <c r="J570" s="139" t="n"/>
      <c r="K570" s="139" t="n"/>
      <c r="L570" s="139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</row>
    <row r="571" ht="45.75" customHeight="1" s="211">
      <c r="A571" s="139" t="n"/>
      <c r="B571" s="139" t="n"/>
      <c r="C571" s="139" t="n"/>
      <c r="D571" s="139" t="n"/>
      <c r="E571" s="139" t="n"/>
      <c r="F571" s="139" t="n"/>
      <c r="G571" s="55" t="n"/>
      <c r="H571" s="139" t="n"/>
      <c r="I571" s="139" t="n"/>
      <c r="J571" s="139" t="n"/>
      <c r="K571" s="139" t="n"/>
      <c r="L571" s="139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</row>
    <row r="572" ht="45.75" customHeight="1" s="211">
      <c r="A572" s="139" t="n"/>
      <c r="B572" s="139" t="n"/>
      <c r="C572" s="139" t="n"/>
      <c r="D572" s="139" t="n"/>
      <c r="E572" s="139" t="n"/>
      <c r="F572" s="139" t="n"/>
      <c r="G572" s="55" t="n"/>
      <c r="H572" s="139" t="n"/>
      <c r="I572" s="139" t="n"/>
      <c r="J572" s="139" t="n"/>
      <c r="K572" s="139" t="n"/>
      <c r="L572" s="139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</row>
    <row r="573" ht="45.75" customHeight="1" s="211">
      <c r="A573" s="139" t="n"/>
      <c r="B573" s="139" t="n"/>
      <c r="C573" s="139" t="n"/>
      <c r="D573" s="139" t="n"/>
      <c r="E573" s="139" t="n"/>
      <c r="F573" s="139" t="n"/>
      <c r="G573" s="55" t="n"/>
      <c r="H573" s="139" t="n"/>
      <c r="I573" s="139" t="n"/>
      <c r="J573" s="139" t="n"/>
      <c r="K573" s="139" t="n"/>
      <c r="L573" s="139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</row>
    <row r="574" ht="45.75" customHeight="1" s="211">
      <c r="A574" s="139" t="n"/>
      <c r="B574" s="139" t="n"/>
      <c r="C574" s="139" t="n"/>
      <c r="D574" s="139" t="n"/>
      <c r="E574" s="139" t="n"/>
      <c r="F574" s="139" t="n"/>
      <c r="G574" s="55" t="n"/>
      <c r="H574" s="139" t="n"/>
      <c r="I574" s="139" t="n"/>
      <c r="J574" s="139" t="n"/>
      <c r="K574" s="139" t="n"/>
      <c r="L574" s="139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</row>
    <row r="575" ht="45.75" customHeight="1" s="211">
      <c r="A575" s="139" t="n"/>
      <c r="B575" s="139" t="n"/>
      <c r="C575" s="139" t="n"/>
      <c r="D575" s="139" t="n"/>
      <c r="E575" s="139" t="n"/>
      <c r="F575" s="139" t="n"/>
      <c r="G575" s="55" t="n"/>
      <c r="H575" s="139" t="n"/>
      <c r="I575" s="139" t="n"/>
      <c r="J575" s="139" t="n"/>
      <c r="K575" s="139" t="n"/>
      <c r="L575" s="139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</row>
    <row r="576" ht="45.75" customHeight="1" s="211">
      <c r="A576" s="139" t="n"/>
      <c r="B576" s="139" t="n"/>
      <c r="C576" s="139" t="n"/>
      <c r="D576" s="139" t="n"/>
      <c r="E576" s="139" t="n"/>
      <c r="F576" s="139" t="n"/>
      <c r="G576" s="55" t="n"/>
      <c r="H576" s="139" t="n"/>
      <c r="I576" s="139" t="n"/>
      <c r="J576" s="139" t="n"/>
      <c r="K576" s="139" t="n"/>
      <c r="L576" s="139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</row>
    <row r="577" ht="45.75" customHeight="1" s="211">
      <c r="A577" s="139" t="n"/>
      <c r="B577" s="139" t="n"/>
      <c r="C577" s="139" t="n"/>
      <c r="D577" s="139" t="n"/>
      <c r="E577" s="139" t="n"/>
      <c r="F577" s="139" t="n"/>
      <c r="G577" s="55" t="n"/>
      <c r="H577" s="139" t="n"/>
      <c r="I577" s="139" t="n"/>
      <c r="J577" s="139" t="n"/>
      <c r="K577" s="139" t="n"/>
      <c r="L577" s="139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</row>
    <row r="578" ht="45.75" customHeight="1" s="211">
      <c r="A578" s="139" t="n"/>
      <c r="B578" s="139" t="n"/>
      <c r="C578" s="139" t="n"/>
      <c r="D578" s="139" t="n"/>
      <c r="E578" s="139" t="n"/>
      <c r="F578" s="139" t="n"/>
      <c r="G578" s="55" t="n"/>
      <c r="H578" s="139" t="n"/>
      <c r="I578" s="139" t="n"/>
      <c r="J578" s="139" t="n"/>
      <c r="K578" s="139" t="n"/>
      <c r="L578" s="139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</row>
    <row r="579" ht="45.75" customHeight="1" s="211">
      <c r="A579" s="139" t="n"/>
      <c r="B579" s="139" t="n"/>
      <c r="C579" s="139" t="n"/>
      <c r="D579" s="139" t="n"/>
      <c r="E579" s="139" t="n"/>
      <c r="F579" s="139" t="n"/>
      <c r="G579" s="55" t="n"/>
      <c r="H579" s="139" t="n"/>
      <c r="I579" s="139" t="n"/>
      <c r="J579" s="139" t="n"/>
      <c r="K579" s="139" t="n"/>
      <c r="L579" s="139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</row>
    <row r="580" ht="45.75" customHeight="1" s="211">
      <c r="A580" s="139" t="n"/>
      <c r="B580" s="139" t="n"/>
      <c r="C580" s="139" t="n"/>
      <c r="D580" s="139" t="n"/>
      <c r="E580" s="139" t="n"/>
      <c r="F580" s="139" t="n"/>
      <c r="G580" s="55" t="n"/>
      <c r="H580" s="139" t="n"/>
      <c r="I580" s="139" t="n"/>
      <c r="J580" s="139" t="n"/>
      <c r="K580" s="139" t="n"/>
      <c r="L580" s="139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</row>
    <row r="581" ht="45.75" customHeight="1" s="211">
      <c r="A581" s="139" t="n"/>
      <c r="B581" s="139" t="n"/>
      <c r="C581" s="139" t="n"/>
      <c r="D581" s="139" t="n"/>
      <c r="E581" s="139" t="n"/>
      <c r="F581" s="139" t="n"/>
      <c r="G581" s="55" t="n"/>
      <c r="H581" s="139" t="n"/>
      <c r="I581" s="139" t="n"/>
      <c r="J581" s="139" t="n"/>
      <c r="K581" s="139" t="n"/>
      <c r="L581" s="139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</row>
    <row r="582" ht="45.75" customHeight="1" s="211">
      <c r="A582" s="139" t="n"/>
      <c r="B582" s="139" t="n"/>
      <c r="C582" s="139" t="n"/>
      <c r="D582" s="139" t="n"/>
      <c r="E582" s="139" t="n"/>
      <c r="F582" s="139" t="n"/>
      <c r="G582" s="55" t="n"/>
      <c r="H582" s="139" t="n"/>
      <c r="I582" s="139" t="n"/>
      <c r="J582" s="139" t="n"/>
      <c r="K582" s="139" t="n"/>
      <c r="L582" s="139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</row>
    <row r="583" ht="45.75" customHeight="1" s="211">
      <c r="A583" s="139" t="n"/>
      <c r="B583" s="139" t="n"/>
      <c r="C583" s="139" t="n"/>
      <c r="D583" s="139" t="n"/>
      <c r="E583" s="139" t="n"/>
      <c r="F583" s="139" t="n"/>
      <c r="G583" s="55" t="n"/>
      <c r="H583" s="139" t="n"/>
      <c r="I583" s="139" t="n"/>
      <c r="J583" s="139" t="n"/>
      <c r="K583" s="139" t="n"/>
      <c r="L583" s="139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</row>
    <row r="584" ht="45.75" customHeight="1" s="211">
      <c r="A584" s="139" t="n"/>
      <c r="B584" s="139" t="n"/>
      <c r="C584" s="139" t="n"/>
      <c r="D584" s="139" t="n"/>
      <c r="E584" s="139" t="n"/>
      <c r="F584" s="139" t="n"/>
      <c r="G584" s="55" t="n"/>
      <c r="H584" s="139" t="n"/>
      <c r="I584" s="139" t="n"/>
      <c r="J584" s="139" t="n"/>
      <c r="K584" s="139" t="n"/>
      <c r="L584" s="139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</row>
    <row r="585" ht="45.75" customHeight="1" s="211">
      <c r="A585" s="139" t="n"/>
      <c r="B585" s="139" t="n"/>
      <c r="C585" s="139" t="n"/>
      <c r="D585" s="139" t="n"/>
      <c r="E585" s="139" t="n"/>
      <c r="F585" s="139" t="n"/>
      <c r="G585" s="55" t="n"/>
      <c r="H585" s="139" t="n"/>
      <c r="I585" s="139" t="n"/>
      <c r="J585" s="139" t="n"/>
      <c r="K585" s="139" t="n"/>
      <c r="L585" s="139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</row>
    <row r="586" ht="45.75" customHeight="1" s="211">
      <c r="A586" s="139" t="n"/>
      <c r="B586" s="139" t="n"/>
      <c r="C586" s="139" t="n"/>
      <c r="D586" s="139" t="n"/>
      <c r="E586" s="139" t="n"/>
      <c r="F586" s="139" t="n"/>
      <c r="G586" s="55" t="n"/>
      <c r="H586" s="139" t="n"/>
      <c r="I586" s="139" t="n"/>
      <c r="J586" s="139" t="n"/>
      <c r="K586" s="139" t="n"/>
      <c r="L586" s="139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</row>
    <row r="587" ht="45.75" customHeight="1" s="211">
      <c r="A587" s="139" t="n"/>
      <c r="B587" s="139" t="n"/>
      <c r="C587" s="139" t="n"/>
      <c r="D587" s="139" t="n"/>
      <c r="E587" s="139" t="n"/>
      <c r="F587" s="139" t="n"/>
      <c r="G587" s="55" t="n"/>
      <c r="H587" s="139" t="n"/>
      <c r="I587" s="139" t="n"/>
      <c r="J587" s="139" t="n"/>
      <c r="K587" s="139" t="n"/>
      <c r="L587" s="139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</row>
    <row r="588" ht="45.75" customHeight="1" s="211">
      <c r="A588" s="139" t="n"/>
      <c r="B588" s="139" t="n"/>
      <c r="C588" s="139" t="n"/>
      <c r="D588" s="139" t="n"/>
      <c r="E588" s="139" t="n"/>
      <c r="F588" s="139" t="n"/>
      <c r="G588" s="55" t="n"/>
      <c r="H588" s="139" t="n"/>
      <c r="I588" s="139" t="n"/>
      <c r="J588" s="139" t="n"/>
      <c r="K588" s="139" t="n"/>
      <c r="L588" s="139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</row>
    <row r="589" ht="45.75" customHeight="1" s="211">
      <c r="A589" s="139" t="n"/>
      <c r="B589" s="139" t="n"/>
      <c r="C589" s="139" t="n"/>
      <c r="D589" s="139" t="n"/>
      <c r="E589" s="139" t="n"/>
      <c r="F589" s="139" t="n"/>
      <c r="G589" s="55" t="n"/>
      <c r="H589" s="139" t="n"/>
      <c r="I589" s="139" t="n"/>
      <c r="J589" s="139" t="n"/>
      <c r="K589" s="139" t="n"/>
      <c r="L589" s="139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</row>
    <row r="590" ht="45.75" customHeight="1" s="211">
      <c r="A590" s="139" t="n"/>
      <c r="B590" s="139" t="n"/>
      <c r="C590" s="139" t="n"/>
      <c r="D590" s="139" t="n"/>
      <c r="E590" s="139" t="n"/>
      <c r="F590" s="139" t="n"/>
      <c r="G590" s="55" t="n"/>
      <c r="H590" s="139" t="n"/>
      <c r="I590" s="139" t="n"/>
      <c r="J590" s="139" t="n"/>
      <c r="K590" s="139" t="n"/>
      <c r="L590" s="139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</row>
    <row r="591" ht="45.75" customHeight="1" s="211">
      <c r="A591" s="139" t="n"/>
      <c r="B591" s="139" t="n"/>
      <c r="C591" s="139" t="n"/>
      <c r="D591" s="139" t="n"/>
      <c r="E591" s="139" t="n"/>
      <c r="F591" s="139" t="n"/>
      <c r="G591" s="55" t="n"/>
      <c r="H591" s="139" t="n"/>
      <c r="I591" s="139" t="n"/>
      <c r="J591" s="139" t="n"/>
      <c r="K591" s="139" t="n"/>
      <c r="L591" s="139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</row>
    <row r="592" ht="45.75" customHeight="1" s="211">
      <c r="A592" s="139" t="n"/>
      <c r="B592" s="139" t="n"/>
      <c r="C592" s="139" t="n"/>
      <c r="D592" s="139" t="n"/>
      <c r="E592" s="139" t="n"/>
      <c r="F592" s="139" t="n"/>
      <c r="G592" s="55" t="n"/>
      <c r="H592" s="139" t="n"/>
      <c r="I592" s="139" t="n"/>
      <c r="J592" s="139" t="n"/>
      <c r="K592" s="139" t="n"/>
      <c r="L592" s="139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</row>
    <row r="593" ht="45.75" customHeight="1" s="211">
      <c r="A593" s="139" t="n"/>
      <c r="B593" s="139" t="n"/>
      <c r="C593" s="139" t="n"/>
      <c r="D593" s="139" t="n"/>
      <c r="E593" s="139" t="n"/>
      <c r="F593" s="139" t="n"/>
      <c r="G593" s="55" t="n"/>
      <c r="H593" s="139" t="n"/>
      <c r="I593" s="139" t="n"/>
      <c r="J593" s="139" t="n"/>
      <c r="K593" s="139" t="n"/>
      <c r="L593" s="139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</row>
    <row r="594" ht="45.75" customHeight="1" s="211">
      <c r="A594" s="139" t="n"/>
      <c r="B594" s="139" t="n"/>
      <c r="C594" s="139" t="n"/>
      <c r="D594" s="139" t="n"/>
      <c r="E594" s="139" t="n"/>
      <c r="F594" s="139" t="n"/>
      <c r="G594" s="55" t="n"/>
      <c r="H594" s="139" t="n"/>
      <c r="I594" s="139" t="n"/>
      <c r="J594" s="139" t="n"/>
      <c r="K594" s="139" t="n"/>
      <c r="L594" s="139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</row>
    <row r="595" ht="45.75" customHeight="1" s="211">
      <c r="A595" s="139" t="n"/>
      <c r="B595" s="139" t="n"/>
      <c r="C595" s="139" t="n"/>
      <c r="D595" s="139" t="n"/>
      <c r="E595" s="139" t="n"/>
      <c r="F595" s="139" t="n"/>
      <c r="G595" s="55" t="n"/>
      <c r="H595" s="139" t="n"/>
      <c r="I595" s="139" t="n"/>
      <c r="J595" s="139" t="n"/>
      <c r="K595" s="139" t="n"/>
      <c r="L595" s="139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</row>
    <row r="596" ht="45.75" customHeight="1" s="211">
      <c r="A596" s="139" t="n"/>
      <c r="B596" s="139" t="n"/>
      <c r="C596" s="139" t="n"/>
      <c r="D596" s="139" t="n"/>
      <c r="E596" s="139" t="n"/>
      <c r="F596" s="139" t="n"/>
      <c r="G596" s="55" t="n"/>
      <c r="H596" s="139" t="n"/>
      <c r="I596" s="139" t="n"/>
      <c r="J596" s="139" t="n"/>
      <c r="K596" s="139" t="n"/>
      <c r="L596" s="139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</row>
    <row r="597" ht="45.75" customHeight="1" s="211">
      <c r="A597" s="139" t="n"/>
      <c r="B597" s="139" t="n"/>
      <c r="C597" s="139" t="n"/>
      <c r="D597" s="139" t="n"/>
      <c r="E597" s="139" t="n"/>
      <c r="F597" s="139" t="n"/>
      <c r="G597" s="55" t="n"/>
      <c r="H597" s="139" t="n"/>
      <c r="I597" s="139" t="n"/>
      <c r="J597" s="139" t="n"/>
      <c r="K597" s="139" t="n"/>
      <c r="L597" s="139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</row>
    <row r="598" ht="45.75" customHeight="1" s="211">
      <c r="A598" s="139" t="n"/>
      <c r="B598" s="139" t="n"/>
      <c r="C598" s="139" t="n"/>
      <c r="D598" s="139" t="n"/>
      <c r="E598" s="139" t="n"/>
      <c r="F598" s="139" t="n"/>
      <c r="G598" s="55" t="n"/>
      <c r="H598" s="139" t="n"/>
      <c r="I598" s="139" t="n"/>
      <c r="J598" s="139" t="n"/>
      <c r="K598" s="139" t="n"/>
      <c r="L598" s="139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</row>
    <row r="599" ht="45.75" customHeight="1" s="211">
      <c r="A599" s="139" t="n"/>
      <c r="B599" s="139" t="n"/>
      <c r="C599" s="139" t="n"/>
      <c r="D599" s="139" t="n"/>
      <c r="E599" s="139" t="n"/>
      <c r="F599" s="139" t="n"/>
      <c r="G599" s="55" t="n"/>
      <c r="H599" s="139" t="n"/>
      <c r="I599" s="139" t="n"/>
      <c r="J599" s="139" t="n"/>
      <c r="K599" s="139" t="n"/>
      <c r="L599" s="139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</row>
    <row r="600" ht="45.75" customHeight="1" s="211">
      <c r="A600" s="139" t="n"/>
      <c r="B600" s="139" t="n"/>
      <c r="C600" s="139" t="n"/>
      <c r="D600" s="139" t="n"/>
      <c r="E600" s="139" t="n"/>
      <c r="F600" s="139" t="n"/>
      <c r="G600" s="55" t="n"/>
      <c r="H600" s="139" t="n"/>
      <c r="I600" s="139" t="n"/>
      <c r="J600" s="139" t="n"/>
      <c r="K600" s="139" t="n"/>
      <c r="L600" s="139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</row>
    <row r="601" ht="45.75" customHeight="1" s="211">
      <c r="A601" s="139" t="n"/>
      <c r="B601" s="139" t="n"/>
      <c r="C601" s="139" t="n"/>
      <c r="D601" s="139" t="n"/>
      <c r="E601" s="139" t="n"/>
      <c r="F601" s="139" t="n"/>
      <c r="G601" s="55" t="n"/>
      <c r="H601" s="139" t="n"/>
      <c r="I601" s="139" t="n"/>
      <c r="J601" s="139" t="n"/>
      <c r="K601" s="139" t="n"/>
      <c r="L601" s="139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</row>
    <row r="602" ht="45.75" customHeight="1" s="211">
      <c r="A602" s="139" t="n"/>
      <c r="B602" s="139" t="n"/>
      <c r="C602" s="139" t="n"/>
      <c r="D602" s="139" t="n"/>
      <c r="E602" s="139" t="n"/>
      <c r="F602" s="139" t="n"/>
      <c r="G602" s="55" t="n"/>
      <c r="H602" s="139" t="n"/>
      <c r="I602" s="139" t="n"/>
      <c r="J602" s="139" t="n"/>
      <c r="K602" s="139" t="n"/>
      <c r="L602" s="139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</row>
    <row r="603" ht="45.75" customHeight="1" s="211">
      <c r="A603" s="139" t="n"/>
      <c r="B603" s="139" t="n"/>
      <c r="C603" s="139" t="n"/>
      <c r="D603" s="139" t="n"/>
      <c r="E603" s="139" t="n"/>
      <c r="F603" s="139" t="n"/>
      <c r="G603" s="55" t="n"/>
      <c r="H603" s="139" t="n"/>
      <c r="I603" s="139" t="n"/>
      <c r="J603" s="139" t="n"/>
      <c r="K603" s="139" t="n"/>
      <c r="L603" s="139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</row>
    <row r="604" ht="45.75" customHeight="1" s="211">
      <c r="A604" s="139" t="n"/>
      <c r="B604" s="139" t="n"/>
      <c r="C604" s="139" t="n"/>
      <c r="D604" s="139" t="n"/>
      <c r="E604" s="139" t="n"/>
      <c r="F604" s="139" t="n"/>
      <c r="G604" s="55" t="n"/>
      <c r="H604" s="139" t="n"/>
      <c r="I604" s="139" t="n"/>
      <c r="J604" s="139" t="n"/>
      <c r="K604" s="139" t="n"/>
      <c r="L604" s="139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</row>
    <row r="605" ht="45.75" customHeight="1" s="211">
      <c r="A605" s="139" t="n"/>
      <c r="B605" s="139" t="n"/>
      <c r="C605" s="139" t="n"/>
      <c r="D605" s="139" t="n"/>
      <c r="E605" s="139" t="n"/>
      <c r="F605" s="139" t="n"/>
      <c r="G605" s="55" t="n"/>
      <c r="H605" s="139" t="n"/>
      <c r="I605" s="139" t="n"/>
      <c r="J605" s="139" t="n"/>
      <c r="K605" s="139" t="n"/>
      <c r="L605" s="139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</row>
    <row r="606" ht="45.75" customHeight="1" s="211">
      <c r="A606" s="139" t="n"/>
      <c r="B606" s="139" t="n"/>
      <c r="C606" s="139" t="n"/>
      <c r="D606" s="139" t="n"/>
      <c r="E606" s="139" t="n"/>
      <c r="F606" s="139" t="n"/>
      <c r="G606" s="55" t="n"/>
      <c r="H606" s="139" t="n"/>
      <c r="I606" s="139" t="n"/>
      <c r="J606" s="139" t="n"/>
      <c r="K606" s="139" t="n"/>
      <c r="L606" s="139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</row>
    <row r="607" ht="45.75" customHeight="1" s="211">
      <c r="A607" s="139" t="n"/>
      <c r="B607" s="139" t="n"/>
      <c r="C607" s="139" t="n"/>
      <c r="D607" s="139" t="n"/>
      <c r="E607" s="139" t="n"/>
      <c r="F607" s="139" t="n"/>
      <c r="G607" s="55" t="n"/>
      <c r="H607" s="139" t="n"/>
      <c r="I607" s="139" t="n"/>
      <c r="J607" s="139" t="n"/>
      <c r="K607" s="139" t="n"/>
      <c r="L607" s="139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</row>
    <row r="608" ht="45.75" customHeight="1" s="211">
      <c r="A608" s="139" t="n"/>
      <c r="B608" s="139" t="n"/>
      <c r="C608" s="139" t="n"/>
      <c r="D608" s="139" t="n"/>
      <c r="E608" s="139" t="n"/>
      <c r="F608" s="139" t="n"/>
      <c r="G608" s="55" t="n"/>
      <c r="H608" s="139" t="n"/>
      <c r="I608" s="139" t="n"/>
      <c r="J608" s="139" t="n"/>
      <c r="K608" s="139" t="n"/>
      <c r="L608" s="139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</row>
    <row r="609" ht="45.75" customHeight="1" s="211">
      <c r="A609" s="139" t="n"/>
      <c r="B609" s="139" t="n"/>
      <c r="C609" s="139" t="n"/>
      <c r="D609" s="139" t="n"/>
      <c r="E609" s="139" t="n"/>
      <c r="F609" s="139" t="n"/>
      <c r="G609" s="55" t="n"/>
      <c r="H609" s="139" t="n"/>
      <c r="I609" s="139" t="n"/>
      <c r="J609" s="139" t="n"/>
      <c r="K609" s="139" t="n"/>
      <c r="L609" s="139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</row>
    <row r="610" ht="45.75" customHeight="1" s="211">
      <c r="A610" s="139" t="n"/>
      <c r="B610" s="139" t="n"/>
      <c r="C610" s="139" t="n"/>
      <c r="D610" s="139" t="n"/>
      <c r="E610" s="139" t="n"/>
      <c r="F610" s="139" t="n"/>
      <c r="G610" s="55" t="n"/>
      <c r="H610" s="139" t="n"/>
      <c r="I610" s="139" t="n"/>
      <c r="J610" s="139" t="n"/>
      <c r="K610" s="139" t="n"/>
      <c r="L610" s="139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</row>
    <row r="611" ht="45.75" customHeight="1" s="211">
      <c r="A611" s="139" t="n"/>
      <c r="B611" s="139" t="n"/>
      <c r="C611" s="139" t="n"/>
      <c r="D611" s="139" t="n"/>
      <c r="E611" s="139" t="n"/>
      <c r="F611" s="139" t="n"/>
      <c r="G611" s="55" t="n"/>
      <c r="H611" s="139" t="n"/>
      <c r="I611" s="139" t="n"/>
      <c r="J611" s="139" t="n"/>
      <c r="K611" s="139" t="n"/>
      <c r="L611" s="139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</row>
    <row r="612" ht="45.75" customHeight="1" s="211">
      <c r="A612" s="139" t="n"/>
      <c r="B612" s="139" t="n"/>
      <c r="C612" s="139" t="n"/>
      <c r="D612" s="139" t="n"/>
      <c r="E612" s="139" t="n"/>
      <c r="F612" s="139" t="n"/>
      <c r="G612" s="55" t="n"/>
      <c r="H612" s="139" t="n"/>
      <c r="I612" s="139" t="n"/>
      <c r="J612" s="139" t="n"/>
      <c r="K612" s="139" t="n"/>
      <c r="L612" s="139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</row>
    <row r="613" ht="45.75" customHeight="1" s="211">
      <c r="A613" s="139" t="n"/>
      <c r="B613" s="139" t="n"/>
      <c r="C613" s="139" t="n"/>
      <c r="D613" s="139" t="n"/>
      <c r="E613" s="139" t="n"/>
      <c r="F613" s="139" t="n"/>
      <c r="G613" s="55" t="n"/>
      <c r="H613" s="139" t="n"/>
      <c r="I613" s="139" t="n"/>
      <c r="J613" s="139" t="n"/>
      <c r="K613" s="139" t="n"/>
      <c r="L613" s="139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</row>
    <row r="614" ht="45.75" customHeight="1" s="211">
      <c r="A614" s="139" t="n"/>
      <c r="B614" s="139" t="n"/>
      <c r="C614" s="139" t="n"/>
      <c r="D614" s="139" t="n"/>
      <c r="E614" s="139" t="n"/>
      <c r="F614" s="139" t="n"/>
      <c r="G614" s="55" t="n"/>
      <c r="H614" s="139" t="n"/>
      <c r="I614" s="139" t="n"/>
      <c r="J614" s="139" t="n"/>
      <c r="K614" s="139" t="n"/>
      <c r="L614" s="139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</row>
    <row r="615" ht="45.75" customHeight="1" s="211">
      <c r="A615" s="139" t="n"/>
      <c r="B615" s="139" t="n"/>
      <c r="C615" s="139" t="n"/>
      <c r="D615" s="139" t="n"/>
      <c r="E615" s="139" t="n"/>
      <c r="F615" s="139" t="n"/>
      <c r="G615" s="55" t="n"/>
      <c r="H615" s="139" t="n"/>
      <c r="I615" s="139" t="n"/>
      <c r="J615" s="139" t="n"/>
      <c r="K615" s="139" t="n"/>
      <c r="L615" s="139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</row>
    <row r="616" ht="45.75" customHeight="1" s="211">
      <c r="A616" s="139" t="n"/>
      <c r="B616" s="139" t="n"/>
      <c r="C616" s="139" t="n"/>
      <c r="D616" s="139" t="n"/>
      <c r="E616" s="139" t="n"/>
      <c r="F616" s="139" t="n"/>
      <c r="G616" s="55" t="n"/>
      <c r="H616" s="139" t="n"/>
      <c r="I616" s="139" t="n"/>
      <c r="J616" s="139" t="n"/>
      <c r="K616" s="139" t="n"/>
      <c r="L616" s="139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</row>
    <row r="617" ht="45.75" customHeight="1" s="211">
      <c r="A617" s="139" t="n"/>
      <c r="B617" s="139" t="n"/>
      <c r="C617" s="139" t="n"/>
      <c r="D617" s="139" t="n"/>
      <c r="E617" s="139" t="n"/>
      <c r="F617" s="139" t="n"/>
      <c r="G617" s="55" t="n"/>
      <c r="H617" s="139" t="n"/>
      <c r="I617" s="139" t="n"/>
      <c r="J617" s="139" t="n"/>
      <c r="K617" s="139" t="n"/>
      <c r="L617" s="139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</row>
    <row r="618" ht="45.75" customHeight="1" s="211">
      <c r="A618" s="139" t="n"/>
      <c r="B618" s="139" t="n"/>
      <c r="C618" s="139" t="n"/>
      <c r="D618" s="139" t="n"/>
      <c r="E618" s="139" t="n"/>
      <c r="F618" s="139" t="n"/>
      <c r="G618" s="55" t="n"/>
      <c r="H618" s="139" t="n"/>
      <c r="I618" s="139" t="n"/>
      <c r="J618" s="139" t="n"/>
      <c r="K618" s="139" t="n"/>
      <c r="L618" s="139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</row>
    <row r="619" ht="45.75" customHeight="1" s="211">
      <c r="A619" s="139" t="n"/>
      <c r="B619" s="139" t="n"/>
      <c r="C619" s="139" t="n"/>
      <c r="D619" s="139" t="n"/>
      <c r="E619" s="139" t="n"/>
      <c r="F619" s="139" t="n"/>
      <c r="G619" s="55" t="n"/>
      <c r="H619" s="139" t="n"/>
      <c r="I619" s="139" t="n"/>
      <c r="J619" s="139" t="n"/>
      <c r="K619" s="139" t="n"/>
      <c r="L619" s="139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</row>
    <row r="620" ht="45.75" customHeight="1" s="211">
      <c r="A620" s="139" t="n"/>
      <c r="B620" s="139" t="n"/>
      <c r="C620" s="139" t="n"/>
      <c r="D620" s="139" t="n"/>
      <c r="E620" s="139" t="n"/>
      <c r="F620" s="139" t="n"/>
      <c r="G620" s="55" t="n"/>
      <c r="H620" s="139" t="n"/>
      <c r="I620" s="139" t="n"/>
      <c r="J620" s="139" t="n"/>
      <c r="K620" s="139" t="n"/>
      <c r="L620" s="139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</row>
    <row r="621" ht="45.75" customHeight="1" s="211">
      <c r="A621" s="139" t="n"/>
      <c r="B621" s="139" t="n"/>
      <c r="C621" s="139" t="n"/>
      <c r="D621" s="139" t="n"/>
      <c r="E621" s="139" t="n"/>
      <c r="F621" s="139" t="n"/>
      <c r="G621" s="55" t="n"/>
      <c r="H621" s="139" t="n"/>
      <c r="I621" s="139" t="n"/>
      <c r="J621" s="139" t="n"/>
      <c r="K621" s="139" t="n"/>
      <c r="L621" s="139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</row>
    <row r="622" ht="45.75" customHeight="1" s="211">
      <c r="A622" s="139" t="n"/>
      <c r="B622" s="139" t="n"/>
      <c r="C622" s="139" t="n"/>
      <c r="D622" s="139" t="n"/>
      <c r="E622" s="139" t="n"/>
      <c r="F622" s="139" t="n"/>
      <c r="G622" s="55" t="n"/>
      <c r="H622" s="139" t="n"/>
      <c r="I622" s="139" t="n"/>
      <c r="J622" s="139" t="n"/>
      <c r="K622" s="139" t="n"/>
      <c r="L622" s="139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</row>
    <row r="623" ht="45.75" customHeight="1" s="211">
      <c r="A623" s="139" t="n"/>
      <c r="B623" s="139" t="n"/>
      <c r="C623" s="139" t="n"/>
      <c r="D623" s="139" t="n"/>
      <c r="E623" s="139" t="n"/>
      <c r="F623" s="139" t="n"/>
      <c r="G623" s="55" t="n"/>
      <c r="H623" s="139" t="n"/>
      <c r="I623" s="139" t="n"/>
      <c r="J623" s="139" t="n"/>
      <c r="K623" s="139" t="n"/>
      <c r="L623" s="139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</row>
    <row r="624" ht="45.75" customHeight="1" s="211">
      <c r="A624" s="139" t="n"/>
      <c r="B624" s="139" t="n"/>
      <c r="C624" s="139" t="n"/>
      <c r="D624" s="139" t="n"/>
      <c r="E624" s="139" t="n"/>
      <c r="F624" s="139" t="n"/>
      <c r="G624" s="55" t="n"/>
      <c r="H624" s="139" t="n"/>
      <c r="I624" s="139" t="n"/>
      <c r="J624" s="139" t="n"/>
      <c r="K624" s="139" t="n"/>
      <c r="L624" s="139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</row>
    <row r="625" ht="45.75" customHeight="1" s="211">
      <c r="A625" s="139" t="n"/>
      <c r="B625" s="139" t="n"/>
      <c r="C625" s="139" t="n"/>
      <c r="D625" s="139" t="n"/>
      <c r="E625" s="139" t="n"/>
      <c r="F625" s="139" t="n"/>
      <c r="G625" s="55" t="n"/>
      <c r="H625" s="139" t="n"/>
      <c r="I625" s="139" t="n"/>
      <c r="J625" s="139" t="n"/>
      <c r="K625" s="139" t="n"/>
      <c r="L625" s="139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</row>
    <row r="626" ht="45.75" customHeight="1" s="211">
      <c r="A626" s="139" t="n"/>
      <c r="B626" s="139" t="n"/>
      <c r="C626" s="139" t="n"/>
      <c r="D626" s="139" t="n"/>
      <c r="E626" s="139" t="n"/>
      <c r="F626" s="139" t="n"/>
      <c r="G626" s="55" t="n"/>
      <c r="H626" s="139" t="n"/>
      <c r="I626" s="139" t="n"/>
      <c r="J626" s="139" t="n"/>
      <c r="K626" s="139" t="n"/>
      <c r="L626" s="139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</row>
    <row r="627" ht="45.75" customHeight="1" s="211">
      <c r="A627" s="139" t="n"/>
      <c r="B627" s="139" t="n"/>
      <c r="C627" s="139" t="n"/>
      <c r="D627" s="139" t="n"/>
      <c r="E627" s="139" t="n"/>
      <c r="F627" s="139" t="n"/>
      <c r="G627" s="55" t="n"/>
      <c r="H627" s="139" t="n"/>
      <c r="I627" s="139" t="n"/>
      <c r="J627" s="139" t="n"/>
      <c r="K627" s="139" t="n"/>
      <c r="L627" s="139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</row>
    <row r="628" ht="45.75" customHeight="1" s="211">
      <c r="A628" s="139" t="n"/>
      <c r="B628" s="139" t="n"/>
      <c r="C628" s="139" t="n"/>
      <c r="D628" s="139" t="n"/>
      <c r="E628" s="139" t="n"/>
      <c r="F628" s="139" t="n"/>
      <c r="G628" s="55" t="n"/>
      <c r="H628" s="139" t="n"/>
      <c r="I628" s="139" t="n"/>
      <c r="J628" s="139" t="n"/>
      <c r="K628" s="139" t="n"/>
      <c r="L628" s="139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</row>
    <row r="629" ht="45.75" customHeight="1" s="211">
      <c r="A629" s="139" t="n"/>
      <c r="B629" s="139" t="n"/>
      <c r="C629" s="139" t="n"/>
      <c r="D629" s="139" t="n"/>
      <c r="E629" s="139" t="n"/>
      <c r="F629" s="139" t="n"/>
      <c r="G629" s="55" t="n"/>
      <c r="H629" s="139" t="n"/>
      <c r="I629" s="139" t="n"/>
      <c r="J629" s="139" t="n"/>
      <c r="K629" s="139" t="n"/>
      <c r="L629" s="139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</row>
    <row r="630" ht="45.75" customHeight="1" s="211">
      <c r="A630" s="139" t="n"/>
      <c r="B630" s="139" t="n"/>
      <c r="C630" s="139" t="n"/>
      <c r="D630" s="139" t="n"/>
      <c r="E630" s="139" t="n"/>
      <c r="F630" s="139" t="n"/>
      <c r="G630" s="55" t="n"/>
      <c r="H630" s="139" t="n"/>
      <c r="I630" s="139" t="n"/>
      <c r="J630" s="139" t="n"/>
      <c r="K630" s="139" t="n"/>
      <c r="L630" s="139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</row>
    <row r="631" ht="45.75" customHeight="1" s="211">
      <c r="A631" s="139" t="n"/>
      <c r="B631" s="139" t="n"/>
      <c r="C631" s="139" t="n"/>
      <c r="D631" s="139" t="n"/>
      <c r="E631" s="139" t="n"/>
      <c r="F631" s="139" t="n"/>
      <c r="G631" s="55" t="n"/>
      <c r="H631" s="139" t="n"/>
      <c r="I631" s="139" t="n"/>
      <c r="J631" s="139" t="n"/>
      <c r="K631" s="139" t="n"/>
      <c r="L631" s="139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</row>
    <row r="632" ht="45.75" customHeight="1" s="211">
      <c r="A632" s="139" t="n"/>
      <c r="B632" s="139" t="n"/>
      <c r="C632" s="139" t="n"/>
      <c r="D632" s="139" t="n"/>
      <c r="E632" s="139" t="n"/>
      <c r="F632" s="139" t="n"/>
      <c r="G632" s="55" t="n"/>
      <c r="H632" s="139" t="n"/>
      <c r="I632" s="139" t="n"/>
      <c r="J632" s="139" t="n"/>
      <c r="K632" s="139" t="n"/>
      <c r="L632" s="139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</row>
    <row r="633" ht="45.75" customHeight="1" s="211">
      <c r="A633" s="139" t="n"/>
      <c r="B633" s="139" t="n"/>
      <c r="C633" s="139" t="n"/>
      <c r="D633" s="139" t="n"/>
      <c r="E633" s="139" t="n"/>
      <c r="F633" s="139" t="n"/>
      <c r="G633" s="55" t="n"/>
      <c r="H633" s="139" t="n"/>
      <c r="I633" s="139" t="n"/>
      <c r="J633" s="139" t="n"/>
      <c r="K633" s="139" t="n"/>
      <c r="L633" s="139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</row>
    <row r="634" ht="45.75" customHeight="1" s="211">
      <c r="A634" s="139" t="n"/>
      <c r="B634" s="139" t="n"/>
      <c r="C634" s="139" t="n"/>
      <c r="D634" s="139" t="n"/>
      <c r="E634" s="139" t="n"/>
      <c r="F634" s="139" t="n"/>
      <c r="G634" s="55" t="n"/>
      <c r="H634" s="139" t="n"/>
      <c r="I634" s="139" t="n"/>
      <c r="J634" s="139" t="n"/>
      <c r="K634" s="139" t="n"/>
      <c r="L634" s="139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</row>
    <row r="635" ht="45.75" customHeight="1" s="211">
      <c r="A635" s="139" t="n"/>
      <c r="B635" s="139" t="n"/>
      <c r="C635" s="139" t="n"/>
      <c r="D635" s="139" t="n"/>
      <c r="E635" s="139" t="n"/>
      <c r="F635" s="139" t="n"/>
      <c r="G635" s="55" t="n"/>
      <c r="H635" s="139" t="n"/>
      <c r="I635" s="139" t="n"/>
      <c r="J635" s="139" t="n"/>
      <c r="K635" s="139" t="n"/>
      <c r="L635" s="139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</row>
    <row r="636" ht="45.75" customHeight="1" s="211">
      <c r="A636" s="139" t="n"/>
      <c r="B636" s="139" t="n"/>
      <c r="C636" s="139" t="n"/>
      <c r="D636" s="139" t="n"/>
      <c r="E636" s="139" t="n"/>
      <c r="F636" s="139" t="n"/>
      <c r="G636" s="55" t="n"/>
      <c r="H636" s="139" t="n"/>
      <c r="I636" s="139" t="n"/>
      <c r="J636" s="139" t="n"/>
      <c r="K636" s="139" t="n"/>
      <c r="L636" s="139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</row>
    <row r="637" ht="45.75" customHeight="1" s="211">
      <c r="A637" s="139" t="n"/>
      <c r="B637" s="139" t="n"/>
      <c r="C637" s="139" t="n"/>
      <c r="D637" s="139" t="n"/>
      <c r="E637" s="139" t="n"/>
      <c r="F637" s="139" t="n"/>
      <c r="G637" s="55" t="n"/>
      <c r="H637" s="139" t="n"/>
      <c r="I637" s="139" t="n"/>
      <c r="J637" s="139" t="n"/>
      <c r="K637" s="139" t="n"/>
      <c r="L637" s="139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</row>
    <row r="638" ht="45.75" customHeight="1" s="211">
      <c r="A638" s="139" t="n"/>
      <c r="B638" s="139" t="n"/>
      <c r="C638" s="139" t="n"/>
      <c r="D638" s="139" t="n"/>
      <c r="E638" s="139" t="n"/>
      <c r="F638" s="139" t="n"/>
      <c r="G638" s="55" t="n"/>
      <c r="H638" s="139" t="n"/>
      <c r="I638" s="139" t="n"/>
      <c r="J638" s="139" t="n"/>
      <c r="K638" s="139" t="n"/>
      <c r="L638" s="139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</row>
    <row r="639" ht="45.75" customHeight="1" s="211">
      <c r="A639" s="139" t="n"/>
      <c r="B639" s="139" t="n"/>
      <c r="C639" s="139" t="n"/>
      <c r="D639" s="139" t="n"/>
      <c r="E639" s="139" t="n"/>
      <c r="F639" s="139" t="n"/>
      <c r="G639" s="55" t="n"/>
      <c r="H639" s="139" t="n"/>
      <c r="I639" s="139" t="n"/>
      <c r="J639" s="139" t="n"/>
      <c r="K639" s="139" t="n"/>
      <c r="L639" s="139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</row>
    <row r="640" ht="45.75" customHeight="1" s="211">
      <c r="A640" s="139" t="n"/>
      <c r="B640" s="139" t="n"/>
      <c r="C640" s="139" t="n"/>
      <c r="D640" s="139" t="n"/>
      <c r="E640" s="139" t="n"/>
      <c r="F640" s="139" t="n"/>
      <c r="G640" s="55" t="n"/>
      <c r="H640" s="139" t="n"/>
      <c r="I640" s="139" t="n"/>
      <c r="J640" s="139" t="n"/>
      <c r="K640" s="139" t="n"/>
      <c r="L640" s="139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</row>
    <row r="641" ht="45.75" customHeight="1" s="211">
      <c r="A641" s="139" t="n"/>
      <c r="B641" s="139" t="n"/>
      <c r="C641" s="139" t="n"/>
      <c r="D641" s="139" t="n"/>
      <c r="E641" s="139" t="n"/>
      <c r="F641" s="139" t="n"/>
      <c r="G641" s="55" t="n"/>
      <c r="H641" s="139" t="n"/>
      <c r="I641" s="139" t="n"/>
      <c r="J641" s="139" t="n"/>
      <c r="K641" s="139" t="n"/>
      <c r="L641" s="139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</row>
    <row r="642" ht="45.75" customHeight="1" s="211">
      <c r="A642" s="139" t="n"/>
      <c r="B642" s="139" t="n"/>
      <c r="C642" s="139" t="n"/>
      <c r="D642" s="139" t="n"/>
      <c r="E642" s="139" t="n"/>
      <c r="F642" s="139" t="n"/>
      <c r="G642" s="55" t="n"/>
      <c r="H642" s="139" t="n"/>
      <c r="I642" s="139" t="n"/>
      <c r="J642" s="139" t="n"/>
      <c r="K642" s="139" t="n"/>
      <c r="L642" s="139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</row>
    <row r="643" ht="45.75" customHeight="1" s="211">
      <c r="A643" s="139" t="n"/>
      <c r="B643" s="139" t="n"/>
      <c r="C643" s="139" t="n"/>
      <c r="D643" s="139" t="n"/>
      <c r="E643" s="139" t="n"/>
      <c r="F643" s="139" t="n"/>
      <c r="G643" s="55" t="n"/>
      <c r="H643" s="139" t="n"/>
      <c r="I643" s="139" t="n"/>
      <c r="J643" s="139" t="n"/>
      <c r="K643" s="139" t="n"/>
      <c r="L643" s="139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</row>
    <row r="644" ht="45.75" customHeight="1" s="211">
      <c r="A644" s="139" t="n"/>
      <c r="B644" s="139" t="n"/>
      <c r="C644" s="139" t="n"/>
      <c r="D644" s="139" t="n"/>
      <c r="E644" s="139" t="n"/>
      <c r="F644" s="139" t="n"/>
      <c r="G644" s="55" t="n"/>
      <c r="H644" s="139" t="n"/>
      <c r="I644" s="139" t="n"/>
      <c r="J644" s="139" t="n"/>
      <c r="K644" s="139" t="n"/>
      <c r="L644" s="139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</row>
    <row r="645" ht="45.75" customHeight="1" s="211">
      <c r="A645" s="139" t="n"/>
      <c r="B645" s="139" t="n"/>
      <c r="C645" s="139" t="n"/>
      <c r="D645" s="139" t="n"/>
      <c r="E645" s="139" t="n"/>
      <c r="F645" s="139" t="n"/>
      <c r="G645" s="55" t="n"/>
      <c r="H645" s="139" t="n"/>
      <c r="I645" s="139" t="n"/>
      <c r="J645" s="139" t="n"/>
      <c r="K645" s="139" t="n"/>
      <c r="L645" s="139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</row>
    <row r="646" ht="45.75" customHeight="1" s="211">
      <c r="A646" s="139" t="n"/>
      <c r="B646" s="139" t="n"/>
      <c r="C646" s="139" t="n"/>
      <c r="D646" s="139" t="n"/>
      <c r="E646" s="139" t="n"/>
      <c r="F646" s="139" t="n"/>
      <c r="G646" s="55" t="n"/>
      <c r="H646" s="139" t="n"/>
      <c r="I646" s="139" t="n"/>
      <c r="J646" s="139" t="n"/>
      <c r="K646" s="139" t="n"/>
      <c r="L646" s="139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</row>
    <row r="647" ht="45.75" customHeight="1" s="211">
      <c r="A647" s="139" t="n"/>
      <c r="B647" s="139" t="n"/>
      <c r="C647" s="139" t="n"/>
      <c r="D647" s="139" t="n"/>
      <c r="E647" s="139" t="n"/>
      <c r="F647" s="139" t="n"/>
      <c r="G647" s="55" t="n"/>
      <c r="H647" s="139" t="n"/>
      <c r="I647" s="139" t="n"/>
      <c r="J647" s="139" t="n"/>
      <c r="K647" s="139" t="n"/>
      <c r="L647" s="139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</row>
    <row r="648" ht="45.75" customHeight="1" s="211">
      <c r="A648" s="139" t="n"/>
      <c r="B648" s="139" t="n"/>
      <c r="C648" s="139" t="n"/>
      <c r="D648" s="139" t="n"/>
      <c r="E648" s="139" t="n"/>
      <c r="F648" s="139" t="n"/>
      <c r="G648" s="55" t="n"/>
      <c r="H648" s="139" t="n"/>
      <c r="I648" s="139" t="n"/>
      <c r="J648" s="139" t="n"/>
      <c r="K648" s="139" t="n"/>
      <c r="L648" s="139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</row>
    <row r="649" ht="45.75" customHeight="1" s="211">
      <c r="A649" s="139" t="n"/>
      <c r="B649" s="139" t="n"/>
      <c r="C649" s="139" t="n"/>
      <c r="D649" s="139" t="n"/>
      <c r="E649" s="139" t="n"/>
      <c r="F649" s="139" t="n"/>
      <c r="G649" s="55" t="n"/>
      <c r="H649" s="139" t="n"/>
      <c r="I649" s="139" t="n"/>
      <c r="J649" s="139" t="n"/>
      <c r="K649" s="139" t="n"/>
      <c r="L649" s="139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</row>
    <row r="650" ht="45.75" customHeight="1" s="211">
      <c r="A650" s="139" t="n"/>
      <c r="B650" s="139" t="n"/>
      <c r="C650" s="139" t="n"/>
      <c r="D650" s="139" t="n"/>
      <c r="E650" s="139" t="n"/>
      <c r="F650" s="139" t="n"/>
      <c r="G650" s="55" t="n"/>
      <c r="H650" s="139" t="n"/>
      <c r="I650" s="139" t="n"/>
      <c r="J650" s="139" t="n"/>
      <c r="K650" s="139" t="n"/>
      <c r="L650" s="139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</row>
    <row r="651" ht="45.75" customHeight="1" s="211">
      <c r="A651" s="139" t="n"/>
      <c r="B651" s="139" t="n"/>
      <c r="C651" s="139" t="n"/>
      <c r="D651" s="139" t="n"/>
      <c r="E651" s="139" t="n"/>
      <c r="F651" s="139" t="n"/>
      <c r="G651" s="55" t="n"/>
      <c r="H651" s="139" t="n"/>
      <c r="I651" s="139" t="n"/>
      <c r="J651" s="139" t="n"/>
      <c r="K651" s="139" t="n"/>
      <c r="L651" s="139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</row>
    <row r="652" ht="45.75" customHeight="1" s="211">
      <c r="A652" s="139" t="n"/>
      <c r="B652" s="139" t="n"/>
      <c r="C652" s="139" t="n"/>
      <c r="D652" s="139" t="n"/>
      <c r="E652" s="139" t="n"/>
      <c r="F652" s="139" t="n"/>
      <c r="G652" s="55" t="n"/>
      <c r="H652" s="139" t="n"/>
      <c r="I652" s="139" t="n"/>
      <c r="J652" s="139" t="n"/>
      <c r="K652" s="139" t="n"/>
      <c r="L652" s="139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</row>
    <row r="653" ht="45.75" customHeight="1" s="211">
      <c r="A653" s="139" t="n"/>
      <c r="B653" s="139" t="n"/>
      <c r="C653" s="139" t="n"/>
      <c r="D653" s="139" t="n"/>
      <c r="E653" s="139" t="n"/>
      <c r="F653" s="139" t="n"/>
      <c r="G653" s="55" t="n"/>
      <c r="H653" s="139" t="n"/>
      <c r="I653" s="139" t="n"/>
      <c r="J653" s="139" t="n"/>
      <c r="K653" s="139" t="n"/>
      <c r="L653" s="139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</row>
    <row r="654" ht="45.75" customHeight="1" s="211">
      <c r="A654" s="139" t="n"/>
      <c r="B654" s="139" t="n"/>
      <c r="C654" s="139" t="n"/>
      <c r="D654" s="139" t="n"/>
      <c r="E654" s="139" t="n"/>
      <c r="F654" s="139" t="n"/>
      <c r="G654" s="55" t="n"/>
      <c r="H654" s="139" t="n"/>
      <c r="I654" s="139" t="n"/>
      <c r="J654" s="139" t="n"/>
      <c r="K654" s="139" t="n"/>
      <c r="L654" s="139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</row>
    <row r="655" ht="45.75" customHeight="1" s="211">
      <c r="A655" s="139" t="n"/>
      <c r="B655" s="139" t="n"/>
      <c r="C655" s="139" t="n"/>
      <c r="D655" s="139" t="n"/>
      <c r="E655" s="139" t="n"/>
      <c r="F655" s="139" t="n"/>
      <c r="G655" s="55" t="n"/>
      <c r="H655" s="139" t="n"/>
      <c r="I655" s="139" t="n"/>
      <c r="J655" s="139" t="n"/>
      <c r="K655" s="139" t="n"/>
      <c r="L655" s="139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</row>
    <row r="656" ht="45.75" customHeight="1" s="211">
      <c r="A656" s="139" t="n"/>
      <c r="B656" s="139" t="n"/>
      <c r="C656" s="139" t="n"/>
      <c r="D656" s="139" t="n"/>
      <c r="E656" s="139" t="n"/>
      <c r="F656" s="139" t="n"/>
      <c r="G656" s="55" t="n"/>
      <c r="H656" s="139" t="n"/>
      <c r="I656" s="139" t="n"/>
      <c r="J656" s="139" t="n"/>
      <c r="K656" s="139" t="n"/>
      <c r="L656" s="139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</row>
    <row r="657" ht="45.75" customHeight="1" s="211">
      <c r="A657" s="139" t="n"/>
      <c r="B657" s="139" t="n"/>
      <c r="C657" s="139" t="n"/>
      <c r="D657" s="139" t="n"/>
      <c r="E657" s="139" t="n"/>
      <c r="F657" s="139" t="n"/>
      <c r="G657" s="55" t="n"/>
      <c r="H657" s="139" t="n"/>
      <c r="I657" s="139" t="n"/>
      <c r="J657" s="139" t="n"/>
      <c r="K657" s="139" t="n"/>
      <c r="L657" s="139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</row>
    <row r="658" ht="45.75" customHeight="1" s="211">
      <c r="A658" s="139" t="n"/>
      <c r="B658" s="139" t="n"/>
      <c r="C658" s="139" t="n"/>
      <c r="D658" s="139" t="n"/>
      <c r="E658" s="139" t="n"/>
      <c r="F658" s="139" t="n"/>
      <c r="G658" s="55" t="n"/>
      <c r="H658" s="139" t="n"/>
      <c r="I658" s="139" t="n"/>
      <c r="J658" s="139" t="n"/>
      <c r="K658" s="139" t="n"/>
      <c r="L658" s="139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</row>
    <row r="659" ht="45.75" customHeight="1" s="211">
      <c r="A659" s="139" t="n"/>
      <c r="B659" s="139" t="n"/>
      <c r="C659" s="139" t="n"/>
      <c r="D659" s="139" t="n"/>
      <c r="E659" s="139" t="n"/>
      <c r="F659" s="139" t="n"/>
      <c r="G659" s="55" t="n"/>
      <c r="H659" s="139" t="n"/>
      <c r="I659" s="139" t="n"/>
      <c r="J659" s="139" t="n"/>
      <c r="K659" s="139" t="n"/>
      <c r="L659" s="139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</row>
    <row r="660" ht="45.75" customHeight="1" s="211">
      <c r="A660" s="139" t="n"/>
      <c r="B660" s="139" t="n"/>
      <c r="C660" s="139" t="n"/>
      <c r="D660" s="139" t="n"/>
      <c r="E660" s="139" t="n"/>
      <c r="F660" s="139" t="n"/>
      <c r="G660" s="55" t="n"/>
      <c r="H660" s="139" t="n"/>
      <c r="I660" s="139" t="n"/>
      <c r="J660" s="139" t="n"/>
      <c r="K660" s="139" t="n"/>
      <c r="L660" s="139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</row>
    <row r="661" ht="45.75" customHeight="1" s="211">
      <c r="A661" s="139" t="n"/>
      <c r="B661" s="139" t="n"/>
      <c r="C661" s="139" t="n"/>
      <c r="D661" s="139" t="n"/>
      <c r="E661" s="139" t="n"/>
      <c r="F661" s="139" t="n"/>
      <c r="G661" s="55" t="n"/>
      <c r="H661" s="139" t="n"/>
      <c r="I661" s="139" t="n"/>
      <c r="J661" s="139" t="n"/>
      <c r="K661" s="139" t="n"/>
      <c r="L661" s="139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</row>
    <row r="662" ht="45.75" customHeight="1" s="211">
      <c r="A662" s="139" t="n"/>
      <c r="B662" s="139" t="n"/>
      <c r="C662" s="139" t="n"/>
      <c r="D662" s="139" t="n"/>
      <c r="E662" s="139" t="n"/>
      <c r="F662" s="139" t="n"/>
      <c r="G662" s="55" t="n"/>
      <c r="H662" s="139" t="n"/>
      <c r="I662" s="139" t="n"/>
      <c r="J662" s="139" t="n"/>
      <c r="K662" s="139" t="n"/>
      <c r="L662" s="139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</row>
    <row r="663" ht="45.75" customHeight="1" s="211">
      <c r="A663" s="139" t="n"/>
      <c r="B663" s="139" t="n"/>
      <c r="C663" s="139" t="n"/>
      <c r="D663" s="139" t="n"/>
      <c r="E663" s="139" t="n"/>
      <c r="F663" s="139" t="n"/>
      <c r="G663" s="55" t="n"/>
      <c r="H663" s="139" t="n"/>
      <c r="I663" s="139" t="n"/>
      <c r="J663" s="139" t="n"/>
      <c r="K663" s="139" t="n"/>
      <c r="L663" s="139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</row>
    <row r="664" ht="45.75" customHeight="1" s="211">
      <c r="A664" s="139" t="n"/>
      <c r="B664" s="139" t="n"/>
      <c r="C664" s="139" t="n"/>
      <c r="D664" s="139" t="n"/>
      <c r="E664" s="139" t="n"/>
      <c r="F664" s="139" t="n"/>
      <c r="G664" s="55" t="n"/>
      <c r="H664" s="139" t="n"/>
      <c r="I664" s="139" t="n"/>
      <c r="J664" s="139" t="n"/>
      <c r="K664" s="139" t="n"/>
      <c r="L664" s="139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</row>
    <row r="665" ht="45.75" customHeight="1" s="211">
      <c r="A665" s="139" t="n"/>
      <c r="B665" s="139" t="n"/>
      <c r="C665" s="139" t="n"/>
      <c r="D665" s="139" t="n"/>
      <c r="E665" s="139" t="n"/>
      <c r="F665" s="139" t="n"/>
      <c r="G665" s="55" t="n"/>
      <c r="H665" s="139" t="n"/>
      <c r="I665" s="139" t="n"/>
      <c r="J665" s="139" t="n"/>
      <c r="K665" s="139" t="n"/>
      <c r="L665" s="139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</row>
    <row r="666" ht="45.75" customHeight="1" s="211">
      <c r="A666" s="139" t="n"/>
      <c r="B666" s="139" t="n"/>
      <c r="C666" s="139" t="n"/>
      <c r="D666" s="139" t="n"/>
      <c r="E666" s="139" t="n"/>
      <c r="F666" s="139" t="n"/>
      <c r="G666" s="55" t="n"/>
      <c r="H666" s="139" t="n"/>
      <c r="I666" s="139" t="n"/>
      <c r="J666" s="139" t="n"/>
      <c r="K666" s="139" t="n"/>
      <c r="L666" s="139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</row>
    <row r="667" ht="45.75" customHeight="1" s="211">
      <c r="A667" s="139" t="n"/>
      <c r="B667" s="139" t="n"/>
      <c r="C667" s="139" t="n"/>
      <c r="D667" s="139" t="n"/>
      <c r="E667" s="139" t="n"/>
      <c r="F667" s="139" t="n"/>
      <c r="G667" s="55" t="n"/>
      <c r="H667" s="139" t="n"/>
      <c r="I667" s="139" t="n"/>
      <c r="J667" s="139" t="n"/>
      <c r="K667" s="139" t="n"/>
      <c r="L667" s="139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</row>
    <row r="668" ht="45.75" customHeight="1" s="211">
      <c r="A668" s="139" t="n"/>
      <c r="B668" s="139" t="n"/>
      <c r="C668" s="139" t="n"/>
      <c r="D668" s="139" t="n"/>
      <c r="E668" s="139" t="n"/>
      <c r="F668" s="139" t="n"/>
      <c r="G668" s="55" t="n"/>
      <c r="H668" s="139" t="n"/>
      <c r="I668" s="139" t="n"/>
      <c r="J668" s="139" t="n"/>
      <c r="K668" s="139" t="n"/>
      <c r="L668" s="139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</row>
    <row r="669" ht="45.75" customHeight="1" s="211">
      <c r="A669" s="139" t="n"/>
      <c r="B669" s="139" t="n"/>
      <c r="C669" s="139" t="n"/>
      <c r="D669" s="139" t="n"/>
      <c r="E669" s="139" t="n"/>
      <c r="F669" s="139" t="n"/>
      <c r="G669" s="55" t="n"/>
      <c r="H669" s="139" t="n"/>
      <c r="I669" s="139" t="n"/>
      <c r="J669" s="139" t="n"/>
      <c r="K669" s="139" t="n"/>
      <c r="L669" s="139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</row>
    <row r="670" ht="45.75" customHeight="1" s="211">
      <c r="A670" s="139" t="n"/>
      <c r="B670" s="139" t="n"/>
      <c r="C670" s="139" t="n"/>
      <c r="D670" s="139" t="n"/>
      <c r="E670" s="139" t="n"/>
      <c r="F670" s="139" t="n"/>
      <c r="G670" s="55" t="n"/>
      <c r="H670" s="139" t="n"/>
      <c r="I670" s="139" t="n"/>
      <c r="J670" s="139" t="n"/>
      <c r="K670" s="139" t="n"/>
      <c r="L670" s="139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</row>
    <row r="671" ht="45.75" customHeight="1" s="211">
      <c r="A671" s="139" t="n"/>
      <c r="B671" s="139" t="n"/>
      <c r="C671" s="139" t="n"/>
      <c r="D671" s="139" t="n"/>
      <c r="E671" s="139" t="n"/>
      <c r="F671" s="139" t="n"/>
      <c r="G671" s="55" t="n"/>
      <c r="H671" s="139" t="n"/>
      <c r="I671" s="139" t="n"/>
      <c r="J671" s="139" t="n"/>
      <c r="K671" s="139" t="n"/>
      <c r="L671" s="139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</row>
    <row r="672" ht="45.75" customHeight="1" s="211">
      <c r="A672" s="139" t="n"/>
      <c r="B672" s="139" t="n"/>
      <c r="C672" s="139" t="n"/>
      <c r="D672" s="139" t="n"/>
      <c r="E672" s="139" t="n"/>
      <c r="F672" s="139" t="n"/>
      <c r="G672" s="55" t="n"/>
      <c r="H672" s="139" t="n"/>
      <c r="I672" s="139" t="n"/>
      <c r="J672" s="139" t="n"/>
      <c r="K672" s="139" t="n"/>
      <c r="L672" s="139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</row>
    <row r="673" ht="45.75" customHeight="1" s="211">
      <c r="A673" s="139" t="n"/>
      <c r="B673" s="139" t="n"/>
      <c r="C673" s="139" t="n"/>
      <c r="D673" s="139" t="n"/>
      <c r="E673" s="139" t="n"/>
      <c r="F673" s="139" t="n"/>
      <c r="G673" s="55" t="n"/>
      <c r="H673" s="139" t="n"/>
      <c r="I673" s="139" t="n"/>
      <c r="J673" s="139" t="n"/>
      <c r="K673" s="139" t="n"/>
      <c r="L673" s="139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</row>
    <row r="674" ht="45.75" customHeight="1" s="211">
      <c r="A674" s="139" t="n"/>
      <c r="B674" s="139" t="n"/>
      <c r="C674" s="139" t="n"/>
      <c r="D674" s="139" t="n"/>
      <c r="E674" s="139" t="n"/>
      <c r="F674" s="139" t="n"/>
      <c r="G674" s="55" t="n"/>
      <c r="H674" s="139" t="n"/>
      <c r="I674" s="139" t="n"/>
      <c r="J674" s="139" t="n"/>
      <c r="K674" s="139" t="n"/>
      <c r="L674" s="139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</row>
    <row r="675" ht="45.75" customHeight="1" s="211">
      <c r="A675" s="139" t="n"/>
      <c r="B675" s="139" t="n"/>
      <c r="C675" s="139" t="n"/>
      <c r="D675" s="139" t="n"/>
      <c r="E675" s="139" t="n"/>
      <c r="F675" s="139" t="n"/>
      <c r="G675" s="55" t="n"/>
      <c r="H675" s="139" t="n"/>
      <c r="I675" s="139" t="n"/>
      <c r="J675" s="139" t="n"/>
      <c r="K675" s="139" t="n"/>
      <c r="L675" s="139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</row>
    <row r="676" ht="45.75" customHeight="1" s="211">
      <c r="A676" s="139" t="n"/>
      <c r="B676" s="139" t="n"/>
      <c r="C676" s="139" t="n"/>
      <c r="D676" s="139" t="n"/>
      <c r="E676" s="139" t="n"/>
      <c r="F676" s="139" t="n"/>
      <c r="G676" s="55" t="n"/>
      <c r="H676" s="139" t="n"/>
      <c r="I676" s="139" t="n"/>
      <c r="J676" s="139" t="n"/>
      <c r="K676" s="139" t="n"/>
      <c r="L676" s="139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</row>
    <row r="677" ht="45.75" customHeight="1" s="211">
      <c r="A677" s="139" t="n"/>
      <c r="B677" s="139" t="n"/>
      <c r="C677" s="139" t="n"/>
      <c r="D677" s="139" t="n"/>
      <c r="E677" s="139" t="n"/>
      <c r="F677" s="139" t="n"/>
      <c r="G677" s="55" t="n"/>
      <c r="H677" s="139" t="n"/>
      <c r="I677" s="139" t="n"/>
      <c r="J677" s="139" t="n"/>
      <c r="K677" s="139" t="n"/>
      <c r="L677" s="139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</row>
    <row r="678" ht="45.75" customHeight="1" s="211">
      <c r="A678" s="139" t="n"/>
      <c r="B678" s="139" t="n"/>
      <c r="C678" s="139" t="n"/>
      <c r="D678" s="139" t="n"/>
      <c r="E678" s="139" t="n"/>
      <c r="F678" s="139" t="n"/>
      <c r="G678" s="55" t="n"/>
      <c r="H678" s="139" t="n"/>
      <c r="I678" s="139" t="n"/>
      <c r="J678" s="139" t="n"/>
      <c r="K678" s="139" t="n"/>
      <c r="L678" s="139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</row>
    <row r="679" ht="45.75" customHeight="1" s="211">
      <c r="A679" s="139" t="n"/>
      <c r="B679" s="139" t="n"/>
      <c r="C679" s="139" t="n"/>
      <c r="D679" s="139" t="n"/>
      <c r="E679" s="139" t="n"/>
      <c r="F679" s="139" t="n"/>
      <c r="G679" s="55" t="n"/>
      <c r="H679" s="139" t="n"/>
      <c r="I679" s="139" t="n"/>
      <c r="J679" s="139" t="n"/>
      <c r="K679" s="139" t="n"/>
      <c r="L679" s="139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</row>
    <row r="680" ht="45.75" customHeight="1" s="211">
      <c r="A680" s="139" t="n"/>
      <c r="B680" s="139" t="n"/>
      <c r="C680" s="139" t="n"/>
      <c r="D680" s="139" t="n"/>
      <c r="E680" s="139" t="n"/>
      <c r="F680" s="139" t="n"/>
      <c r="G680" s="55" t="n"/>
      <c r="H680" s="139" t="n"/>
      <c r="I680" s="139" t="n"/>
      <c r="J680" s="139" t="n"/>
      <c r="K680" s="139" t="n"/>
      <c r="L680" s="139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</row>
    <row r="681" ht="45.75" customHeight="1" s="211">
      <c r="A681" s="139" t="n"/>
      <c r="B681" s="139" t="n"/>
      <c r="C681" s="139" t="n"/>
      <c r="D681" s="139" t="n"/>
      <c r="E681" s="139" t="n"/>
      <c r="F681" s="139" t="n"/>
      <c r="G681" s="55" t="n"/>
      <c r="H681" s="139" t="n"/>
      <c r="I681" s="139" t="n"/>
      <c r="J681" s="139" t="n"/>
      <c r="K681" s="139" t="n"/>
      <c r="L681" s="139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</row>
    <row r="682" ht="45.75" customHeight="1" s="211">
      <c r="A682" s="139" t="n"/>
      <c r="B682" s="139" t="n"/>
      <c r="C682" s="139" t="n"/>
      <c r="D682" s="139" t="n"/>
      <c r="E682" s="139" t="n"/>
      <c r="F682" s="139" t="n"/>
      <c r="G682" s="55" t="n"/>
      <c r="H682" s="139" t="n"/>
      <c r="I682" s="139" t="n"/>
      <c r="J682" s="139" t="n"/>
      <c r="K682" s="139" t="n"/>
      <c r="L682" s="139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</row>
    <row r="683" ht="45.75" customHeight="1" s="211">
      <c r="A683" s="139" t="n"/>
      <c r="B683" s="139" t="n"/>
      <c r="C683" s="139" t="n"/>
      <c r="D683" s="139" t="n"/>
      <c r="E683" s="139" t="n"/>
      <c r="F683" s="139" t="n"/>
      <c r="G683" s="55" t="n"/>
      <c r="H683" s="139" t="n"/>
      <c r="I683" s="139" t="n"/>
      <c r="J683" s="139" t="n"/>
      <c r="K683" s="139" t="n"/>
      <c r="L683" s="139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</row>
    <row r="684" ht="45.75" customHeight="1" s="211">
      <c r="A684" s="139" t="n"/>
      <c r="B684" s="139" t="n"/>
      <c r="C684" s="139" t="n"/>
      <c r="D684" s="139" t="n"/>
      <c r="E684" s="139" t="n"/>
      <c r="F684" s="139" t="n"/>
      <c r="G684" s="55" t="n"/>
      <c r="H684" s="139" t="n"/>
      <c r="I684" s="139" t="n"/>
      <c r="J684" s="139" t="n"/>
      <c r="K684" s="139" t="n"/>
      <c r="L684" s="139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</row>
    <row r="685" ht="45.75" customHeight="1" s="211">
      <c r="A685" s="139" t="n"/>
      <c r="B685" s="139" t="n"/>
      <c r="C685" s="139" t="n"/>
      <c r="D685" s="139" t="n"/>
      <c r="E685" s="139" t="n"/>
      <c r="F685" s="139" t="n"/>
      <c r="G685" s="55" t="n"/>
      <c r="H685" s="139" t="n"/>
      <c r="I685" s="139" t="n"/>
      <c r="J685" s="139" t="n"/>
      <c r="K685" s="139" t="n"/>
      <c r="L685" s="139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</row>
    <row r="686" ht="45.75" customHeight="1" s="211">
      <c r="A686" s="139" t="n"/>
      <c r="B686" s="139" t="n"/>
      <c r="C686" s="139" t="n"/>
      <c r="D686" s="139" t="n"/>
      <c r="E686" s="139" t="n"/>
      <c r="F686" s="139" t="n"/>
      <c r="G686" s="55" t="n"/>
      <c r="H686" s="139" t="n"/>
      <c r="I686" s="139" t="n"/>
      <c r="J686" s="139" t="n"/>
      <c r="K686" s="139" t="n"/>
      <c r="L686" s="139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</row>
    <row r="687" ht="45.75" customHeight="1" s="211">
      <c r="A687" s="139" t="n"/>
      <c r="B687" s="139" t="n"/>
      <c r="C687" s="139" t="n"/>
      <c r="D687" s="139" t="n"/>
      <c r="E687" s="139" t="n"/>
      <c r="F687" s="139" t="n"/>
      <c r="G687" s="55" t="n"/>
      <c r="H687" s="139" t="n"/>
      <c r="I687" s="139" t="n"/>
      <c r="J687" s="139" t="n"/>
      <c r="K687" s="139" t="n"/>
      <c r="L687" s="139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</row>
    <row r="688" ht="45.75" customHeight="1" s="211">
      <c r="A688" s="139" t="n"/>
      <c r="B688" s="139" t="n"/>
      <c r="C688" s="139" t="n"/>
      <c r="D688" s="139" t="n"/>
      <c r="E688" s="139" t="n"/>
      <c r="F688" s="139" t="n"/>
      <c r="G688" s="55" t="n"/>
      <c r="H688" s="139" t="n"/>
      <c r="I688" s="139" t="n"/>
      <c r="J688" s="139" t="n"/>
      <c r="K688" s="139" t="n"/>
      <c r="L688" s="139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</row>
    <row r="689" ht="45.75" customHeight="1" s="211">
      <c r="A689" s="139" t="n"/>
      <c r="B689" s="139" t="n"/>
      <c r="C689" s="139" t="n"/>
      <c r="D689" s="139" t="n"/>
      <c r="E689" s="139" t="n"/>
      <c r="F689" s="139" t="n"/>
      <c r="G689" s="55" t="n"/>
      <c r="H689" s="139" t="n"/>
      <c r="I689" s="139" t="n"/>
      <c r="J689" s="139" t="n"/>
      <c r="K689" s="139" t="n"/>
      <c r="L689" s="139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</row>
    <row r="690" ht="45.75" customHeight="1" s="211">
      <c r="A690" s="139" t="n"/>
      <c r="B690" s="139" t="n"/>
      <c r="C690" s="139" t="n"/>
      <c r="D690" s="139" t="n"/>
      <c r="E690" s="139" t="n"/>
      <c r="F690" s="139" t="n"/>
      <c r="G690" s="55" t="n"/>
      <c r="H690" s="139" t="n"/>
      <c r="I690" s="139" t="n"/>
      <c r="J690" s="139" t="n"/>
      <c r="K690" s="139" t="n"/>
      <c r="L690" s="139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</row>
    <row r="691" ht="45.75" customHeight="1" s="211">
      <c r="A691" s="139" t="n"/>
      <c r="B691" s="139" t="n"/>
      <c r="C691" s="139" t="n"/>
      <c r="D691" s="139" t="n"/>
      <c r="E691" s="139" t="n"/>
      <c r="F691" s="139" t="n"/>
      <c r="G691" s="55" t="n"/>
      <c r="H691" s="139" t="n"/>
      <c r="I691" s="139" t="n"/>
      <c r="J691" s="139" t="n"/>
      <c r="K691" s="139" t="n"/>
      <c r="L691" s="139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</row>
    <row r="692" ht="45.75" customHeight="1" s="211">
      <c r="A692" s="139" t="n"/>
      <c r="B692" s="139" t="n"/>
      <c r="C692" s="139" t="n"/>
      <c r="D692" s="139" t="n"/>
      <c r="E692" s="139" t="n"/>
      <c r="F692" s="139" t="n"/>
      <c r="G692" s="55" t="n"/>
      <c r="H692" s="139" t="n"/>
      <c r="I692" s="139" t="n"/>
      <c r="J692" s="139" t="n"/>
      <c r="K692" s="139" t="n"/>
      <c r="L692" s="139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</row>
    <row r="693" ht="45.75" customHeight="1" s="211">
      <c r="A693" s="139" t="n"/>
      <c r="B693" s="139" t="n"/>
      <c r="C693" s="139" t="n"/>
      <c r="D693" s="139" t="n"/>
      <c r="E693" s="139" t="n"/>
      <c r="F693" s="139" t="n"/>
      <c r="G693" s="55" t="n"/>
      <c r="H693" s="139" t="n"/>
      <c r="I693" s="139" t="n"/>
      <c r="J693" s="139" t="n"/>
      <c r="K693" s="139" t="n"/>
      <c r="L693" s="139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</row>
    <row r="694" ht="45.75" customHeight="1" s="211">
      <c r="A694" s="139" t="n"/>
      <c r="B694" s="139" t="n"/>
      <c r="C694" s="139" t="n"/>
      <c r="D694" s="139" t="n"/>
      <c r="E694" s="139" t="n"/>
      <c r="F694" s="139" t="n"/>
      <c r="G694" s="55" t="n"/>
      <c r="H694" s="139" t="n"/>
      <c r="I694" s="139" t="n"/>
      <c r="J694" s="139" t="n"/>
      <c r="K694" s="139" t="n"/>
      <c r="L694" s="139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</row>
    <row r="695" ht="45.75" customHeight="1" s="211">
      <c r="A695" s="139" t="n"/>
      <c r="B695" s="139" t="n"/>
      <c r="C695" s="139" t="n"/>
      <c r="D695" s="139" t="n"/>
      <c r="E695" s="139" t="n"/>
      <c r="F695" s="139" t="n"/>
      <c r="G695" s="55" t="n"/>
      <c r="H695" s="139" t="n"/>
      <c r="I695" s="139" t="n"/>
      <c r="J695" s="139" t="n"/>
      <c r="K695" s="139" t="n"/>
      <c r="L695" s="139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</row>
    <row r="696" ht="45.75" customHeight="1" s="211">
      <c r="A696" s="139" t="n"/>
      <c r="B696" s="139" t="n"/>
      <c r="C696" s="139" t="n"/>
      <c r="D696" s="139" t="n"/>
      <c r="E696" s="139" t="n"/>
      <c r="F696" s="139" t="n"/>
      <c r="G696" s="55" t="n"/>
      <c r="H696" s="139" t="n"/>
      <c r="I696" s="139" t="n"/>
      <c r="J696" s="139" t="n"/>
      <c r="K696" s="139" t="n"/>
      <c r="L696" s="139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</row>
    <row r="697" ht="45.75" customHeight="1" s="211">
      <c r="A697" s="139" t="n"/>
      <c r="B697" s="139" t="n"/>
      <c r="C697" s="139" t="n"/>
      <c r="D697" s="139" t="n"/>
      <c r="E697" s="139" t="n"/>
      <c r="F697" s="139" t="n"/>
      <c r="G697" s="55" t="n"/>
      <c r="H697" s="139" t="n"/>
      <c r="I697" s="139" t="n"/>
      <c r="J697" s="139" t="n"/>
      <c r="K697" s="139" t="n"/>
      <c r="L697" s="139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</row>
    <row r="698" ht="45.75" customHeight="1" s="211">
      <c r="A698" s="139" t="n"/>
      <c r="B698" s="139" t="n"/>
      <c r="C698" s="139" t="n"/>
      <c r="D698" s="139" t="n"/>
      <c r="E698" s="139" t="n"/>
      <c r="F698" s="139" t="n"/>
      <c r="G698" s="55" t="n"/>
      <c r="H698" s="139" t="n"/>
      <c r="I698" s="139" t="n"/>
      <c r="J698" s="139" t="n"/>
      <c r="K698" s="139" t="n"/>
      <c r="L698" s="139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</row>
    <row r="699" ht="45.75" customHeight="1" s="211">
      <c r="A699" s="139" t="n"/>
      <c r="B699" s="139" t="n"/>
      <c r="C699" s="139" t="n"/>
      <c r="D699" s="139" t="n"/>
      <c r="E699" s="139" t="n"/>
      <c r="F699" s="139" t="n"/>
      <c r="G699" s="55" t="n"/>
      <c r="H699" s="139" t="n"/>
      <c r="I699" s="139" t="n"/>
      <c r="J699" s="139" t="n"/>
      <c r="K699" s="139" t="n"/>
      <c r="L699" s="139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</row>
    <row r="700" ht="45.75" customHeight="1" s="211">
      <c r="A700" s="139" t="n"/>
      <c r="B700" s="139" t="n"/>
      <c r="C700" s="139" t="n"/>
      <c r="D700" s="139" t="n"/>
      <c r="E700" s="139" t="n"/>
      <c r="F700" s="139" t="n"/>
      <c r="G700" s="55" t="n"/>
      <c r="H700" s="139" t="n"/>
      <c r="I700" s="139" t="n"/>
      <c r="J700" s="139" t="n"/>
      <c r="K700" s="139" t="n"/>
      <c r="L700" s="139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</row>
    <row r="701" ht="45.75" customHeight="1" s="211">
      <c r="A701" s="139" t="n"/>
      <c r="B701" s="139" t="n"/>
      <c r="C701" s="139" t="n"/>
      <c r="D701" s="139" t="n"/>
      <c r="E701" s="139" t="n"/>
      <c r="F701" s="139" t="n"/>
      <c r="G701" s="55" t="n"/>
      <c r="H701" s="139" t="n"/>
      <c r="I701" s="139" t="n"/>
      <c r="J701" s="139" t="n"/>
      <c r="K701" s="139" t="n"/>
      <c r="L701" s="139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</row>
    <row r="702" ht="45.75" customHeight="1" s="211">
      <c r="A702" s="139" t="n"/>
      <c r="B702" s="139" t="n"/>
      <c r="C702" s="139" t="n"/>
      <c r="D702" s="139" t="n"/>
      <c r="E702" s="139" t="n"/>
      <c r="F702" s="139" t="n"/>
      <c r="G702" s="55" t="n"/>
      <c r="H702" s="139" t="n"/>
      <c r="I702" s="139" t="n"/>
      <c r="J702" s="139" t="n"/>
      <c r="K702" s="139" t="n"/>
      <c r="L702" s="139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</row>
    <row r="703" ht="45.75" customHeight="1" s="211">
      <c r="A703" s="139" t="n"/>
      <c r="B703" s="139" t="n"/>
      <c r="C703" s="139" t="n"/>
      <c r="D703" s="139" t="n"/>
      <c r="E703" s="139" t="n"/>
      <c r="F703" s="139" t="n"/>
      <c r="G703" s="55" t="n"/>
      <c r="H703" s="139" t="n"/>
      <c r="I703" s="139" t="n"/>
      <c r="J703" s="139" t="n"/>
      <c r="K703" s="139" t="n"/>
      <c r="L703" s="139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</row>
    <row r="704" ht="45.75" customHeight="1" s="211">
      <c r="A704" s="139" t="n"/>
      <c r="B704" s="139" t="n"/>
      <c r="C704" s="139" t="n"/>
      <c r="D704" s="139" t="n"/>
      <c r="E704" s="139" t="n"/>
      <c r="F704" s="139" t="n"/>
      <c r="G704" s="55" t="n"/>
      <c r="H704" s="139" t="n"/>
      <c r="I704" s="139" t="n"/>
      <c r="J704" s="139" t="n"/>
      <c r="K704" s="139" t="n"/>
      <c r="L704" s="139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</row>
    <row r="705" ht="45.75" customHeight="1" s="211">
      <c r="A705" s="139" t="n"/>
      <c r="B705" s="139" t="n"/>
      <c r="C705" s="139" t="n"/>
      <c r="D705" s="139" t="n"/>
      <c r="E705" s="139" t="n"/>
      <c r="F705" s="139" t="n"/>
      <c r="G705" s="55" t="n"/>
      <c r="H705" s="139" t="n"/>
      <c r="I705" s="139" t="n"/>
      <c r="J705" s="139" t="n"/>
      <c r="K705" s="139" t="n"/>
      <c r="L705" s="139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</row>
    <row r="706" ht="45.75" customHeight="1" s="211">
      <c r="A706" s="139" t="n"/>
      <c r="B706" s="139" t="n"/>
      <c r="C706" s="139" t="n"/>
      <c r="D706" s="139" t="n"/>
      <c r="E706" s="139" t="n"/>
      <c r="F706" s="139" t="n"/>
      <c r="G706" s="55" t="n"/>
      <c r="H706" s="139" t="n"/>
      <c r="I706" s="139" t="n"/>
      <c r="J706" s="139" t="n"/>
      <c r="K706" s="139" t="n"/>
      <c r="L706" s="139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</row>
    <row r="707" ht="45.75" customHeight="1" s="211">
      <c r="A707" s="139" t="n"/>
      <c r="B707" s="139" t="n"/>
      <c r="C707" s="139" t="n"/>
      <c r="D707" s="139" t="n"/>
      <c r="E707" s="139" t="n"/>
      <c r="F707" s="139" t="n"/>
      <c r="G707" s="55" t="n"/>
      <c r="H707" s="139" t="n"/>
      <c r="I707" s="139" t="n"/>
      <c r="J707" s="139" t="n"/>
      <c r="K707" s="139" t="n"/>
      <c r="L707" s="139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</row>
    <row r="708" ht="45.75" customHeight="1" s="211">
      <c r="A708" s="139" t="n"/>
      <c r="B708" s="139" t="n"/>
      <c r="C708" s="139" t="n"/>
      <c r="D708" s="139" t="n"/>
      <c r="E708" s="139" t="n"/>
      <c r="F708" s="139" t="n"/>
      <c r="G708" s="55" t="n"/>
      <c r="H708" s="139" t="n"/>
      <c r="I708" s="139" t="n"/>
      <c r="J708" s="139" t="n"/>
      <c r="K708" s="139" t="n"/>
      <c r="L708" s="139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</row>
    <row r="709" ht="45.75" customHeight="1" s="211">
      <c r="A709" s="139" t="n"/>
      <c r="B709" s="139" t="n"/>
      <c r="C709" s="139" t="n"/>
      <c r="D709" s="139" t="n"/>
      <c r="E709" s="139" t="n"/>
      <c r="F709" s="139" t="n"/>
      <c r="G709" s="55" t="n"/>
      <c r="H709" s="139" t="n"/>
      <c r="I709" s="139" t="n"/>
      <c r="J709" s="139" t="n"/>
      <c r="K709" s="139" t="n"/>
      <c r="L709" s="139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</row>
    <row r="710" ht="45.75" customHeight="1" s="211">
      <c r="A710" s="139" t="n"/>
      <c r="B710" s="139" t="n"/>
      <c r="C710" s="139" t="n"/>
      <c r="D710" s="139" t="n"/>
      <c r="E710" s="139" t="n"/>
      <c r="F710" s="139" t="n"/>
      <c r="G710" s="55" t="n"/>
      <c r="H710" s="139" t="n"/>
      <c r="I710" s="139" t="n"/>
      <c r="J710" s="139" t="n"/>
      <c r="K710" s="139" t="n"/>
      <c r="L710" s="139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</row>
    <row r="711" ht="45.75" customHeight="1" s="211">
      <c r="A711" s="139" t="n"/>
      <c r="B711" s="139" t="n"/>
      <c r="C711" s="139" t="n"/>
      <c r="D711" s="139" t="n"/>
      <c r="E711" s="139" t="n"/>
      <c r="F711" s="139" t="n"/>
      <c r="G711" s="55" t="n"/>
      <c r="H711" s="139" t="n"/>
      <c r="I711" s="139" t="n"/>
      <c r="J711" s="139" t="n"/>
      <c r="K711" s="139" t="n"/>
      <c r="L711" s="139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</row>
    <row r="712" ht="45.75" customHeight="1" s="211">
      <c r="A712" s="139" t="n"/>
      <c r="B712" s="139" t="n"/>
      <c r="C712" s="139" t="n"/>
      <c r="D712" s="139" t="n"/>
      <c r="E712" s="139" t="n"/>
      <c r="F712" s="139" t="n"/>
      <c r="G712" s="55" t="n"/>
      <c r="H712" s="139" t="n"/>
      <c r="I712" s="139" t="n"/>
      <c r="J712" s="139" t="n"/>
      <c r="K712" s="139" t="n"/>
      <c r="L712" s="139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</row>
    <row r="713" ht="45.75" customHeight="1" s="211">
      <c r="A713" s="139" t="n"/>
      <c r="B713" s="139" t="n"/>
      <c r="C713" s="139" t="n"/>
      <c r="D713" s="139" t="n"/>
      <c r="E713" s="139" t="n"/>
      <c r="F713" s="139" t="n"/>
      <c r="G713" s="55" t="n"/>
      <c r="H713" s="139" t="n"/>
      <c r="I713" s="139" t="n"/>
      <c r="J713" s="139" t="n"/>
      <c r="K713" s="139" t="n"/>
      <c r="L713" s="139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</row>
    <row r="714" ht="45.75" customHeight="1" s="211">
      <c r="A714" s="139" t="n"/>
      <c r="B714" s="139" t="n"/>
      <c r="C714" s="139" t="n"/>
      <c r="D714" s="139" t="n"/>
      <c r="E714" s="139" t="n"/>
      <c r="F714" s="139" t="n"/>
      <c r="G714" s="55" t="n"/>
      <c r="H714" s="139" t="n"/>
      <c r="I714" s="139" t="n"/>
      <c r="J714" s="139" t="n"/>
      <c r="K714" s="139" t="n"/>
      <c r="L714" s="139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</row>
    <row r="715" ht="45.75" customHeight="1" s="211">
      <c r="A715" s="139" t="n"/>
      <c r="B715" s="139" t="n"/>
      <c r="C715" s="139" t="n"/>
      <c r="D715" s="139" t="n"/>
      <c r="E715" s="139" t="n"/>
      <c r="F715" s="139" t="n"/>
      <c r="G715" s="55" t="n"/>
      <c r="H715" s="139" t="n"/>
      <c r="I715" s="139" t="n"/>
      <c r="J715" s="139" t="n"/>
      <c r="K715" s="139" t="n"/>
      <c r="L715" s="139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</row>
    <row r="716" ht="45.75" customHeight="1" s="211">
      <c r="A716" s="139" t="n"/>
      <c r="B716" s="139" t="n"/>
      <c r="C716" s="139" t="n"/>
      <c r="D716" s="139" t="n"/>
      <c r="E716" s="139" t="n"/>
      <c r="F716" s="139" t="n"/>
      <c r="G716" s="55" t="n"/>
      <c r="H716" s="139" t="n"/>
      <c r="I716" s="139" t="n"/>
      <c r="J716" s="139" t="n"/>
      <c r="K716" s="139" t="n"/>
      <c r="L716" s="139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</row>
    <row r="717" ht="45.75" customHeight="1" s="211">
      <c r="A717" s="139" t="n"/>
      <c r="B717" s="139" t="n"/>
      <c r="C717" s="139" t="n"/>
      <c r="D717" s="139" t="n"/>
      <c r="E717" s="139" t="n"/>
      <c r="F717" s="139" t="n"/>
      <c r="G717" s="55" t="n"/>
      <c r="H717" s="139" t="n"/>
      <c r="I717" s="139" t="n"/>
      <c r="J717" s="139" t="n"/>
      <c r="K717" s="139" t="n"/>
      <c r="L717" s="139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</row>
    <row r="718" ht="45.75" customHeight="1" s="211">
      <c r="A718" s="139" t="n"/>
      <c r="B718" s="139" t="n"/>
      <c r="C718" s="139" t="n"/>
      <c r="D718" s="139" t="n"/>
      <c r="E718" s="139" t="n"/>
      <c r="F718" s="139" t="n"/>
      <c r="G718" s="55" t="n"/>
      <c r="H718" s="139" t="n"/>
      <c r="I718" s="139" t="n"/>
      <c r="J718" s="139" t="n"/>
      <c r="K718" s="139" t="n"/>
      <c r="L718" s="139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</row>
    <row r="719" ht="45.75" customHeight="1" s="211">
      <c r="A719" s="139" t="n"/>
      <c r="B719" s="139" t="n"/>
      <c r="C719" s="139" t="n"/>
      <c r="D719" s="139" t="n"/>
      <c r="E719" s="139" t="n"/>
      <c r="F719" s="139" t="n"/>
      <c r="G719" s="55" t="n"/>
      <c r="H719" s="139" t="n"/>
      <c r="I719" s="139" t="n"/>
      <c r="J719" s="139" t="n"/>
      <c r="K719" s="139" t="n"/>
      <c r="L719" s="139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</row>
    <row r="720" ht="45.75" customHeight="1" s="211">
      <c r="A720" s="139" t="n"/>
      <c r="B720" s="139" t="n"/>
      <c r="C720" s="139" t="n"/>
      <c r="D720" s="139" t="n"/>
      <c r="E720" s="139" t="n"/>
      <c r="F720" s="139" t="n"/>
      <c r="G720" s="55" t="n"/>
      <c r="H720" s="139" t="n"/>
      <c r="I720" s="139" t="n"/>
      <c r="J720" s="139" t="n"/>
      <c r="K720" s="139" t="n"/>
      <c r="L720" s="139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</row>
    <row r="721" ht="45.75" customHeight="1" s="211">
      <c r="A721" s="139" t="n"/>
      <c r="B721" s="139" t="n"/>
      <c r="C721" s="139" t="n"/>
      <c r="D721" s="139" t="n"/>
      <c r="E721" s="139" t="n"/>
      <c r="F721" s="139" t="n"/>
      <c r="G721" s="55" t="n"/>
      <c r="H721" s="139" t="n"/>
      <c r="I721" s="139" t="n"/>
      <c r="J721" s="139" t="n"/>
      <c r="K721" s="139" t="n"/>
      <c r="L721" s="139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</row>
    <row r="722" ht="45.75" customHeight="1" s="211">
      <c r="A722" s="139" t="n"/>
      <c r="B722" s="139" t="n"/>
      <c r="C722" s="139" t="n"/>
      <c r="D722" s="139" t="n"/>
      <c r="E722" s="139" t="n"/>
      <c r="F722" s="139" t="n"/>
      <c r="G722" s="55" t="n"/>
      <c r="H722" s="139" t="n"/>
      <c r="I722" s="139" t="n"/>
      <c r="J722" s="139" t="n"/>
      <c r="K722" s="139" t="n"/>
      <c r="L722" s="139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</row>
    <row r="723" ht="45.75" customHeight="1" s="211">
      <c r="A723" s="139" t="n"/>
      <c r="B723" s="139" t="n"/>
      <c r="C723" s="139" t="n"/>
      <c r="D723" s="139" t="n"/>
      <c r="E723" s="139" t="n"/>
      <c r="F723" s="139" t="n"/>
      <c r="G723" s="55" t="n"/>
      <c r="H723" s="139" t="n"/>
      <c r="I723" s="139" t="n"/>
      <c r="J723" s="139" t="n"/>
      <c r="K723" s="139" t="n"/>
      <c r="L723" s="139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</row>
    <row r="724" ht="45.75" customHeight="1" s="211">
      <c r="A724" s="139" t="n"/>
      <c r="B724" s="139" t="n"/>
      <c r="C724" s="139" t="n"/>
      <c r="D724" s="139" t="n"/>
      <c r="E724" s="139" t="n"/>
      <c r="F724" s="139" t="n"/>
      <c r="G724" s="55" t="n"/>
      <c r="H724" s="139" t="n"/>
      <c r="I724" s="139" t="n"/>
      <c r="J724" s="139" t="n"/>
      <c r="K724" s="139" t="n"/>
      <c r="L724" s="139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</row>
    <row r="725" ht="45.75" customHeight="1" s="211">
      <c r="A725" s="139" t="n"/>
      <c r="B725" s="139" t="n"/>
      <c r="C725" s="139" t="n"/>
      <c r="D725" s="139" t="n"/>
      <c r="E725" s="139" t="n"/>
      <c r="F725" s="139" t="n"/>
      <c r="G725" s="55" t="n"/>
      <c r="H725" s="139" t="n"/>
      <c r="I725" s="139" t="n"/>
      <c r="J725" s="139" t="n"/>
      <c r="K725" s="139" t="n"/>
      <c r="L725" s="139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</row>
    <row r="726" ht="45.75" customHeight="1" s="211">
      <c r="A726" s="139" t="n"/>
      <c r="B726" s="139" t="n"/>
      <c r="C726" s="139" t="n"/>
      <c r="D726" s="139" t="n"/>
      <c r="E726" s="139" t="n"/>
      <c r="F726" s="139" t="n"/>
      <c r="G726" s="55" t="n"/>
      <c r="H726" s="139" t="n"/>
      <c r="I726" s="139" t="n"/>
      <c r="J726" s="139" t="n"/>
      <c r="K726" s="139" t="n"/>
      <c r="L726" s="139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</row>
    <row r="727" ht="45.75" customHeight="1" s="211">
      <c r="A727" s="139" t="n"/>
      <c r="B727" s="139" t="n"/>
      <c r="C727" s="139" t="n"/>
      <c r="D727" s="139" t="n"/>
      <c r="E727" s="139" t="n"/>
      <c r="F727" s="139" t="n"/>
      <c r="G727" s="55" t="n"/>
      <c r="H727" s="139" t="n"/>
      <c r="I727" s="139" t="n"/>
      <c r="J727" s="139" t="n"/>
      <c r="K727" s="139" t="n"/>
      <c r="L727" s="139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</row>
    <row r="728" ht="45.75" customHeight="1" s="211">
      <c r="A728" s="139" t="n"/>
      <c r="B728" s="139" t="n"/>
      <c r="C728" s="139" t="n"/>
      <c r="D728" s="139" t="n"/>
      <c r="E728" s="139" t="n"/>
      <c r="F728" s="139" t="n"/>
      <c r="G728" s="55" t="n"/>
      <c r="H728" s="139" t="n"/>
      <c r="I728" s="139" t="n"/>
      <c r="J728" s="139" t="n"/>
      <c r="K728" s="139" t="n"/>
      <c r="L728" s="139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</row>
    <row r="729" ht="45.75" customHeight="1" s="211">
      <c r="A729" s="139" t="n"/>
      <c r="B729" s="139" t="n"/>
      <c r="C729" s="139" t="n"/>
      <c r="D729" s="139" t="n"/>
      <c r="E729" s="139" t="n"/>
      <c r="F729" s="139" t="n"/>
      <c r="G729" s="55" t="n"/>
      <c r="H729" s="139" t="n"/>
      <c r="I729" s="139" t="n"/>
      <c r="J729" s="139" t="n"/>
      <c r="K729" s="139" t="n"/>
      <c r="L729" s="139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</row>
    <row r="730" ht="45.75" customHeight="1" s="211">
      <c r="A730" s="139" t="n"/>
      <c r="B730" s="139" t="n"/>
      <c r="C730" s="139" t="n"/>
      <c r="D730" s="139" t="n"/>
      <c r="E730" s="139" t="n"/>
      <c r="F730" s="139" t="n"/>
      <c r="G730" s="55" t="n"/>
      <c r="H730" s="139" t="n"/>
      <c r="I730" s="139" t="n"/>
      <c r="J730" s="139" t="n"/>
      <c r="K730" s="139" t="n"/>
      <c r="L730" s="139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</row>
    <row r="731" ht="45.75" customHeight="1" s="211">
      <c r="A731" s="139" t="n"/>
      <c r="B731" s="139" t="n"/>
      <c r="C731" s="139" t="n"/>
      <c r="D731" s="139" t="n"/>
      <c r="E731" s="139" t="n"/>
      <c r="F731" s="139" t="n"/>
      <c r="G731" s="55" t="n"/>
      <c r="H731" s="139" t="n"/>
      <c r="I731" s="139" t="n"/>
      <c r="J731" s="139" t="n"/>
      <c r="K731" s="139" t="n"/>
      <c r="L731" s="139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</row>
    <row r="732" ht="45.75" customHeight="1" s="211">
      <c r="A732" s="139" t="n"/>
      <c r="B732" s="139" t="n"/>
      <c r="C732" s="139" t="n"/>
      <c r="D732" s="139" t="n"/>
      <c r="E732" s="139" t="n"/>
      <c r="F732" s="139" t="n"/>
      <c r="G732" s="55" t="n"/>
      <c r="H732" s="139" t="n"/>
      <c r="I732" s="139" t="n"/>
      <c r="J732" s="139" t="n"/>
      <c r="K732" s="139" t="n"/>
      <c r="L732" s="139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</row>
    <row r="733" ht="45.75" customHeight="1" s="211">
      <c r="A733" s="139" t="n"/>
      <c r="B733" s="139" t="n"/>
      <c r="C733" s="139" t="n"/>
      <c r="D733" s="139" t="n"/>
      <c r="E733" s="139" t="n"/>
      <c r="F733" s="139" t="n"/>
      <c r="G733" s="55" t="n"/>
      <c r="H733" s="139" t="n"/>
      <c r="I733" s="139" t="n"/>
      <c r="J733" s="139" t="n"/>
      <c r="K733" s="139" t="n"/>
      <c r="L733" s="139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</row>
    <row r="734" ht="45.75" customHeight="1" s="211">
      <c r="A734" s="139" t="n"/>
      <c r="B734" s="139" t="n"/>
      <c r="C734" s="139" t="n"/>
      <c r="D734" s="139" t="n"/>
      <c r="E734" s="139" t="n"/>
      <c r="F734" s="139" t="n"/>
      <c r="G734" s="55" t="n"/>
      <c r="H734" s="139" t="n"/>
      <c r="I734" s="139" t="n"/>
      <c r="J734" s="139" t="n"/>
      <c r="K734" s="139" t="n"/>
      <c r="L734" s="139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</row>
    <row r="735" ht="45.75" customHeight="1" s="211">
      <c r="A735" s="139" t="n"/>
      <c r="B735" s="139" t="n"/>
      <c r="C735" s="139" t="n"/>
      <c r="D735" s="139" t="n"/>
      <c r="E735" s="139" t="n"/>
      <c r="F735" s="139" t="n"/>
      <c r="G735" s="55" t="n"/>
      <c r="H735" s="139" t="n"/>
      <c r="I735" s="139" t="n"/>
      <c r="J735" s="139" t="n"/>
      <c r="K735" s="139" t="n"/>
      <c r="L735" s="139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</row>
    <row r="736" ht="45.75" customHeight="1" s="211">
      <c r="A736" s="139" t="n"/>
      <c r="B736" s="139" t="n"/>
      <c r="C736" s="139" t="n"/>
      <c r="D736" s="139" t="n"/>
      <c r="E736" s="139" t="n"/>
      <c r="F736" s="139" t="n"/>
      <c r="G736" s="55" t="n"/>
      <c r="H736" s="139" t="n"/>
      <c r="I736" s="139" t="n"/>
      <c r="J736" s="139" t="n"/>
      <c r="K736" s="139" t="n"/>
      <c r="L736" s="139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</row>
    <row r="737" ht="45.75" customHeight="1" s="211">
      <c r="A737" s="139" t="n"/>
      <c r="B737" s="139" t="n"/>
      <c r="C737" s="139" t="n"/>
      <c r="D737" s="139" t="n"/>
      <c r="E737" s="139" t="n"/>
      <c r="F737" s="139" t="n"/>
      <c r="G737" s="55" t="n"/>
      <c r="H737" s="139" t="n"/>
      <c r="I737" s="139" t="n"/>
      <c r="J737" s="139" t="n"/>
      <c r="K737" s="139" t="n"/>
      <c r="L737" s="139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</row>
    <row r="738" ht="45.75" customHeight="1" s="211">
      <c r="A738" s="139" t="n"/>
      <c r="B738" s="139" t="n"/>
      <c r="C738" s="139" t="n"/>
      <c r="D738" s="139" t="n"/>
      <c r="E738" s="139" t="n"/>
      <c r="F738" s="139" t="n"/>
      <c r="G738" s="55" t="n"/>
      <c r="H738" s="139" t="n"/>
      <c r="I738" s="139" t="n"/>
      <c r="J738" s="139" t="n"/>
      <c r="K738" s="139" t="n"/>
      <c r="L738" s="139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</row>
    <row r="739" ht="45.75" customHeight="1" s="211">
      <c r="A739" s="139" t="n"/>
      <c r="B739" s="139" t="n"/>
      <c r="C739" s="139" t="n"/>
      <c r="D739" s="139" t="n"/>
      <c r="E739" s="139" t="n"/>
      <c r="F739" s="139" t="n"/>
      <c r="G739" s="55" t="n"/>
      <c r="H739" s="139" t="n"/>
      <c r="I739" s="139" t="n"/>
      <c r="J739" s="139" t="n"/>
      <c r="K739" s="139" t="n"/>
      <c r="L739" s="139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</row>
    <row r="740" ht="45.75" customHeight="1" s="211">
      <c r="A740" s="139" t="n"/>
      <c r="B740" s="139" t="n"/>
      <c r="C740" s="139" t="n"/>
      <c r="D740" s="139" t="n"/>
      <c r="E740" s="139" t="n"/>
      <c r="F740" s="139" t="n"/>
      <c r="G740" s="55" t="n"/>
      <c r="H740" s="139" t="n"/>
      <c r="I740" s="139" t="n"/>
      <c r="J740" s="139" t="n"/>
      <c r="K740" s="139" t="n"/>
      <c r="L740" s="139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</row>
    <row r="741" ht="45.75" customHeight="1" s="211">
      <c r="A741" s="139" t="n"/>
      <c r="B741" s="139" t="n"/>
      <c r="C741" s="139" t="n"/>
      <c r="D741" s="139" t="n"/>
      <c r="E741" s="139" t="n"/>
      <c r="F741" s="139" t="n"/>
      <c r="G741" s="55" t="n"/>
      <c r="H741" s="139" t="n"/>
      <c r="I741" s="139" t="n"/>
      <c r="J741" s="139" t="n"/>
      <c r="K741" s="139" t="n"/>
      <c r="L741" s="139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</row>
    <row r="742" ht="45.75" customHeight="1" s="211">
      <c r="A742" s="139" t="n"/>
      <c r="B742" s="139" t="n"/>
      <c r="C742" s="139" t="n"/>
      <c r="D742" s="139" t="n"/>
      <c r="E742" s="139" t="n"/>
      <c r="F742" s="139" t="n"/>
      <c r="G742" s="55" t="n"/>
      <c r="H742" s="139" t="n"/>
      <c r="I742" s="139" t="n"/>
      <c r="J742" s="139" t="n"/>
      <c r="K742" s="139" t="n"/>
      <c r="L742" s="139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</row>
    <row r="743" ht="45.75" customHeight="1" s="211">
      <c r="A743" s="139" t="n"/>
      <c r="B743" s="139" t="n"/>
      <c r="C743" s="139" t="n"/>
      <c r="D743" s="139" t="n"/>
      <c r="E743" s="139" t="n"/>
      <c r="F743" s="139" t="n"/>
      <c r="G743" s="55" t="n"/>
      <c r="H743" s="139" t="n"/>
      <c r="I743" s="139" t="n"/>
      <c r="J743" s="139" t="n"/>
      <c r="K743" s="139" t="n"/>
      <c r="L743" s="139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</row>
    <row r="744" ht="45.75" customHeight="1" s="211">
      <c r="A744" s="139" t="n"/>
      <c r="B744" s="139" t="n"/>
      <c r="C744" s="139" t="n"/>
      <c r="D744" s="139" t="n"/>
      <c r="E744" s="139" t="n"/>
      <c r="F744" s="139" t="n"/>
      <c r="G744" s="55" t="n"/>
      <c r="H744" s="139" t="n"/>
      <c r="I744" s="139" t="n"/>
      <c r="J744" s="139" t="n"/>
      <c r="K744" s="139" t="n"/>
      <c r="L744" s="139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</row>
    <row r="745" ht="45.75" customHeight="1" s="211">
      <c r="A745" s="139" t="n"/>
      <c r="B745" s="139" t="n"/>
      <c r="C745" s="139" t="n"/>
      <c r="D745" s="139" t="n"/>
      <c r="E745" s="139" t="n"/>
      <c r="F745" s="139" t="n"/>
      <c r="G745" s="55" t="n"/>
      <c r="H745" s="139" t="n"/>
      <c r="I745" s="139" t="n"/>
      <c r="J745" s="139" t="n"/>
      <c r="K745" s="139" t="n"/>
      <c r="L745" s="139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</row>
    <row r="746" ht="45.75" customHeight="1" s="211">
      <c r="A746" s="139" t="n"/>
      <c r="B746" s="139" t="n"/>
      <c r="C746" s="139" t="n"/>
      <c r="D746" s="139" t="n"/>
      <c r="E746" s="139" t="n"/>
      <c r="F746" s="139" t="n"/>
      <c r="G746" s="55" t="n"/>
      <c r="H746" s="139" t="n"/>
      <c r="I746" s="139" t="n"/>
      <c r="J746" s="139" t="n"/>
      <c r="K746" s="139" t="n"/>
      <c r="L746" s="139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</row>
    <row r="747" ht="45.75" customHeight="1" s="211">
      <c r="A747" s="139" t="n"/>
      <c r="B747" s="139" t="n"/>
      <c r="C747" s="139" t="n"/>
      <c r="D747" s="139" t="n"/>
      <c r="E747" s="139" t="n"/>
      <c r="F747" s="139" t="n"/>
      <c r="G747" s="55" t="n"/>
      <c r="H747" s="139" t="n"/>
      <c r="I747" s="139" t="n"/>
      <c r="J747" s="139" t="n"/>
      <c r="K747" s="139" t="n"/>
      <c r="L747" s="139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</row>
    <row r="748" ht="45.75" customHeight="1" s="211">
      <c r="A748" s="139" t="n"/>
      <c r="B748" s="139" t="n"/>
      <c r="C748" s="139" t="n"/>
      <c r="D748" s="139" t="n"/>
      <c r="E748" s="139" t="n"/>
      <c r="F748" s="139" t="n"/>
      <c r="G748" s="55" t="n"/>
      <c r="H748" s="139" t="n"/>
      <c r="I748" s="139" t="n"/>
      <c r="J748" s="139" t="n"/>
      <c r="K748" s="139" t="n"/>
      <c r="L748" s="139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</row>
    <row r="749" ht="45.75" customHeight="1" s="211">
      <c r="A749" s="139" t="n"/>
      <c r="B749" s="139" t="n"/>
      <c r="C749" s="139" t="n"/>
      <c r="D749" s="139" t="n"/>
      <c r="E749" s="139" t="n"/>
      <c r="F749" s="139" t="n"/>
      <c r="G749" s="55" t="n"/>
      <c r="H749" s="139" t="n"/>
      <c r="I749" s="139" t="n"/>
      <c r="J749" s="139" t="n"/>
      <c r="K749" s="139" t="n"/>
      <c r="L749" s="139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</row>
    <row r="750" ht="45.75" customHeight="1" s="211">
      <c r="A750" s="139" t="n"/>
      <c r="B750" s="139" t="n"/>
      <c r="C750" s="139" t="n"/>
      <c r="D750" s="139" t="n"/>
      <c r="E750" s="139" t="n"/>
      <c r="F750" s="139" t="n"/>
      <c r="G750" s="55" t="n"/>
      <c r="H750" s="139" t="n"/>
      <c r="I750" s="139" t="n"/>
      <c r="J750" s="139" t="n"/>
      <c r="K750" s="139" t="n"/>
      <c r="L750" s="139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</row>
    <row r="751" ht="45.75" customHeight="1" s="211">
      <c r="A751" s="139" t="n"/>
      <c r="B751" s="139" t="n"/>
      <c r="C751" s="139" t="n"/>
      <c r="D751" s="139" t="n"/>
      <c r="E751" s="139" t="n"/>
      <c r="F751" s="139" t="n"/>
      <c r="G751" s="55" t="n"/>
      <c r="H751" s="139" t="n"/>
      <c r="I751" s="139" t="n"/>
      <c r="J751" s="139" t="n"/>
      <c r="K751" s="139" t="n"/>
      <c r="L751" s="139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</row>
    <row r="752" ht="45.75" customHeight="1" s="211">
      <c r="A752" s="139" t="n"/>
      <c r="B752" s="139" t="n"/>
      <c r="C752" s="139" t="n"/>
      <c r="D752" s="139" t="n"/>
      <c r="E752" s="139" t="n"/>
      <c r="F752" s="139" t="n"/>
      <c r="G752" s="55" t="n"/>
      <c r="H752" s="139" t="n"/>
      <c r="I752" s="139" t="n"/>
      <c r="J752" s="139" t="n"/>
      <c r="K752" s="139" t="n"/>
      <c r="L752" s="139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</row>
    <row r="753" ht="45.75" customHeight="1" s="211">
      <c r="A753" s="139" t="n"/>
      <c r="B753" s="139" t="n"/>
      <c r="C753" s="139" t="n"/>
      <c r="D753" s="139" t="n"/>
      <c r="E753" s="139" t="n"/>
      <c r="F753" s="139" t="n"/>
      <c r="G753" s="55" t="n"/>
      <c r="H753" s="139" t="n"/>
      <c r="I753" s="139" t="n"/>
      <c r="J753" s="139" t="n"/>
      <c r="K753" s="139" t="n"/>
      <c r="L753" s="139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</row>
    <row r="754" ht="45.75" customHeight="1" s="211">
      <c r="A754" s="139" t="n"/>
      <c r="B754" s="139" t="n"/>
      <c r="C754" s="139" t="n"/>
      <c r="D754" s="139" t="n"/>
      <c r="E754" s="139" t="n"/>
      <c r="F754" s="139" t="n"/>
      <c r="G754" s="55" t="n"/>
      <c r="H754" s="139" t="n"/>
      <c r="I754" s="139" t="n"/>
      <c r="J754" s="139" t="n"/>
      <c r="K754" s="139" t="n"/>
      <c r="L754" s="139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</row>
    <row r="755" ht="45.75" customHeight="1" s="211">
      <c r="A755" s="139" t="n"/>
      <c r="B755" s="139" t="n"/>
      <c r="C755" s="139" t="n"/>
      <c r="D755" s="139" t="n"/>
      <c r="E755" s="139" t="n"/>
      <c r="F755" s="139" t="n"/>
      <c r="G755" s="55" t="n"/>
      <c r="H755" s="139" t="n"/>
      <c r="I755" s="139" t="n"/>
      <c r="J755" s="139" t="n"/>
      <c r="K755" s="139" t="n"/>
      <c r="L755" s="139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</row>
    <row r="756" ht="45.75" customHeight="1" s="211">
      <c r="A756" s="139" t="n"/>
      <c r="B756" s="139" t="n"/>
      <c r="C756" s="139" t="n"/>
      <c r="D756" s="139" t="n"/>
      <c r="E756" s="139" t="n"/>
      <c r="F756" s="139" t="n"/>
      <c r="G756" s="55" t="n"/>
      <c r="H756" s="139" t="n"/>
      <c r="I756" s="139" t="n"/>
      <c r="J756" s="139" t="n"/>
      <c r="K756" s="139" t="n"/>
      <c r="L756" s="139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</row>
    <row r="757" ht="45.75" customHeight="1" s="211">
      <c r="A757" s="139" t="n"/>
      <c r="B757" s="139" t="n"/>
      <c r="C757" s="139" t="n"/>
      <c r="D757" s="139" t="n"/>
      <c r="E757" s="139" t="n"/>
      <c r="F757" s="139" t="n"/>
      <c r="G757" s="55" t="n"/>
      <c r="H757" s="139" t="n"/>
      <c r="I757" s="139" t="n"/>
      <c r="J757" s="139" t="n"/>
      <c r="K757" s="139" t="n"/>
      <c r="L757" s="139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</row>
    <row r="758" ht="45.75" customHeight="1" s="211">
      <c r="A758" s="139" t="n"/>
      <c r="B758" s="139" t="n"/>
      <c r="C758" s="139" t="n"/>
      <c r="D758" s="139" t="n"/>
      <c r="E758" s="139" t="n"/>
      <c r="F758" s="139" t="n"/>
      <c r="G758" s="55" t="n"/>
      <c r="H758" s="139" t="n"/>
      <c r="I758" s="139" t="n"/>
      <c r="J758" s="139" t="n"/>
      <c r="K758" s="139" t="n"/>
      <c r="L758" s="139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</row>
    <row r="759" ht="45.75" customHeight="1" s="211">
      <c r="A759" s="139" t="n"/>
      <c r="B759" s="139" t="n"/>
      <c r="C759" s="139" t="n"/>
      <c r="D759" s="139" t="n"/>
      <c r="E759" s="139" t="n"/>
      <c r="F759" s="139" t="n"/>
      <c r="G759" s="55" t="n"/>
      <c r="H759" s="139" t="n"/>
      <c r="I759" s="139" t="n"/>
      <c r="J759" s="139" t="n"/>
      <c r="K759" s="139" t="n"/>
      <c r="L759" s="139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</row>
    <row r="760" ht="45.75" customHeight="1" s="211">
      <c r="A760" s="139" t="n"/>
      <c r="B760" s="139" t="n"/>
      <c r="C760" s="139" t="n"/>
      <c r="D760" s="139" t="n"/>
      <c r="E760" s="139" t="n"/>
      <c r="F760" s="139" t="n"/>
      <c r="G760" s="55" t="n"/>
      <c r="H760" s="139" t="n"/>
      <c r="I760" s="139" t="n"/>
      <c r="J760" s="139" t="n"/>
      <c r="K760" s="139" t="n"/>
      <c r="L760" s="139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</row>
    <row r="761" ht="45.75" customHeight="1" s="211">
      <c r="A761" s="139" t="n"/>
      <c r="B761" s="139" t="n"/>
      <c r="C761" s="139" t="n"/>
      <c r="D761" s="139" t="n"/>
      <c r="E761" s="139" t="n"/>
      <c r="F761" s="139" t="n"/>
      <c r="G761" s="55" t="n"/>
      <c r="H761" s="139" t="n"/>
      <c r="I761" s="139" t="n"/>
      <c r="J761" s="139" t="n"/>
      <c r="K761" s="139" t="n"/>
      <c r="L761" s="139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</row>
    <row r="762" ht="45.75" customHeight="1" s="211">
      <c r="A762" s="139" t="n"/>
      <c r="B762" s="139" t="n"/>
      <c r="C762" s="139" t="n"/>
      <c r="D762" s="139" t="n"/>
      <c r="E762" s="139" t="n"/>
      <c r="F762" s="139" t="n"/>
      <c r="G762" s="55" t="n"/>
      <c r="H762" s="139" t="n"/>
      <c r="I762" s="139" t="n"/>
      <c r="J762" s="139" t="n"/>
      <c r="K762" s="139" t="n"/>
      <c r="L762" s="139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</row>
    <row r="763" ht="45.75" customHeight="1" s="211">
      <c r="A763" s="139" t="n"/>
      <c r="B763" s="139" t="n"/>
      <c r="C763" s="139" t="n"/>
      <c r="D763" s="139" t="n"/>
      <c r="E763" s="139" t="n"/>
      <c r="F763" s="139" t="n"/>
      <c r="G763" s="55" t="n"/>
      <c r="H763" s="139" t="n"/>
      <c r="I763" s="139" t="n"/>
      <c r="J763" s="139" t="n"/>
      <c r="K763" s="139" t="n"/>
      <c r="L763" s="139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</row>
    <row r="764" ht="45.75" customHeight="1" s="211">
      <c r="A764" s="139" t="n"/>
      <c r="B764" s="139" t="n"/>
      <c r="C764" s="139" t="n"/>
      <c r="D764" s="139" t="n"/>
      <c r="E764" s="139" t="n"/>
      <c r="F764" s="139" t="n"/>
      <c r="G764" s="55" t="n"/>
      <c r="H764" s="139" t="n"/>
      <c r="I764" s="139" t="n"/>
      <c r="J764" s="139" t="n"/>
      <c r="K764" s="139" t="n"/>
      <c r="L764" s="139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</row>
    <row r="765" ht="45.75" customHeight="1" s="211">
      <c r="A765" s="139" t="n"/>
      <c r="B765" s="139" t="n"/>
      <c r="C765" s="139" t="n"/>
      <c r="D765" s="139" t="n"/>
      <c r="E765" s="139" t="n"/>
      <c r="F765" s="139" t="n"/>
      <c r="G765" s="55" t="n"/>
      <c r="H765" s="139" t="n"/>
      <c r="I765" s="139" t="n"/>
      <c r="J765" s="139" t="n"/>
      <c r="K765" s="139" t="n"/>
      <c r="L765" s="139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</row>
    <row r="766" ht="45.75" customHeight="1" s="211">
      <c r="A766" s="139" t="n"/>
      <c r="B766" s="139" t="n"/>
      <c r="C766" s="139" t="n"/>
      <c r="D766" s="139" t="n"/>
      <c r="E766" s="139" t="n"/>
      <c r="F766" s="139" t="n"/>
      <c r="G766" s="55" t="n"/>
      <c r="H766" s="139" t="n"/>
      <c r="I766" s="139" t="n"/>
      <c r="J766" s="139" t="n"/>
      <c r="K766" s="139" t="n"/>
      <c r="L766" s="139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</row>
    <row r="767" ht="45.75" customHeight="1" s="211">
      <c r="A767" s="139" t="n"/>
      <c r="B767" s="139" t="n"/>
      <c r="C767" s="139" t="n"/>
      <c r="D767" s="139" t="n"/>
      <c r="E767" s="139" t="n"/>
      <c r="F767" s="139" t="n"/>
      <c r="G767" s="55" t="n"/>
      <c r="H767" s="139" t="n"/>
      <c r="I767" s="139" t="n"/>
      <c r="J767" s="139" t="n"/>
      <c r="K767" s="139" t="n"/>
      <c r="L767" s="139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</row>
    <row r="768" ht="45.75" customHeight="1" s="211">
      <c r="A768" s="139" t="n"/>
      <c r="B768" s="139" t="n"/>
      <c r="C768" s="139" t="n"/>
      <c r="D768" s="139" t="n"/>
      <c r="E768" s="139" t="n"/>
      <c r="F768" s="139" t="n"/>
      <c r="G768" s="55" t="n"/>
      <c r="H768" s="139" t="n"/>
      <c r="I768" s="139" t="n"/>
      <c r="J768" s="139" t="n"/>
      <c r="K768" s="139" t="n"/>
      <c r="L768" s="139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</row>
    <row r="769" ht="45.75" customHeight="1" s="211">
      <c r="A769" s="139" t="n"/>
      <c r="B769" s="139" t="n"/>
      <c r="C769" s="139" t="n"/>
      <c r="D769" s="139" t="n"/>
      <c r="E769" s="139" t="n"/>
      <c r="F769" s="139" t="n"/>
      <c r="G769" s="55" t="n"/>
      <c r="H769" s="139" t="n"/>
      <c r="I769" s="139" t="n"/>
      <c r="J769" s="139" t="n"/>
      <c r="K769" s="139" t="n"/>
      <c r="L769" s="139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</row>
    <row r="770" ht="45.75" customHeight="1" s="211">
      <c r="A770" s="139" t="n"/>
      <c r="B770" s="139" t="n"/>
      <c r="C770" s="139" t="n"/>
      <c r="D770" s="139" t="n"/>
      <c r="E770" s="139" t="n"/>
      <c r="F770" s="139" t="n"/>
      <c r="G770" s="55" t="n"/>
      <c r="H770" s="139" t="n"/>
      <c r="I770" s="139" t="n"/>
      <c r="J770" s="139" t="n"/>
      <c r="K770" s="139" t="n"/>
      <c r="L770" s="139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</row>
    <row r="771" ht="45.75" customHeight="1" s="211">
      <c r="A771" s="139" t="n"/>
      <c r="B771" s="139" t="n"/>
      <c r="C771" s="139" t="n"/>
      <c r="D771" s="139" t="n"/>
      <c r="E771" s="139" t="n"/>
      <c r="F771" s="139" t="n"/>
      <c r="G771" s="55" t="n"/>
      <c r="H771" s="139" t="n"/>
      <c r="I771" s="139" t="n"/>
      <c r="J771" s="139" t="n"/>
      <c r="K771" s="139" t="n"/>
      <c r="L771" s="139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</row>
    <row r="772" ht="45.75" customHeight="1" s="211">
      <c r="A772" s="139" t="n"/>
      <c r="B772" s="139" t="n"/>
      <c r="C772" s="139" t="n"/>
      <c r="D772" s="139" t="n"/>
      <c r="E772" s="139" t="n"/>
      <c r="F772" s="139" t="n"/>
      <c r="G772" s="55" t="n"/>
      <c r="H772" s="139" t="n"/>
      <c r="I772" s="139" t="n"/>
      <c r="J772" s="139" t="n"/>
      <c r="K772" s="139" t="n"/>
      <c r="L772" s="139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</row>
    <row r="773" ht="45.75" customHeight="1" s="211">
      <c r="A773" s="139" t="n"/>
      <c r="B773" s="139" t="n"/>
      <c r="C773" s="139" t="n"/>
      <c r="D773" s="139" t="n"/>
      <c r="E773" s="139" t="n"/>
      <c r="F773" s="139" t="n"/>
      <c r="G773" s="55" t="n"/>
      <c r="H773" s="139" t="n"/>
      <c r="I773" s="139" t="n"/>
      <c r="J773" s="139" t="n"/>
      <c r="K773" s="139" t="n"/>
      <c r="L773" s="139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</row>
    <row r="774" ht="45.75" customHeight="1" s="211">
      <c r="A774" s="139" t="n"/>
      <c r="B774" s="139" t="n"/>
      <c r="C774" s="139" t="n"/>
      <c r="D774" s="139" t="n"/>
      <c r="E774" s="139" t="n"/>
      <c r="F774" s="139" t="n"/>
      <c r="G774" s="55" t="n"/>
      <c r="H774" s="139" t="n"/>
      <c r="I774" s="139" t="n"/>
      <c r="J774" s="139" t="n"/>
      <c r="K774" s="139" t="n"/>
      <c r="L774" s="139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</row>
    <row r="775" ht="45.75" customHeight="1" s="211">
      <c r="A775" s="139" t="n"/>
      <c r="B775" s="139" t="n"/>
      <c r="C775" s="139" t="n"/>
      <c r="D775" s="139" t="n"/>
      <c r="E775" s="139" t="n"/>
      <c r="F775" s="139" t="n"/>
      <c r="G775" s="55" t="n"/>
      <c r="H775" s="139" t="n"/>
      <c r="I775" s="139" t="n"/>
      <c r="J775" s="139" t="n"/>
      <c r="K775" s="139" t="n"/>
      <c r="L775" s="139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</row>
    <row r="776" ht="45.75" customHeight="1" s="211">
      <c r="A776" s="139" t="n"/>
      <c r="B776" s="139" t="n"/>
      <c r="C776" s="139" t="n"/>
      <c r="D776" s="139" t="n"/>
      <c r="E776" s="139" t="n"/>
      <c r="F776" s="139" t="n"/>
      <c r="G776" s="55" t="n"/>
      <c r="H776" s="139" t="n"/>
      <c r="I776" s="139" t="n"/>
      <c r="J776" s="139" t="n"/>
      <c r="K776" s="139" t="n"/>
      <c r="L776" s="139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</row>
    <row r="777" ht="45.75" customHeight="1" s="211">
      <c r="A777" s="139" t="n"/>
      <c r="B777" s="139" t="n"/>
      <c r="C777" s="139" t="n"/>
      <c r="D777" s="139" t="n"/>
      <c r="E777" s="139" t="n"/>
      <c r="F777" s="139" t="n"/>
      <c r="G777" s="55" t="n"/>
      <c r="H777" s="139" t="n"/>
      <c r="I777" s="139" t="n"/>
      <c r="J777" s="139" t="n"/>
      <c r="K777" s="139" t="n"/>
      <c r="L777" s="139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</row>
    <row r="778" ht="45.75" customHeight="1" s="211">
      <c r="A778" s="139" t="n"/>
      <c r="B778" s="139" t="n"/>
      <c r="C778" s="139" t="n"/>
      <c r="D778" s="139" t="n"/>
      <c r="E778" s="139" t="n"/>
      <c r="F778" s="139" t="n"/>
      <c r="G778" s="55" t="n"/>
      <c r="H778" s="139" t="n"/>
      <c r="I778" s="139" t="n"/>
      <c r="J778" s="139" t="n"/>
      <c r="K778" s="139" t="n"/>
      <c r="L778" s="139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</row>
    <row r="779" ht="45.75" customHeight="1" s="211">
      <c r="A779" s="139" t="n"/>
      <c r="B779" s="139" t="n"/>
      <c r="C779" s="139" t="n"/>
      <c r="D779" s="139" t="n"/>
      <c r="E779" s="139" t="n"/>
      <c r="F779" s="139" t="n"/>
      <c r="G779" s="55" t="n"/>
      <c r="H779" s="139" t="n"/>
      <c r="I779" s="139" t="n"/>
      <c r="J779" s="139" t="n"/>
      <c r="K779" s="139" t="n"/>
      <c r="L779" s="139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</row>
    <row r="780" ht="45.75" customHeight="1" s="211">
      <c r="A780" s="139" t="n"/>
      <c r="B780" s="139" t="n"/>
      <c r="C780" s="139" t="n"/>
      <c r="D780" s="139" t="n"/>
      <c r="E780" s="139" t="n"/>
      <c r="F780" s="139" t="n"/>
      <c r="G780" s="55" t="n"/>
      <c r="H780" s="139" t="n"/>
      <c r="I780" s="139" t="n"/>
      <c r="J780" s="139" t="n"/>
      <c r="K780" s="139" t="n"/>
      <c r="L780" s="139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</row>
    <row r="781" ht="45.75" customHeight="1" s="211">
      <c r="A781" s="139" t="n"/>
      <c r="B781" s="139" t="n"/>
      <c r="C781" s="139" t="n"/>
      <c r="D781" s="139" t="n"/>
      <c r="E781" s="139" t="n"/>
      <c r="F781" s="139" t="n"/>
      <c r="G781" s="55" t="n"/>
      <c r="H781" s="139" t="n"/>
      <c r="I781" s="139" t="n"/>
      <c r="J781" s="139" t="n"/>
      <c r="K781" s="139" t="n"/>
      <c r="L781" s="139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</row>
    <row r="782" ht="45.75" customHeight="1" s="211">
      <c r="A782" s="139" t="n"/>
      <c r="B782" s="139" t="n"/>
      <c r="C782" s="139" t="n"/>
      <c r="D782" s="139" t="n"/>
      <c r="E782" s="139" t="n"/>
      <c r="F782" s="139" t="n"/>
      <c r="G782" s="55" t="n"/>
      <c r="H782" s="139" t="n"/>
      <c r="I782" s="139" t="n"/>
      <c r="J782" s="139" t="n"/>
      <c r="K782" s="139" t="n"/>
      <c r="L782" s="139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</row>
    <row r="783" ht="45.75" customHeight="1" s="211">
      <c r="A783" s="139" t="n"/>
      <c r="B783" s="139" t="n"/>
      <c r="C783" s="139" t="n"/>
      <c r="D783" s="139" t="n"/>
      <c r="E783" s="139" t="n"/>
      <c r="F783" s="139" t="n"/>
      <c r="G783" s="55" t="n"/>
      <c r="H783" s="139" t="n"/>
      <c r="I783" s="139" t="n"/>
      <c r="J783" s="139" t="n"/>
      <c r="K783" s="139" t="n"/>
      <c r="L783" s="139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</row>
    <row r="784" ht="45.75" customHeight="1" s="211">
      <c r="A784" s="139" t="n"/>
      <c r="B784" s="139" t="n"/>
      <c r="C784" s="139" t="n"/>
      <c r="D784" s="139" t="n"/>
      <c r="E784" s="139" t="n"/>
      <c r="F784" s="139" t="n"/>
      <c r="G784" s="55" t="n"/>
      <c r="H784" s="139" t="n"/>
      <c r="I784" s="139" t="n"/>
      <c r="J784" s="139" t="n"/>
      <c r="K784" s="139" t="n"/>
      <c r="L784" s="139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</row>
    <row r="785" ht="45.75" customHeight="1" s="211">
      <c r="A785" s="139" t="n"/>
      <c r="B785" s="139" t="n"/>
      <c r="C785" s="139" t="n"/>
      <c r="D785" s="139" t="n"/>
      <c r="E785" s="139" t="n"/>
      <c r="F785" s="139" t="n"/>
      <c r="G785" s="55" t="n"/>
      <c r="H785" s="139" t="n"/>
      <c r="I785" s="139" t="n"/>
      <c r="J785" s="139" t="n"/>
      <c r="K785" s="139" t="n"/>
      <c r="L785" s="139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</row>
    <row r="786" ht="45.75" customHeight="1" s="211">
      <c r="A786" s="139" t="n"/>
      <c r="B786" s="139" t="n"/>
      <c r="C786" s="139" t="n"/>
      <c r="D786" s="139" t="n"/>
      <c r="E786" s="139" t="n"/>
      <c r="F786" s="139" t="n"/>
      <c r="G786" s="55" t="n"/>
      <c r="H786" s="139" t="n"/>
      <c r="I786" s="139" t="n"/>
      <c r="J786" s="139" t="n"/>
      <c r="K786" s="139" t="n"/>
      <c r="L786" s="139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</row>
    <row r="787" ht="45.75" customHeight="1" s="211">
      <c r="A787" s="139" t="n"/>
      <c r="B787" s="139" t="n"/>
      <c r="C787" s="139" t="n"/>
      <c r="D787" s="139" t="n"/>
      <c r="E787" s="139" t="n"/>
      <c r="F787" s="139" t="n"/>
      <c r="G787" s="55" t="n"/>
      <c r="H787" s="139" t="n"/>
      <c r="I787" s="139" t="n"/>
      <c r="J787" s="139" t="n"/>
      <c r="K787" s="139" t="n"/>
      <c r="L787" s="139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</row>
    <row r="788" ht="45.75" customHeight="1" s="211">
      <c r="A788" s="139" t="n"/>
      <c r="B788" s="139" t="n"/>
      <c r="C788" s="139" t="n"/>
      <c r="D788" s="139" t="n"/>
      <c r="E788" s="139" t="n"/>
      <c r="F788" s="139" t="n"/>
      <c r="G788" s="55" t="n"/>
      <c r="H788" s="139" t="n"/>
      <c r="I788" s="139" t="n"/>
      <c r="J788" s="139" t="n"/>
      <c r="K788" s="139" t="n"/>
      <c r="L788" s="139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</row>
    <row r="789" ht="45.75" customHeight="1" s="211">
      <c r="A789" s="139" t="n"/>
      <c r="B789" s="139" t="n"/>
      <c r="C789" s="139" t="n"/>
      <c r="D789" s="139" t="n"/>
      <c r="E789" s="139" t="n"/>
      <c r="F789" s="139" t="n"/>
      <c r="G789" s="55" t="n"/>
      <c r="H789" s="139" t="n"/>
      <c r="I789" s="139" t="n"/>
      <c r="J789" s="139" t="n"/>
      <c r="K789" s="139" t="n"/>
      <c r="L789" s="139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</row>
    <row r="790" ht="45.75" customHeight="1" s="211">
      <c r="A790" s="139" t="n"/>
      <c r="B790" s="139" t="n"/>
      <c r="C790" s="139" t="n"/>
      <c r="D790" s="139" t="n"/>
      <c r="E790" s="139" t="n"/>
      <c r="F790" s="139" t="n"/>
      <c r="G790" s="55" t="n"/>
      <c r="H790" s="139" t="n"/>
      <c r="I790" s="139" t="n"/>
      <c r="J790" s="139" t="n"/>
      <c r="K790" s="139" t="n"/>
      <c r="L790" s="139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</row>
    <row r="791" ht="45.75" customHeight="1" s="211">
      <c r="A791" s="139" t="n"/>
      <c r="B791" s="139" t="n"/>
      <c r="C791" s="139" t="n"/>
      <c r="D791" s="139" t="n"/>
      <c r="E791" s="139" t="n"/>
      <c r="F791" s="139" t="n"/>
      <c r="G791" s="55" t="n"/>
      <c r="H791" s="139" t="n"/>
      <c r="I791" s="139" t="n"/>
      <c r="J791" s="139" t="n"/>
      <c r="K791" s="139" t="n"/>
      <c r="L791" s="139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</row>
    <row r="792" ht="45.75" customHeight="1" s="211">
      <c r="A792" s="139" t="n"/>
      <c r="B792" s="139" t="n"/>
      <c r="C792" s="139" t="n"/>
      <c r="D792" s="139" t="n"/>
      <c r="E792" s="139" t="n"/>
      <c r="F792" s="139" t="n"/>
      <c r="G792" s="55" t="n"/>
      <c r="H792" s="139" t="n"/>
      <c r="I792" s="139" t="n"/>
      <c r="J792" s="139" t="n"/>
      <c r="K792" s="139" t="n"/>
      <c r="L792" s="139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</row>
    <row r="793" ht="45.75" customHeight="1" s="211">
      <c r="A793" s="139" t="n"/>
      <c r="B793" s="139" t="n"/>
      <c r="C793" s="139" t="n"/>
      <c r="D793" s="139" t="n"/>
      <c r="E793" s="139" t="n"/>
      <c r="F793" s="139" t="n"/>
      <c r="G793" s="55" t="n"/>
      <c r="H793" s="139" t="n"/>
      <c r="I793" s="139" t="n"/>
      <c r="J793" s="139" t="n"/>
      <c r="K793" s="139" t="n"/>
      <c r="L793" s="139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</row>
    <row r="794" ht="45.75" customHeight="1" s="211">
      <c r="A794" s="139" t="n"/>
      <c r="B794" s="139" t="n"/>
      <c r="C794" s="139" t="n"/>
      <c r="D794" s="139" t="n"/>
      <c r="E794" s="139" t="n"/>
      <c r="F794" s="139" t="n"/>
      <c r="G794" s="55" t="n"/>
      <c r="H794" s="139" t="n"/>
      <c r="I794" s="139" t="n"/>
      <c r="J794" s="139" t="n"/>
      <c r="K794" s="139" t="n"/>
      <c r="L794" s="139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</row>
    <row r="795" ht="45.75" customHeight="1" s="211">
      <c r="A795" s="139" t="n"/>
      <c r="B795" s="139" t="n"/>
      <c r="C795" s="139" t="n"/>
      <c r="D795" s="139" t="n"/>
      <c r="E795" s="139" t="n"/>
      <c r="F795" s="139" t="n"/>
      <c r="G795" s="55" t="n"/>
      <c r="H795" s="139" t="n"/>
      <c r="I795" s="139" t="n"/>
      <c r="J795" s="139" t="n"/>
      <c r="K795" s="139" t="n"/>
      <c r="L795" s="139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</row>
    <row r="796" ht="45.75" customHeight="1" s="211">
      <c r="A796" s="139" t="n"/>
      <c r="B796" s="139" t="n"/>
      <c r="C796" s="139" t="n"/>
      <c r="D796" s="139" t="n"/>
      <c r="E796" s="139" t="n"/>
      <c r="F796" s="139" t="n"/>
      <c r="G796" s="55" t="n"/>
      <c r="H796" s="139" t="n"/>
      <c r="I796" s="139" t="n"/>
      <c r="J796" s="139" t="n"/>
      <c r="K796" s="139" t="n"/>
      <c r="L796" s="139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</row>
    <row r="797" ht="45.75" customHeight="1" s="211">
      <c r="A797" s="139" t="n"/>
      <c r="B797" s="139" t="n"/>
      <c r="C797" s="139" t="n"/>
      <c r="D797" s="139" t="n"/>
      <c r="E797" s="139" t="n"/>
      <c r="F797" s="139" t="n"/>
      <c r="G797" s="55" t="n"/>
      <c r="H797" s="139" t="n"/>
      <c r="I797" s="139" t="n"/>
      <c r="J797" s="139" t="n"/>
      <c r="K797" s="139" t="n"/>
      <c r="L797" s="139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</row>
    <row r="798" ht="45.75" customHeight="1" s="211">
      <c r="A798" s="139" t="n"/>
      <c r="B798" s="139" t="n"/>
      <c r="C798" s="139" t="n"/>
      <c r="D798" s="139" t="n"/>
      <c r="E798" s="139" t="n"/>
      <c r="F798" s="139" t="n"/>
      <c r="G798" s="55" t="n"/>
      <c r="H798" s="139" t="n"/>
      <c r="I798" s="139" t="n"/>
      <c r="J798" s="139" t="n"/>
      <c r="K798" s="139" t="n"/>
      <c r="L798" s="139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</row>
    <row r="799" ht="45.75" customHeight="1" s="211">
      <c r="A799" s="139" t="n"/>
      <c r="B799" s="139" t="n"/>
      <c r="C799" s="139" t="n"/>
      <c r="D799" s="139" t="n"/>
      <c r="E799" s="139" t="n"/>
      <c r="F799" s="139" t="n"/>
      <c r="G799" s="55" t="n"/>
      <c r="H799" s="139" t="n"/>
      <c r="I799" s="139" t="n"/>
      <c r="J799" s="139" t="n"/>
      <c r="K799" s="139" t="n"/>
      <c r="L799" s="139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</row>
    <row r="800" ht="45.75" customHeight="1" s="211">
      <c r="A800" s="139" t="n"/>
      <c r="B800" s="139" t="n"/>
      <c r="C800" s="139" t="n"/>
      <c r="D800" s="139" t="n"/>
      <c r="E800" s="139" t="n"/>
      <c r="F800" s="139" t="n"/>
      <c r="G800" s="55" t="n"/>
      <c r="H800" s="139" t="n"/>
      <c r="I800" s="139" t="n"/>
      <c r="J800" s="139" t="n"/>
      <c r="K800" s="139" t="n"/>
      <c r="L800" s="139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</row>
    <row r="801" ht="45.75" customHeight="1" s="211">
      <c r="A801" s="139" t="n"/>
      <c r="B801" s="139" t="n"/>
      <c r="C801" s="139" t="n"/>
      <c r="D801" s="139" t="n"/>
      <c r="E801" s="139" t="n"/>
      <c r="F801" s="139" t="n"/>
      <c r="G801" s="55" t="n"/>
      <c r="H801" s="139" t="n"/>
      <c r="I801" s="139" t="n"/>
      <c r="J801" s="139" t="n"/>
      <c r="K801" s="139" t="n"/>
      <c r="L801" s="139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</row>
    <row r="802" ht="45.75" customHeight="1" s="211">
      <c r="A802" s="139" t="n"/>
      <c r="B802" s="139" t="n"/>
      <c r="C802" s="139" t="n"/>
      <c r="D802" s="139" t="n"/>
      <c r="E802" s="139" t="n"/>
      <c r="F802" s="139" t="n"/>
      <c r="G802" s="55" t="n"/>
      <c r="H802" s="139" t="n"/>
      <c r="I802" s="139" t="n"/>
      <c r="J802" s="139" t="n"/>
      <c r="K802" s="139" t="n"/>
      <c r="L802" s="139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</row>
    <row r="803" ht="45.75" customHeight="1" s="211">
      <c r="A803" s="139" t="n"/>
      <c r="B803" s="139" t="n"/>
      <c r="C803" s="139" t="n"/>
      <c r="D803" s="139" t="n"/>
      <c r="E803" s="139" t="n"/>
      <c r="F803" s="139" t="n"/>
      <c r="G803" s="55" t="n"/>
      <c r="H803" s="139" t="n"/>
      <c r="I803" s="139" t="n"/>
      <c r="J803" s="139" t="n"/>
      <c r="K803" s="139" t="n"/>
      <c r="L803" s="139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</row>
    <row r="804" ht="45.75" customHeight="1" s="211">
      <c r="A804" s="139" t="n"/>
      <c r="B804" s="139" t="n"/>
      <c r="C804" s="139" t="n"/>
      <c r="D804" s="139" t="n"/>
      <c r="E804" s="139" t="n"/>
      <c r="F804" s="139" t="n"/>
      <c r="G804" s="55" t="n"/>
      <c r="H804" s="139" t="n"/>
      <c r="I804" s="139" t="n"/>
      <c r="J804" s="139" t="n"/>
      <c r="K804" s="139" t="n"/>
      <c r="L804" s="139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</row>
    <row r="805" ht="45.75" customHeight="1" s="211">
      <c r="A805" s="139" t="n"/>
      <c r="B805" s="139" t="n"/>
      <c r="C805" s="139" t="n"/>
      <c r="D805" s="139" t="n"/>
      <c r="E805" s="139" t="n"/>
      <c r="F805" s="139" t="n"/>
      <c r="G805" s="55" t="n"/>
      <c r="H805" s="139" t="n"/>
      <c r="I805" s="139" t="n"/>
      <c r="J805" s="139" t="n"/>
      <c r="K805" s="139" t="n"/>
      <c r="L805" s="139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</row>
    <row r="806" ht="45.75" customHeight="1" s="211">
      <c r="A806" s="139" t="n"/>
      <c r="B806" s="139" t="n"/>
      <c r="C806" s="139" t="n"/>
      <c r="D806" s="139" t="n"/>
      <c r="E806" s="139" t="n"/>
      <c r="F806" s="139" t="n"/>
      <c r="G806" s="55" t="n"/>
      <c r="H806" s="139" t="n"/>
      <c r="I806" s="139" t="n"/>
      <c r="J806" s="139" t="n"/>
      <c r="K806" s="139" t="n"/>
      <c r="L806" s="139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</row>
    <row r="807" ht="45.75" customHeight="1" s="211">
      <c r="A807" s="139" t="n"/>
      <c r="B807" s="139" t="n"/>
      <c r="C807" s="139" t="n"/>
      <c r="D807" s="139" t="n"/>
      <c r="E807" s="139" t="n"/>
      <c r="F807" s="139" t="n"/>
      <c r="G807" s="55" t="n"/>
      <c r="H807" s="139" t="n"/>
      <c r="I807" s="139" t="n"/>
      <c r="J807" s="139" t="n"/>
      <c r="K807" s="139" t="n"/>
      <c r="L807" s="139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</row>
    <row r="808" ht="45.75" customHeight="1" s="211">
      <c r="A808" s="139" t="n"/>
      <c r="B808" s="139" t="n"/>
      <c r="C808" s="139" t="n"/>
      <c r="D808" s="139" t="n"/>
      <c r="E808" s="139" t="n"/>
      <c r="F808" s="139" t="n"/>
      <c r="G808" s="55" t="n"/>
      <c r="H808" s="139" t="n"/>
      <c r="I808" s="139" t="n"/>
      <c r="J808" s="139" t="n"/>
      <c r="K808" s="139" t="n"/>
      <c r="L808" s="139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</row>
    <row r="809" ht="45.75" customHeight="1" s="211">
      <c r="A809" s="139" t="n"/>
      <c r="B809" s="139" t="n"/>
      <c r="C809" s="139" t="n"/>
      <c r="D809" s="139" t="n"/>
      <c r="E809" s="139" t="n"/>
      <c r="F809" s="139" t="n"/>
      <c r="G809" s="55" t="n"/>
      <c r="H809" s="139" t="n"/>
      <c r="I809" s="139" t="n"/>
      <c r="J809" s="139" t="n"/>
      <c r="K809" s="139" t="n"/>
      <c r="L809" s="139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</row>
    <row r="810" ht="45.75" customHeight="1" s="211">
      <c r="A810" s="139" t="n"/>
      <c r="B810" s="139" t="n"/>
      <c r="C810" s="139" t="n"/>
      <c r="D810" s="139" t="n"/>
      <c r="E810" s="139" t="n"/>
      <c r="F810" s="139" t="n"/>
      <c r="G810" s="55" t="n"/>
      <c r="H810" s="139" t="n"/>
      <c r="I810" s="139" t="n"/>
      <c r="J810" s="139" t="n"/>
      <c r="K810" s="139" t="n"/>
      <c r="L810" s="139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</row>
    <row r="811" ht="45.75" customHeight="1" s="211">
      <c r="A811" s="139" t="n"/>
      <c r="B811" s="139" t="n"/>
      <c r="C811" s="139" t="n"/>
      <c r="D811" s="139" t="n"/>
      <c r="E811" s="139" t="n"/>
      <c r="F811" s="139" t="n"/>
      <c r="G811" s="55" t="n"/>
      <c r="H811" s="139" t="n"/>
      <c r="I811" s="139" t="n"/>
      <c r="J811" s="139" t="n"/>
      <c r="K811" s="139" t="n"/>
      <c r="L811" s="139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</row>
    <row r="812" ht="45.75" customHeight="1" s="211">
      <c r="A812" s="139" t="n"/>
      <c r="B812" s="139" t="n"/>
      <c r="C812" s="139" t="n"/>
      <c r="D812" s="139" t="n"/>
      <c r="E812" s="139" t="n"/>
      <c r="F812" s="139" t="n"/>
      <c r="G812" s="55" t="n"/>
      <c r="H812" s="139" t="n"/>
      <c r="I812" s="139" t="n"/>
      <c r="J812" s="139" t="n"/>
      <c r="K812" s="139" t="n"/>
      <c r="L812" s="139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</row>
    <row r="813" ht="45.75" customHeight="1" s="211">
      <c r="A813" s="139" t="n"/>
      <c r="B813" s="139" t="n"/>
      <c r="C813" s="139" t="n"/>
      <c r="D813" s="139" t="n"/>
      <c r="E813" s="139" t="n"/>
      <c r="F813" s="139" t="n"/>
      <c r="G813" s="55" t="n"/>
      <c r="H813" s="139" t="n"/>
      <c r="I813" s="139" t="n"/>
      <c r="J813" s="139" t="n"/>
      <c r="K813" s="139" t="n"/>
      <c r="L813" s="139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</row>
    <row r="814" ht="45.75" customHeight="1" s="211">
      <c r="A814" s="139" t="n"/>
      <c r="B814" s="139" t="n"/>
      <c r="C814" s="139" t="n"/>
      <c r="D814" s="139" t="n"/>
      <c r="E814" s="139" t="n"/>
      <c r="F814" s="139" t="n"/>
      <c r="G814" s="55" t="n"/>
      <c r="H814" s="139" t="n"/>
      <c r="I814" s="139" t="n"/>
      <c r="J814" s="139" t="n"/>
      <c r="K814" s="139" t="n"/>
      <c r="L814" s="139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</row>
    <row r="815" ht="45.75" customHeight="1" s="211">
      <c r="A815" s="139" t="n"/>
      <c r="B815" s="139" t="n"/>
      <c r="C815" s="139" t="n"/>
      <c r="D815" s="139" t="n"/>
      <c r="E815" s="139" t="n"/>
      <c r="F815" s="139" t="n"/>
      <c r="G815" s="55" t="n"/>
      <c r="H815" s="139" t="n"/>
      <c r="I815" s="139" t="n"/>
      <c r="J815" s="139" t="n"/>
      <c r="K815" s="139" t="n"/>
      <c r="L815" s="139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</row>
    <row r="816" ht="45.75" customHeight="1" s="211">
      <c r="A816" s="139" t="n"/>
      <c r="B816" s="139" t="n"/>
      <c r="C816" s="139" t="n"/>
      <c r="D816" s="139" t="n"/>
      <c r="E816" s="139" t="n"/>
      <c r="F816" s="139" t="n"/>
      <c r="G816" s="55" t="n"/>
      <c r="H816" s="139" t="n"/>
      <c r="I816" s="139" t="n"/>
      <c r="J816" s="139" t="n"/>
      <c r="K816" s="139" t="n"/>
      <c r="L816" s="139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</row>
    <row r="817" ht="45.75" customHeight="1" s="211">
      <c r="A817" s="139" t="n"/>
      <c r="B817" s="139" t="n"/>
      <c r="C817" s="139" t="n"/>
      <c r="D817" s="139" t="n"/>
      <c r="E817" s="139" t="n"/>
      <c r="F817" s="139" t="n"/>
      <c r="G817" s="55" t="n"/>
      <c r="H817" s="139" t="n"/>
      <c r="I817" s="139" t="n"/>
      <c r="J817" s="139" t="n"/>
      <c r="K817" s="139" t="n"/>
      <c r="L817" s="139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</row>
    <row r="818" ht="45.75" customHeight="1" s="211">
      <c r="A818" s="139" t="n"/>
      <c r="B818" s="139" t="n"/>
      <c r="C818" s="139" t="n"/>
      <c r="D818" s="139" t="n"/>
      <c r="E818" s="139" t="n"/>
      <c r="F818" s="139" t="n"/>
      <c r="G818" s="55" t="n"/>
      <c r="H818" s="139" t="n"/>
      <c r="I818" s="139" t="n"/>
      <c r="J818" s="139" t="n"/>
      <c r="K818" s="139" t="n"/>
      <c r="L818" s="139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</row>
    <row r="819" ht="45.75" customHeight="1" s="211">
      <c r="A819" s="139" t="n"/>
      <c r="B819" s="139" t="n"/>
      <c r="C819" s="139" t="n"/>
      <c r="D819" s="139" t="n"/>
      <c r="E819" s="139" t="n"/>
      <c r="F819" s="139" t="n"/>
      <c r="G819" s="55" t="n"/>
      <c r="H819" s="139" t="n"/>
      <c r="I819" s="139" t="n"/>
      <c r="J819" s="139" t="n"/>
      <c r="K819" s="139" t="n"/>
      <c r="L819" s="139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</row>
    <row r="820" ht="45.75" customHeight="1" s="211">
      <c r="A820" s="139" t="n"/>
      <c r="B820" s="139" t="n"/>
      <c r="C820" s="139" t="n"/>
      <c r="D820" s="139" t="n"/>
      <c r="E820" s="139" t="n"/>
      <c r="F820" s="139" t="n"/>
      <c r="G820" s="55" t="n"/>
      <c r="H820" s="139" t="n"/>
      <c r="I820" s="139" t="n"/>
      <c r="J820" s="139" t="n"/>
      <c r="K820" s="139" t="n"/>
      <c r="L820" s="139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</row>
    <row r="821" ht="45.75" customHeight="1" s="211">
      <c r="A821" s="139" t="n"/>
      <c r="B821" s="139" t="n"/>
      <c r="C821" s="139" t="n"/>
      <c r="D821" s="139" t="n"/>
      <c r="E821" s="139" t="n"/>
      <c r="F821" s="139" t="n"/>
      <c r="G821" s="55" t="n"/>
      <c r="H821" s="139" t="n"/>
      <c r="I821" s="139" t="n"/>
      <c r="J821" s="139" t="n"/>
      <c r="K821" s="139" t="n"/>
      <c r="L821" s="139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</row>
    <row r="822" ht="45.75" customHeight="1" s="211">
      <c r="A822" s="139" t="n"/>
      <c r="B822" s="139" t="n"/>
      <c r="C822" s="139" t="n"/>
      <c r="D822" s="139" t="n"/>
      <c r="E822" s="139" t="n"/>
      <c r="F822" s="139" t="n"/>
      <c r="G822" s="55" t="n"/>
      <c r="H822" s="139" t="n"/>
      <c r="I822" s="139" t="n"/>
      <c r="J822" s="139" t="n"/>
      <c r="K822" s="139" t="n"/>
      <c r="L822" s="139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</row>
    <row r="823" ht="45.75" customHeight="1" s="211">
      <c r="A823" s="139" t="n"/>
      <c r="B823" s="139" t="n"/>
      <c r="C823" s="139" t="n"/>
      <c r="D823" s="139" t="n"/>
      <c r="E823" s="139" t="n"/>
      <c r="F823" s="139" t="n"/>
      <c r="G823" s="55" t="n"/>
      <c r="H823" s="139" t="n"/>
      <c r="I823" s="139" t="n"/>
      <c r="J823" s="139" t="n"/>
      <c r="K823" s="139" t="n"/>
      <c r="L823" s="139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</row>
    <row r="824" ht="45.75" customHeight="1" s="211">
      <c r="A824" s="139" t="n"/>
      <c r="B824" s="139" t="n"/>
      <c r="C824" s="139" t="n"/>
      <c r="D824" s="139" t="n"/>
      <c r="E824" s="139" t="n"/>
      <c r="F824" s="139" t="n"/>
      <c r="G824" s="55" t="n"/>
      <c r="H824" s="139" t="n"/>
      <c r="I824" s="139" t="n"/>
      <c r="J824" s="139" t="n"/>
      <c r="K824" s="139" t="n"/>
      <c r="L824" s="139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</row>
    <row r="825" ht="45.75" customHeight="1" s="211">
      <c r="A825" s="139" t="n"/>
      <c r="B825" s="139" t="n"/>
      <c r="C825" s="139" t="n"/>
      <c r="D825" s="139" t="n"/>
      <c r="E825" s="139" t="n"/>
      <c r="F825" s="139" t="n"/>
      <c r="G825" s="55" t="n"/>
      <c r="H825" s="139" t="n"/>
      <c r="I825" s="139" t="n"/>
      <c r="J825" s="139" t="n"/>
      <c r="K825" s="139" t="n"/>
      <c r="L825" s="139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</row>
    <row r="826" ht="45.75" customHeight="1" s="211">
      <c r="A826" s="139" t="n"/>
      <c r="B826" s="139" t="n"/>
      <c r="C826" s="139" t="n"/>
      <c r="D826" s="139" t="n"/>
      <c r="E826" s="139" t="n"/>
      <c r="F826" s="139" t="n"/>
      <c r="G826" s="55" t="n"/>
      <c r="H826" s="139" t="n"/>
      <c r="I826" s="139" t="n"/>
      <c r="J826" s="139" t="n"/>
      <c r="K826" s="139" t="n"/>
      <c r="L826" s="139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</row>
    <row r="827" ht="45.75" customHeight="1" s="211">
      <c r="A827" s="139" t="n"/>
      <c r="B827" s="139" t="n"/>
      <c r="C827" s="139" t="n"/>
      <c r="D827" s="139" t="n"/>
      <c r="E827" s="139" t="n"/>
      <c r="F827" s="139" t="n"/>
      <c r="G827" s="55" t="n"/>
      <c r="H827" s="139" t="n"/>
      <c r="I827" s="139" t="n"/>
      <c r="J827" s="139" t="n"/>
      <c r="K827" s="139" t="n"/>
      <c r="L827" s="139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</row>
    <row r="828" ht="45.75" customHeight="1" s="211">
      <c r="A828" s="139" t="n"/>
      <c r="B828" s="139" t="n"/>
      <c r="C828" s="139" t="n"/>
      <c r="D828" s="139" t="n"/>
      <c r="E828" s="139" t="n"/>
      <c r="F828" s="139" t="n"/>
      <c r="G828" s="55" t="n"/>
      <c r="H828" s="139" t="n"/>
      <c r="I828" s="139" t="n"/>
      <c r="J828" s="139" t="n"/>
      <c r="K828" s="139" t="n"/>
      <c r="L828" s="139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</row>
    <row r="829" ht="45.75" customHeight="1" s="211">
      <c r="A829" s="139" t="n"/>
      <c r="B829" s="139" t="n"/>
      <c r="C829" s="139" t="n"/>
      <c r="D829" s="139" t="n"/>
      <c r="E829" s="139" t="n"/>
      <c r="F829" s="139" t="n"/>
      <c r="G829" s="55" t="n"/>
      <c r="H829" s="139" t="n"/>
      <c r="I829" s="139" t="n"/>
      <c r="J829" s="139" t="n"/>
      <c r="K829" s="139" t="n"/>
      <c r="L829" s="139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</row>
    <row r="830" ht="45.75" customHeight="1" s="211">
      <c r="A830" s="139" t="n"/>
      <c r="B830" s="139" t="n"/>
      <c r="C830" s="139" t="n"/>
      <c r="D830" s="139" t="n"/>
      <c r="E830" s="139" t="n"/>
      <c r="F830" s="139" t="n"/>
      <c r="G830" s="55" t="n"/>
      <c r="H830" s="139" t="n"/>
      <c r="I830" s="139" t="n"/>
      <c r="J830" s="139" t="n"/>
      <c r="K830" s="139" t="n"/>
      <c r="L830" s="139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</row>
    <row r="831" ht="45.75" customHeight="1" s="211">
      <c r="A831" s="139" t="n"/>
      <c r="B831" s="139" t="n"/>
      <c r="C831" s="139" t="n"/>
      <c r="D831" s="139" t="n"/>
      <c r="E831" s="139" t="n"/>
      <c r="F831" s="139" t="n"/>
      <c r="G831" s="55" t="n"/>
      <c r="H831" s="139" t="n"/>
      <c r="I831" s="139" t="n"/>
      <c r="J831" s="139" t="n"/>
      <c r="K831" s="139" t="n"/>
      <c r="L831" s="139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</row>
    <row r="832" ht="45.75" customHeight="1" s="211">
      <c r="A832" s="139" t="n"/>
      <c r="B832" s="139" t="n"/>
      <c r="C832" s="139" t="n"/>
      <c r="D832" s="139" t="n"/>
      <c r="E832" s="139" t="n"/>
      <c r="F832" s="139" t="n"/>
      <c r="G832" s="55" t="n"/>
      <c r="H832" s="139" t="n"/>
      <c r="I832" s="139" t="n"/>
      <c r="J832" s="139" t="n"/>
      <c r="K832" s="139" t="n"/>
      <c r="L832" s="139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</row>
    <row r="833" ht="45.75" customHeight="1" s="211">
      <c r="A833" s="139" t="n"/>
      <c r="B833" s="139" t="n"/>
      <c r="C833" s="139" t="n"/>
      <c r="D833" s="139" t="n"/>
      <c r="E833" s="139" t="n"/>
      <c r="F833" s="139" t="n"/>
      <c r="G833" s="55" t="n"/>
      <c r="H833" s="139" t="n"/>
      <c r="I833" s="139" t="n"/>
      <c r="J833" s="139" t="n"/>
      <c r="K833" s="139" t="n"/>
      <c r="L833" s="139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</row>
    <row r="834" ht="45.75" customHeight="1" s="211">
      <c r="A834" s="139" t="n"/>
      <c r="B834" s="139" t="n"/>
      <c r="C834" s="139" t="n"/>
      <c r="D834" s="139" t="n"/>
      <c r="E834" s="139" t="n"/>
      <c r="F834" s="139" t="n"/>
      <c r="G834" s="55" t="n"/>
      <c r="H834" s="139" t="n"/>
      <c r="I834" s="139" t="n"/>
      <c r="J834" s="139" t="n"/>
      <c r="K834" s="139" t="n"/>
      <c r="L834" s="139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</row>
    <row r="835" ht="45.75" customHeight="1" s="211">
      <c r="A835" s="139" t="n"/>
      <c r="B835" s="139" t="n"/>
      <c r="C835" s="139" t="n"/>
      <c r="D835" s="139" t="n"/>
      <c r="E835" s="139" t="n"/>
      <c r="F835" s="139" t="n"/>
      <c r="G835" s="55" t="n"/>
      <c r="H835" s="139" t="n"/>
      <c r="I835" s="139" t="n"/>
      <c r="J835" s="139" t="n"/>
      <c r="K835" s="139" t="n"/>
      <c r="L835" s="139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</row>
    <row r="836" ht="45.75" customHeight="1" s="211">
      <c r="A836" s="139" t="n"/>
      <c r="B836" s="139" t="n"/>
      <c r="C836" s="139" t="n"/>
      <c r="D836" s="139" t="n"/>
      <c r="E836" s="139" t="n"/>
      <c r="F836" s="139" t="n"/>
      <c r="G836" s="55" t="n"/>
      <c r="H836" s="139" t="n"/>
      <c r="I836" s="139" t="n"/>
      <c r="J836" s="139" t="n"/>
      <c r="K836" s="139" t="n"/>
      <c r="L836" s="139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</row>
    <row r="837" ht="45.75" customHeight="1" s="211">
      <c r="A837" s="139" t="n"/>
      <c r="B837" s="139" t="n"/>
      <c r="C837" s="139" t="n"/>
      <c r="D837" s="139" t="n"/>
      <c r="E837" s="139" t="n"/>
      <c r="F837" s="139" t="n"/>
      <c r="G837" s="55" t="n"/>
      <c r="H837" s="139" t="n"/>
      <c r="I837" s="139" t="n"/>
      <c r="J837" s="139" t="n"/>
      <c r="K837" s="139" t="n"/>
      <c r="L837" s="139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</row>
    <row r="838" ht="45.75" customHeight="1" s="211">
      <c r="A838" s="139" t="n"/>
      <c r="B838" s="139" t="n"/>
      <c r="C838" s="139" t="n"/>
      <c r="D838" s="139" t="n"/>
      <c r="E838" s="139" t="n"/>
      <c r="F838" s="139" t="n"/>
      <c r="G838" s="55" t="n"/>
      <c r="H838" s="139" t="n"/>
      <c r="I838" s="139" t="n"/>
      <c r="J838" s="139" t="n"/>
      <c r="K838" s="139" t="n"/>
      <c r="L838" s="139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</row>
    <row r="839" ht="45.75" customHeight="1" s="211">
      <c r="A839" s="139" t="n"/>
      <c r="B839" s="139" t="n"/>
      <c r="C839" s="139" t="n"/>
      <c r="D839" s="139" t="n"/>
      <c r="E839" s="139" t="n"/>
      <c r="F839" s="139" t="n"/>
      <c r="G839" s="55" t="n"/>
      <c r="H839" s="139" t="n"/>
      <c r="I839" s="139" t="n"/>
      <c r="J839" s="139" t="n"/>
      <c r="K839" s="139" t="n"/>
      <c r="L839" s="139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</row>
    <row r="840" ht="45.75" customHeight="1" s="211">
      <c r="A840" s="139" t="n"/>
      <c r="B840" s="139" t="n"/>
      <c r="C840" s="139" t="n"/>
      <c r="D840" s="139" t="n"/>
      <c r="E840" s="139" t="n"/>
      <c r="F840" s="139" t="n"/>
      <c r="G840" s="55" t="n"/>
      <c r="H840" s="139" t="n"/>
      <c r="I840" s="139" t="n"/>
      <c r="J840" s="139" t="n"/>
      <c r="K840" s="139" t="n"/>
      <c r="L840" s="139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</row>
    <row r="841" ht="45.75" customHeight="1" s="211">
      <c r="A841" s="139" t="n"/>
      <c r="B841" s="139" t="n"/>
      <c r="C841" s="139" t="n"/>
      <c r="D841" s="139" t="n"/>
      <c r="E841" s="139" t="n"/>
      <c r="F841" s="139" t="n"/>
      <c r="G841" s="55" t="n"/>
      <c r="H841" s="139" t="n"/>
      <c r="I841" s="139" t="n"/>
      <c r="J841" s="139" t="n"/>
      <c r="K841" s="139" t="n"/>
      <c r="L841" s="139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</row>
    <row r="842" ht="45.75" customHeight="1" s="211">
      <c r="A842" s="139" t="n"/>
      <c r="B842" s="139" t="n"/>
      <c r="C842" s="139" t="n"/>
      <c r="D842" s="139" t="n"/>
      <c r="E842" s="139" t="n"/>
      <c r="F842" s="139" t="n"/>
      <c r="G842" s="55" t="n"/>
      <c r="H842" s="139" t="n"/>
      <c r="I842" s="139" t="n"/>
      <c r="J842" s="139" t="n"/>
      <c r="K842" s="139" t="n"/>
      <c r="L842" s="139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</row>
    <row r="843" ht="45.75" customHeight="1" s="211">
      <c r="A843" s="139" t="n"/>
      <c r="B843" s="139" t="n"/>
      <c r="C843" s="139" t="n"/>
      <c r="D843" s="139" t="n"/>
      <c r="E843" s="139" t="n"/>
      <c r="F843" s="139" t="n"/>
      <c r="G843" s="55" t="n"/>
      <c r="H843" s="139" t="n"/>
      <c r="I843" s="139" t="n"/>
      <c r="J843" s="139" t="n"/>
      <c r="K843" s="139" t="n"/>
      <c r="L843" s="139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</row>
    <row r="844" ht="45.75" customHeight="1" s="211">
      <c r="A844" s="139" t="n"/>
      <c r="B844" s="139" t="n"/>
      <c r="C844" s="139" t="n"/>
      <c r="D844" s="139" t="n"/>
      <c r="E844" s="139" t="n"/>
      <c r="F844" s="139" t="n"/>
      <c r="G844" s="55" t="n"/>
      <c r="H844" s="139" t="n"/>
      <c r="I844" s="139" t="n"/>
      <c r="J844" s="139" t="n"/>
      <c r="K844" s="139" t="n"/>
      <c r="L844" s="139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</row>
    <row r="845" ht="45.75" customHeight="1" s="211">
      <c r="A845" s="139" t="n"/>
      <c r="B845" s="139" t="n"/>
      <c r="C845" s="139" t="n"/>
      <c r="D845" s="139" t="n"/>
      <c r="E845" s="139" t="n"/>
      <c r="F845" s="139" t="n"/>
      <c r="G845" s="55" t="n"/>
      <c r="H845" s="139" t="n"/>
      <c r="I845" s="139" t="n"/>
      <c r="J845" s="139" t="n"/>
      <c r="K845" s="139" t="n"/>
      <c r="L845" s="139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</row>
    <row r="846" ht="45.75" customHeight="1" s="211">
      <c r="A846" s="139" t="n"/>
      <c r="B846" s="139" t="n"/>
      <c r="C846" s="139" t="n"/>
      <c r="D846" s="139" t="n"/>
      <c r="E846" s="139" t="n"/>
      <c r="F846" s="139" t="n"/>
      <c r="G846" s="55" t="n"/>
      <c r="H846" s="139" t="n"/>
      <c r="I846" s="139" t="n"/>
      <c r="J846" s="139" t="n"/>
      <c r="K846" s="139" t="n"/>
      <c r="L846" s="139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</row>
    <row r="847" ht="45.75" customHeight="1" s="211">
      <c r="A847" s="139" t="n"/>
      <c r="B847" s="139" t="n"/>
      <c r="C847" s="139" t="n"/>
      <c r="D847" s="139" t="n"/>
      <c r="E847" s="139" t="n"/>
      <c r="F847" s="139" t="n"/>
      <c r="G847" s="55" t="n"/>
      <c r="H847" s="139" t="n"/>
      <c r="I847" s="139" t="n"/>
      <c r="J847" s="139" t="n"/>
      <c r="K847" s="139" t="n"/>
      <c r="L847" s="139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</row>
    <row r="848" ht="45.75" customHeight="1" s="211">
      <c r="A848" s="139" t="n"/>
      <c r="B848" s="139" t="n"/>
      <c r="C848" s="139" t="n"/>
      <c r="D848" s="139" t="n"/>
      <c r="E848" s="139" t="n"/>
      <c r="F848" s="139" t="n"/>
      <c r="G848" s="55" t="n"/>
      <c r="H848" s="139" t="n"/>
      <c r="I848" s="139" t="n"/>
      <c r="J848" s="139" t="n"/>
      <c r="K848" s="139" t="n"/>
      <c r="L848" s="139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</row>
    <row r="849" ht="45.75" customHeight="1" s="211">
      <c r="A849" s="139" t="n"/>
      <c r="B849" s="139" t="n"/>
      <c r="C849" s="139" t="n"/>
      <c r="D849" s="139" t="n"/>
      <c r="E849" s="139" t="n"/>
      <c r="F849" s="139" t="n"/>
      <c r="G849" s="55" t="n"/>
      <c r="H849" s="139" t="n"/>
      <c r="I849" s="139" t="n"/>
      <c r="J849" s="139" t="n"/>
      <c r="K849" s="139" t="n"/>
      <c r="L849" s="139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</row>
    <row r="850" ht="45.75" customHeight="1" s="211">
      <c r="A850" s="139" t="n"/>
      <c r="B850" s="139" t="n"/>
      <c r="C850" s="139" t="n"/>
      <c r="D850" s="139" t="n"/>
      <c r="E850" s="139" t="n"/>
      <c r="F850" s="139" t="n"/>
      <c r="G850" s="55" t="n"/>
      <c r="H850" s="139" t="n"/>
      <c r="I850" s="139" t="n"/>
      <c r="J850" s="139" t="n"/>
      <c r="K850" s="139" t="n"/>
      <c r="L850" s="139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</row>
    <row r="851" ht="45.75" customHeight="1" s="211">
      <c r="A851" s="139" t="n"/>
      <c r="B851" s="139" t="n"/>
      <c r="C851" s="139" t="n"/>
      <c r="D851" s="139" t="n"/>
      <c r="E851" s="139" t="n"/>
      <c r="F851" s="139" t="n"/>
      <c r="G851" s="55" t="n"/>
      <c r="H851" s="139" t="n"/>
      <c r="I851" s="139" t="n"/>
      <c r="J851" s="139" t="n"/>
      <c r="K851" s="139" t="n"/>
      <c r="L851" s="139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</row>
    <row r="852" ht="45.75" customHeight="1" s="211">
      <c r="A852" s="139" t="n"/>
      <c r="B852" s="139" t="n"/>
      <c r="C852" s="139" t="n"/>
      <c r="D852" s="139" t="n"/>
      <c r="E852" s="139" t="n"/>
      <c r="F852" s="139" t="n"/>
      <c r="G852" s="55" t="n"/>
      <c r="H852" s="139" t="n"/>
      <c r="I852" s="139" t="n"/>
      <c r="J852" s="139" t="n"/>
      <c r="K852" s="139" t="n"/>
      <c r="L852" s="139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</row>
    <row r="853" ht="45.75" customHeight="1" s="211">
      <c r="A853" s="139" t="n"/>
      <c r="B853" s="139" t="n"/>
      <c r="C853" s="139" t="n"/>
      <c r="D853" s="139" t="n"/>
      <c r="E853" s="139" t="n"/>
      <c r="F853" s="139" t="n"/>
      <c r="G853" s="55" t="n"/>
      <c r="H853" s="139" t="n"/>
      <c r="I853" s="139" t="n"/>
      <c r="J853" s="139" t="n"/>
      <c r="K853" s="139" t="n"/>
      <c r="L853" s="139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</row>
    <row r="854" ht="45.75" customHeight="1" s="211">
      <c r="A854" s="139" t="n"/>
      <c r="B854" s="139" t="n"/>
      <c r="C854" s="139" t="n"/>
      <c r="D854" s="139" t="n"/>
      <c r="E854" s="139" t="n"/>
      <c r="F854" s="139" t="n"/>
      <c r="G854" s="55" t="n"/>
      <c r="H854" s="139" t="n"/>
      <c r="I854" s="139" t="n"/>
      <c r="J854" s="139" t="n"/>
      <c r="K854" s="139" t="n"/>
      <c r="L854" s="139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</row>
    <row r="855" ht="45.75" customHeight="1" s="211">
      <c r="A855" s="139" t="n"/>
      <c r="B855" s="139" t="n"/>
      <c r="C855" s="139" t="n"/>
      <c r="D855" s="139" t="n"/>
      <c r="E855" s="139" t="n"/>
      <c r="F855" s="139" t="n"/>
      <c r="G855" s="55" t="n"/>
      <c r="H855" s="139" t="n"/>
      <c r="I855" s="139" t="n"/>
      <c r="J855" s="139" t="n"/>
      <c r="K855" s="139" t="n"/>
      <c r="L855" s="139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</row>
    <row r="856" ht="45.75" customHeight="1" s="211">
      <c r="A856" s="139" t="n"/>
      <c r="B856" s="139" t="n"/>
      <c r="C856" s="139" t="n"/>
      <c r="D856" s="139" t="n"/>
      <c r="E856" s="139" t="n"/>
      <c r="F856" s="139" t="n"/>
      <c r="G856" s="55" t="n"/>
      <c r="H856" s="139" t="n"/>
      <c r="I856" s="139" t="n"/>
      <c r="J856" s="139" t="n"/>
      <c r="K856" s="139" t="n"/>
      <c r="L856" s="139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</row>
    <row r="857" ht="45.75" customHeight="1" s="211">
      <c r="A857" s="139" t="n"/>
      <c r="B857" s="139" t="n"/>
      <c r="C857" s="139" t="n"/>
      <c r="D857" s="139" t="n"/>
      <c r="E857" s="139" t="n"/>
      <c r="F857" s="139" t="n"/>
      <c r="G857" s="55" t="n"/>
      <c r="H857" s="139" t="n"/>
      <c r="I857" s="139" t="n"/>
      <c r="J857" s="139" t="n"/>
      <c r="K857" s="139" t="n"/>
      <c r="L857" s="139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</row>
    <row r="858" ht="45.75" customHeight="1" s="211">
      <c r="A858" s="139" t="n"/>
      <c r="B858" s="139" t="n"/>
      <c r="C858" s="139" t="n"/>
      <c r="D858" s="139" t="n"/>
      <c r="E858" s="139" t="n"/>
      <c r="F858" s="139" t="n"/>
      <c r="G858" s="55" t="n"/>
      <c r="H858" s="139" t="n"/>
      <c r="I858" s="139" t="n"/>
      <c r="J858" s="139" t="n"/>
      <c r="K858" s="139" t="n"/>
      <c r="L858" s="139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</row>
    <row r="859" ht="45.75" customHeight="1" s="211">
      <c r="A859" s="139" t="n"/>
      <c r="B859" s="139" t="n"/>
      <c r="C859" s="139" t="n"/>
      <c r="D859" s="139" t="n"/>
      <c r="E859" s="139" t="n"/>
      <c r="F859" s="139" t="n"/>
      <c r="G859" s="55" t="n"/>
      <c r="H859" s="139" t="n"/>
      <c r="I859" s="139" t="n"/>
      <c r="J859" s="139" t="n"/>
      <c r="K859" s="139" t="n"/>
      <c r="L859" s="139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</row>
    <row r="860" ht="45.75" customHeight="1" s="211">
      <c r="A860" s="139" t="n"/>
      <c r="B860" s="139" t="n"/>
      <c r="C860" s="139" t="n"/>
      <c r="D860" s="139" t="n"/>
      <c r="E860" s="139" t="n"/>
      <c r="F860" s="139" t="n"/>
      <c r="G860" s="55" t="n"/>
      <c r="H860" s="139" t="n"/>
      <c r="I860" s="139" t="n"/>
      <c r="J860" s="139" t="n"/>
      <c r="K860" s="139" t="n"/>
      <c r="L860" s="139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</row>
    <row r="861" ht="45.75" customHeight="1" s="211">
      <c r="A861" s="139" t="n"/>
      <c r="B861" s="139" t="n"/>
      <c r="C861" s="139" t="n"/>
      <c r="D861" s="139" t="n"/>
      <c r="E861" s="139" t="n"/>
      <c r="F861" s="139" t="n"/>
      <c r="G861" s="55" t="n"/>
      <c r="H861" s="139" t="n"/>
      <c r="I861" s="139" t="n"/>
      <c r="J861" s="139" t="n"/>
      <c r="K861" s="139" t="n"/>
      <c r="L861" s="139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</row>
    <row r="862" ht="45.75" customHeight="1" s="211">
      <c r="A862" s="139" t="n"/>
      <c r="B862" s="139" t="n"/>
      <c r="C862" s="139" t="n"/>
      <c r="D862" s="139" t="n"/>
      <c r="E862" s="139" t="n"/>
      <c r="F862" s="139" t="n"/>
      <c r="G862" s="55" t="n"/>
      <c r="H862" s="139" t="n"/>
      <c r="I862" s="139" t="n"/>
      <c r="J862" s="139" t="n"/>
      <c r="K862" s="139" t="n"/>
      <c r="L862" s="139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</row>
    <row r="863" ht="45.75" customHeight="1" s="211">
      <c r="A863" s="139" t="n"/>
      <c r="B863" s="139" t="n"/>
      <c r="C863" s="139" t="n"/>
      <c r="D863" s="139" t="n"/>
      <c r="E863" s="139" t="n"/>
      <c r="F863" s="139" t="n"/>
      <c r="G863" s="55" t="n"/>
      <c r="H863" s="139" t="n"/>
      <c r="I863" s="139" t="n"/>
      <c r="J863" s="139" t="n"/>
      <c r="K863" s="139" t="n"/>
      <c r="L863" s="139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</row>
    <row r="864" ht="45.75" customHeight="1" s="211">
      <c r="A864" s="139" t="n"/>
      <c r="B864" s="139" t="n"/>
      <c r="C864" s="139" t="n"/>
      <c r="D864" s="139" t="n"/>
      <c r="E864" s="139" t="n"/>
      <c r="F864" s="139" t="n"/>
      <c r="G864" s="55" t="n"/>
      <c r="H864" s="139" t="n"/>
      <c r="I864" s="139" t="n"/>
      <c r="J864" s="139" t="n"/>
      <c r="K864" s="139" t="n"/>
      <c r="L864" s="139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</row>
    <row r="865" ht="45.75" customHeight="1" s="211">
      <c r="A865" s="139" t="n"/>
      <c r="B865" s="139" t="n"/>
      <c r="C865" s="139" t="n"/>
      <c r="D865" s="139" t="n"/>
      <c r="E865" s="139" t="n"/>
      <c r="F865" s="139" t="n"/>
      <c r="G865" s="55" t="n"/>
      <c r="H865" s="139" t="n"/>
      <c r="I865" s="139" t="n"/>
      <c r="J865" s="139" t="n"/>
      <c r="K865" s="139" t="n"/>
      <c r="L865" s="139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</row>
    <row r="866" ht="45.75" customHeight="1" s="211">
      <c r="A866" s="139" t="n"/>
      <c r="B866" s="139" t="n"/>
      <c r="C866" s="139" t="n"/>
      <c r="D866" s="139" t="n"/>
      <c r="E866" s="139" t="n"/>
      <c r="F866" s="139" t="n"/>
      <c r="G866" s="55" t="n"/>
      <c r="H866" s="139" t="n"/>
      <c r="I866" s="139" t="n"/>
      <c r="J866" s="139" t="n"/>
      <c r="K866" s="139" t="n"/>
      <c r="L866" s="139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</row>
    <row r="867" ht="45.75" customHeight="1" s="211">
      <c r="A867" s="139" t="n"/>
      <c r="B867" s="139" t="n"/>
      <c r="C867" s="139" t="n"/>
      <c r="D867" s="139" t="n"/>
      <c r="E867" s="139" t="n"/>
      <c r="F867" s="139" t="n"/>
      <c r="G867" s="55" t="n"/>
      <c r="H867" s="139" t="n"/>
      <c r="I867" s="139" t="n"/>
      <c r="J867" s="139" t="n"/>
      <c r="K867" s="139" t="n"/>
      <c r="L867" s="139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</row>
    <row r="868" ht="45.75" customHeight="1" s="211">
      <c r="A868" s="139" t="n"/>
      <c r="B868" s="139" t="n"/>
      <c r="C868" s="139" t="n"/>
      <c r="D868" s="139" t="n"/>
      <c r="E868" s="139" t="n"/>
      <c r="F868" s="139" t="n"/>
      <c r="G868" s="55" t="n"/>
      <c r="H868" s="139" t="n"/>
      <c r="I868" s="139" t="n"/>
      <c r="J868" s="139" t="n"/>
      <c r="K868" s="139" t="n"/>
      <c r="L868" s="139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</row>
    <row r="869" ht="45.75" customHeight="1" s="211">
      <c r="A869" s="139" t="n"/>
      <c r="B869" s="139" t="n"/>
      <c r="C869" s="139" t="n"/>
      <c r="D869" s="139" t="n"/>
      <c r="E869" s="139" t="n"/>
      <c r="F869" s="139" t="n"/>
      <c r="G869" s="55" t="n"/>
      <c r="H869" s="139" t="n"/>
      <c r="I869" s="139" t="n"/>
      <c r="J869" s="139" t="n"/>
      <c r="K869" s="139" t="n"/>
      <c r="L869" s="139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</row>
    <row r="870" ht="45.75" customHeight="1" s="211">
      <c r="A870" s="139" t="n"/>
      <c r="B870" s="139" t="n"/>
      <c r="C870" s="139" t="n"/>
      <c r="D870" s="139" t="n"/>
      <c r="E870" s="139" t="n"/>
      <c r="F870" s="139" t="n"/>
      <c r="G870" s="55" t="n"/>
      <c r="H870" s="139" t="n"/>
      <c r="I870" s="139" t="n"/>
      <c r="J870" s="139" t="n"/>
      <c r="K870" s="139" t="n"/>
      <c r="L870" s="139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</row>
    <row r="871" ht="45.75" customHeight="1" s="211">
      <c r="A871" s="139" t="n"/>
      <c r="B871" s="139" t="n"/>
      <c r="C871" s="139" t="n"/>
      <c r="D871" s="139" t="n"/>
      <c r="E871" s="139" t="n"/>
      <c r="F871" s="139" t="n"/>
      <c r="G871" s="55" t="n"/>
      <c r="H871" s="139" t="n"/>
      <c r="I871" s="139" t="n"/>
      <c r="J871" s="139" t="n"/>
      <c r="K871" s="139" t="n"/>
      <c r="L871" s="139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</row>
    <row r="872" ht="45.75" customHeight="1" s="211">
      <c r="A872" s="139" t="n"/>
      <c r="B872" s="139" t="n"/>
      <c r="C872" s="139" t="n"/>
      <c r="D872" s="139" t="n"/>
      <c r="E872" s="139" t="n"/>
      <c r="F872" s="139" t="n"/>
      <c r="G872" s="55" t="n"/>
      <c r="H872" s="139" t="n"/>
      <c r="I872" s="139" t="n"/>
      <c r="J872" s="139" t="n"/>
      <c r="K872" s="139" t="n"/>
      <c r="L872" s="139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</row>
    <row r="873" ht="45.75" customHeight="1" s="211">
      <c r="A873" s="139" t="n"/>
      <c r="B873" s="139" t="n"/>
      <c r="C873" s="139" t="n"/>
      <c r="D873" s="139" t="n"/>
      <c r="E873" s="139" t="n"/>
      <c r="F873" s="139" t="n"/>
      <c r="G873" s="55" t="n"/>
      <c r="H873" s="139" t="n"/>
      <c r="I873" s="139" t="n"/>
      <c r="J873" s="139" t="n"/>
      <c r="K873" s="139" t="n"/>
      <c r="L873" s="139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</row>
    <row r="874" ht="45.75" customHeight="1" s="211">
      <c r="A874" s="139" t="n"/>
      <c r="B874" s="139" t="n"/>
      <c r="C874" s="139" t="n"/>
      <c r="D874" s="139" t="n"/>
      <c r="E874" s="139" t="n"/>
      <c r="F874" s="139" t="n"/>
      <c r="G874" s="55" t="n"/>
      <c r="H874" s="139" t="n"/>
      <c r="I874" s="139" t="n"/>
      <c r="J874" s="139" t="n"/>
      <c r="K874" s="139" t="n"/>
      <c r="L874" s="139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</row>
    <row r="875" ht="45.75" customHeight="1" s="211">
      <c r="A875" s="139" t="n"/>
      <c r="B875" s="139" t="n"/>
      <c r="C875" s="139" t="n"/>
      <c r="D875" s="139" t="n"/>
      <c r="E875" s="139" t="n"/>
      <c r="F875" s="139" t="n"/>
      <c r="G875" s="55" t="n"/>
      <c r="H875" s="139" t="n"/>
      <c r="I875" s="139" t="n"/>
      <c r="J875" s="139" t="n"/>
      <c r="K875" s="139" t="n"/>
      <c r="L875" s="139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</row>
    <row r="876" ht="45.75" customHeight="1" s="211">
      <c r="A876" s="139" t="n"/>
      <c r="B876" s="139" t="n"/>
      <c r="C876" s="139" t="n"/>
      <c r="D876" s="139" t="n"/>
      <c r="E876" s="139" t="n"/>
      <c r="F876" s="139" t="n"/>
      <c r="G876" s="55" t="n"/>
      <c r="H876" s="139" t="n"/>
      <c r="I876" s="139" t="n"/>
      <c r="J876" s="139" t="n"/>
      <c r="K876" s="139" t="n"/>
      <c r="L876" s="139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</row>
    <row r="877" ht="45.75" customHeight="1" s="211">
      <c r="A877" s="139" t="n"/>
      <c r="B877" s="139" t="n"/>
      <c r="C877" s="139" t="n"/>
      <c r="D877" s="139" t="n"/>
      <c r="E877" s="139" t="n"/>
      <c r="F877" s="139" t="n"/>
      <c r="G877" s="55" t="n"/>
      <c r="H877" s="139" t="n"/>
      <c r="I877" s="139" t="n"/>
      <c r="J877" s="139" t="n"/>
      <c r="K877" s="139" t="n"/>
      <c r="L877" s="139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</row>
    <row r="878" ht="45.75" customHeight="1" s="211">
      <c r="A878" s="139" t="n"/>
      <c r="B878" s="139" t="n"/>
      <c r="C878" s="139" t="n"/>
      <c r="D878" s="139" t="n"/>
      <c r="E878" s="139" t="n"/>
      <c r="F878" s="139" t="n"/>
      <c r="G878" s="55" t="n"/>
      <c r="H878" s="139" t="n"/>
      <c r="I878" s="139" t="n"/>
      <c r="J878" s="139" t="n"/>
      <c r="K878" s="139" t="n"/>
      <c r="L878" s="139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</row>
    <row r="879" ht="45.75" customHeight="1" s="211">
      <c r="A879" s="139" t="n"/>
      <c r="B879" s="139" t="n"/>
      <c r="C879" s="139" t="n"/>
      <c r="D879" s="139" t="n"/>
      <c r="E879" s="139" t="n"/>
      <c r="F879" s="139" t="n"/>
      <c r="G879" s="55" t="n"/>
      <c r="H879" s="139" t="n"/>
      <c r="I879" s="139" t="n"/>
      <c r="J879" s="139" t="n"/>
      <c r="K879" s="139" t="n"/>
      <c r="L879" s="139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</row>
    <row r="880" ht="45.75" customHeight="1" s="211">
      <c r="A880" s="139" t="n"/>
      <c r="B880" s="139" t="n"/>
      <c r="C880" s="139" t="n"/>
      <c r="D880" s="139" t="n"/>
      <c r="E880" s="139" t="n"/>
      <c r="F880" s="139" t="n"/>
      <c r="G880" s="55" t="n"/>
      <c r="H880" s="139" t="n"/>
      <c r="I880" s="139" t="n"/>
      <c r="J880" s="139" t="n"/>
      <c r="K880" s="139" t="n"/>
      <c r="L880" s="139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</row>
    <row r="881" ht="45.75" customHeight="1" s="211">
      <c r="A881" s="139" t="n"/>
      <c r="B881" s="139" t="n"/>
      <c r="C881" s="139" t="n"/>
      <c r="D881" s="139" t="n"/>
      <c r="E881" s="139" t="n"/>
      <c r="F881" s="139" t="n"/>
      <c r="G881" s="55" t="n"/>
      <c r="H881" s="139" t="n"/>
      <c r="I881" s="139" t="n"/>
      <c r="J881" s="139" t="n"/>
      <c r="K881" s="139" t="n"/>
      <c r="L881" s="139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</row>
    <row r="882" ht="45.75" customHeight="1" s="211">
      <c r="A882" s="139" t="n"/>
      <c r="B882" s="139" t="n"/>
      <c r="C882" s="139" t="n"/>
      <c r="D882" s="139" t="n"/>
      <c r="E882" s="139" t="n"/>
      <c r="F882" s="139" t="n"/>
      <c r="G882" s="55" t="n"/>
      <c r="H882" s="139" t="n"/>
      <c r="I882" s="139" t="n"/>
      <c r="J882" s="139" t="n"/>
      <c r="K882" s="139" t="n"/>
      <c r="L882" s="139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</row>
    <row r="883" ht="45.75" customHeight="1" s="211">
      <c r="A883" s="139" t="n"/>
      <c r="B883" s="139" t="n"/>
      <c r="C883" s="139" t="n"/>
      <c r="D883" s="139" t="n"/>
      <c r="E883" s="139" t="n"/>
      <c r="F883" s="139" t="n"/>
      <c r="G883" s="55" t="n"/>
      <c r="H883" s="139" t="n"/>
      <c r="I883" s="139" t="n"/>
      <c r="J883" s="139" t="n"/>
      <c r="K883" s="139" t="n"/>
      <c r="L883" s="139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</row>
    <row r="884" ht="45.75" customHeight="1" s="211">
      <c r="A884" s="139" t="n"/>
      <c r="B884" s="139" t="n"/>
      <c r="C884" s="139" t="n"/>
      <c r="D884" s="139" t="n"/>
      <c r="E884" s="139" t="n"/>
      <c r="F884" s="139" t="n"/>
      <c r="G884" s="55" t="n"/>
      <c r="H884" s="139" t="n"/>
      <c r="I884" s="139" t="n"/>
      <c r="J884" s="139" t="n"/>
      <c r="K884" s="139" t="n"/>
      <c r="L884" s="139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</row>
    <row r="885" ht="45.75" customHeight="1" s="211">
      <c r="A885" s="139" t="n"/>
      <c r="B885" s="139" t="n"/>
      <c r="C885" s="139" t="n"/>
      <c r="D885" s="139" t="n"/>
      <c r="E885" s="139" t="n"/>
      <c r="F885" s="139" t="n"/>
      <c r="G885" s="55" t="n"/>
      <c r="H885" s="139" t="n"/>
      <c r="I885" s="139" t="n"/>
      <c r="J885" s="139" t="n"/>
      <c r="K885" s="139" t="n"/>
      <c r="L885" s="139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</row>
    <row r="886" ht="45.75" customHeight="1" s="211">
      <c r="A886" s="139" t="n"/>
      <c r="B886" s="139" t="n"/>
      <c r="C886" s="139" t="n"/>
      <c r="D886" s="139" t="n"/>
      <c r="E886" s="139" t="n"/>
      <c r="F886" s="139" t="n"/>
      <c r="G886" s="55" t="n"/>
      <c r="H886" s="139" t="n"/>
      <c r="I886" s="139" t="n"/>
      <c r="J886" s="139" t="n"/>
      <c r="K886" s="139" t="n"/>
      <c r="L886" s="139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</row>
    <row r="887" ht="45.75" customHeight="1" s="211">
      <c r="A887" s="139" t="n"/>
      <c r="B887" s="139" t="n"/>
      <c r="C887" s="139" t="n"/>
      <c r="D887" s="139" t="n"/>
      <c r="E887" s="139" t="n"/>
      <c r="F887" s="139" t="n"/>
      <c r="G887" s="55" t="n"/>
      <c r="H887" s="139" t="n"/>
      <c r="I887" s="139" t="n"/>
      <c r="J887" s="139" t="n"/>
      <c r="K887" s="139" t="n"/>
      <c r="L887" s="139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</row>
    <row r="888" ht="45.75" customHeight="1" s="211">
      <c r="A888" s="139" t="n"/>
      <c r="B888" s="139" t="n"/>
      <c r="C888" s="139" t="n"/>
      <c r="D888" s="139" t="n"/>
      <c r="E888" s="139" t="n"/>
      <c r="F888" s="139" t="n"/>
      <c r="G888" s="55" t="n"/>
      <c r="H888" s="139" t="n"/>
      <c r="I888" s="139" t="n"/>
      <c r="J888" s="139" t="n"/>
      <c r="K888" s="139" t="n"/>
      <c r="L888" s="139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</row>
    <row r="889" ht="45.75" customHeight="1" s="211">
      <c r="A889" s="139" t="n"/>
      <c r="B889" s="139" t="n"/>
      <c r="C889" s="139" t="n"/>
      <c r="D889" s="139" t="n"/>
      <c r="E889" s="139" t="n"/>
      <c r="F889" s="139" t="n"/>
      <c r="G889" s="55" t="n"/>
      <c r="H889" s="139" t="n"/>
      <c r="I889" s="139" t="n"/>
      <c r="J889" s="139" t="n"/>
      <c r="K889" s="139" t="n"/>
      <c r="L889" s="139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</row>
    <row r="890" ht="45.75" customHeight="1" s="211">
      <c r="A890" s="139" t="n"/>
      <c r="B890" s="139" t="n"/>
      <c r="C890" s="139" t="n"/>
      <c r="D890" s="139" t="n"/>
      <c r="E890" s="139" t="n"/>
      <c r="F890" s="139" t="n"/>
      <c r="G890" s="55" t="n"/>
      <c r="H890" s="139" t="n"/>
      <c r="I890" s="139" t="n"/>
      <c r="J890" s="139" t="n"/>
      <c r="K890" s="139" t="n"/>
      <c r="L890" s="139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</row>
    <row r="891" ht="45.75" customHeight="1" s="211">
      <c r="A891" s="139" t="n"/>
      <c r="B891" s="139" t="n"/>
      <c r="C891" s="139" t="n"/>
      <c r="D891" s="139" t="n"/>
      <c r="E891" s="139" t="n"/>
      <c r="F891" s="139" t="n"/>
      <c r="G891" s="55" t="n"/>
      <c r="H891" s="139" t="n"/>
      <c r="I891" s="139" t="n"/>
      <c r="J891" s="139" t="n"/>
      <c r="K891" s="139" t="n"/>
      <c r="L891" s="139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</row>
    <row r="892" ht="45.75" customHeight="1" s="211">
      <c r="A892" s="139" t="n"/>
      <c r="B892" s="139" t="n"/>
      <c r="C892" s="139" t="n"/>
      <c r="D892" s="139" t="n"/>
      <c r="E892" s="139" t="n"/>
      <c r="F892" s="139" t="n"/>
      <c r="G892" s="55" t="n"/>
      <c r="H892" s="139" t="n"/>
      <c r="I892" s="139" t="n"/>
      <c r="J892" s="139" t="n"/>
      <c r="K892" s="139" t="n"/>
      <c r="L892" s="139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</row>
    <row r="893" ht="45.75" customHeight="1" s="211">
      <c r="A893" s="139" t="n"/>
      <c r="B893" s="139" t="n"/>
      <c r="C893" s="139" t="n"/>
      <c r="D893" s="139" t="n"/>
      <c r="E893" s="139" t="n"/>
      <c r="F893" s="139" t="n"/>
      <c r="G893" s="55" t="n"/>
      <c r="H893" s="139" t="n"/>
      <c r="I893" s="139" t="n"/>
      <c r="J893" s="139" t="n"/>
      <c r="K893" s="139" t="n"/>
      <c r="L893" s="139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</row>
    <row r="894" ht="45.75" customHeight="1" s="211">
      <c r="A894" s="139" t="n"/>
      <c r="B894" s="139" t="n"/>
      <c r="C894" s="139" t="n"/>
      <c r="D894" s="139" t="n"/>
      <c r="E894" s="139" t="n"/>
      <c r="F894" s="139" t="n"/>
      <c r="G894" s="55" t="n"/>
      <c r="H894" s="139" t="n"/>
      <c r="I894" s="139" t="n"/>
      <c r="J894" s="139" t="n"/>
      <c r="K894" s="139" t="n"/>
      <c r="L894" s="139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</row>
    <row r="895" ht="45.75" customHeight="1" s="211">
      <c r="A895" s="139" t="n"/>
      <c r="B895" s="139" t="n"/>
      <c r="C895" s="139" t="n"/>
      <c r="D895" s="139" t="n"/>
      <c r="E895" s="139" t="n"/>
      <c r="F895" s="139" t="n"/>
      <c r="G895" s="55" t="n"/>
      <c r="H895" s="139" t="n"/>
      <c r="I895" s="139" t="n"/>
      <c r="J895" s="139" t="n"/>
      <c r="K895" s="139" t="n"/>
      <c r="L895" s="139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</row>
    <row r="896" ht="45.75" customHeight="1" s="211">
      <c r="A896" s="139" t="n"/>
      <c r="B896" s="139" t="n"/>
      <c r="C896" s="139" t="n"/>
      <c r="D896" s="139" t="n"/>
      <c r="E896" s="139" t="n"/>
      <c r="F896" s="139" t="n"/>
      <c r="G896" s="55" t="n"/>
      <c r="H896" s="139" t="n"/>
      <c r="I896" s="139" t="n"/>
      <c r="J896" s="139" t="n"/>
      <c r="K896" s="139" t="n"/>
      <c r="L896" s="139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</row>
    <row r="897" ht="45.75" customHeight="1" s="211">
      <c r="A897" s="139" t="n"/>
      <c r="B897" s="139" t="n"/>
      <c r="C897" s="139" t="n"/>
      <c r="D897" s="139" t="n"/>
      <c r="E897" s="139" t="n"/>
      <c r="F897" s="139" t="n"/>
      <c r="G897" s="55" t="n"/>
      <c r="H897" s="139" t="n"/>
      <c r="I897" s="139" t="n"/>
      <c r="J897" s="139" t="n"/>
      <c r="K897" s="139" t="n"/>
      <c r="L897" s="139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</row>
    <row r="898" ht="45.75" customHeight="1" s="211">
      <c r="A898" s="139" t="n"/>
      <c r="B898" s="139" t="n"/>
      <c r="C898" s="139" t="n"/>
      <c r="D898" s="139" t="n"/>
      <c r="E898" s="139" t="n"/>
      <c r="F898" s="139" t="n"/>
      <c r="G898" s="55" t="n"/>
      <c r="H898" s="139" t="n"/>
      <c r="I898" s="139" t="n"/>
      <c r="J898" s="139" t="n"/>
      <c r="K898" s="139" t="n"/>
      <c r="L898" s="139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</row>
    <row r="899" ht="45.75" customHeight="1" s="211">
      <c r="A899" s="139" t="n"/>
      <c r="B899" s="139" t="n"/>
      <c r="C899" s="139" t="n"/>
      <c r="D899" s="139" t="n"/>
      <c r="E899" s="139" t="n"/>
      <c r="F899" s="139" t="n"/>
      <c r="G899" s="55" t="n"/>
      <c r="H899" s="139" t="n"/>
      <c r="I899" s="139" t="n"/>
      <c r="J899" s="139" t="n"/>
      <c r="K899" s="139" t="n"/>
      <c r="L899" s="139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</row>
    <row r="900" ht="45.75" customHeight="1" s="211">
      <c r="A900" s="139" t="n"/>
      <c r="B900" s="139" t="n"/>
      <c r="C900" s="139" t="n"/>
      <c r="D900" s="139" t="n"/>
      <c r="E900" s="139" t="n"/>
      <c r="F900" s="139" t="n"/>
      <c r="G900" s="55" t="n"/>
      <c r="H900" s="139" t="n"/>
      <c r="I900" s="139" t="n"/>
      <c r="J900" s="139" t="n"/>
      <c r="K900" s="139" t="n"/>
      <c r="L900" s="139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</row>
    <row r="901" ht="45.75" customHeight="1" s="211">
      <c r="A901" s="139" t="n"/>
      <c r="B901" s="139" t="n"/>
      <c r="C901" s="139" t="n"/>
      <c r="D901" s="139" t="n"/>
      <c r="E901" s="139" t="n"/>
      <c r="F901" s="139" t="n"/>
      <c r="G901" s="55" t="n"/>
      <c r="H901" s="139" t="n"/>
      <c r="I901" s="139" t="n"/>
      <c r="J901" s="139" t="n"/>
      <c r="K901" s="139" t="n"/>
      <c r="L901" s="139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</row>
    <row r="902" ht="45.75" customHeight="1" s="211">
      <c r="A902" s="139" t="n"/>
      <c r="B902" s="139" t="n"/>
      <c r="C902" s="139" t="n"/>
      <c r="D902" s="139" t="n"/>
      <c r="E902" s="139" t="n"/>
      <c r="F902" s="139" t="n"/>
      <c r="G902" s="55" t="n"/>
      <c r="H902" s="139" t="n"/>
      <c r="I902" s="139" t="n"/>
      <c r="J902" s="139" t="n"/>
      <c r="K902" s="139" t="n"/>
      <c r="L902" s="139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</row>
    <row r="903" ht="45.75" customHeight="1" s="211">
      <c r="A903" s="139" t="n"/>
      <c r="B903" s="139" t="n"/>
      <c r="C903" s="139" t="n"/>
      <c r="D903" s="139" t="n"/>
      <c r="E903" s="139" t="n"/>
      <c r="F903" s="139" t="n"/>
      <c r="G903" s="55" t="n"/>
      <c r="H903" s="139" t="n"/>
      <c r="I903" s="139" t="n"/>
      <c r="J903" s="139" t="n"/>
      <c r="K903" s="139" t="n"/>
      <c r="L903" s="139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</row>
    <row r="904" ht="45.75" customHeight="1" s="211">
      <c r="A904" s="139" t="n"/>
      <c r="B904" s="139" t="n"/>
      <c r="C904" s="139" t="n"/>
      <c r="D904" s="139" t="n"/>
      <c r="E904" s="139" t="n"/>
      <c r="F904" s="139" t="n"/>
      <c r="G904" s="55" t="n"/>
      <c r="H904" s="139" t="n"/>
      <c r="I904" s="139" t="n"/>
      <c r="J904" s="139" t="n"/>
      <c r="K904" s="139" t="n"/>
      <c r="L904" s="139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</row>
    <row r="905" ht="45.75" customHeight="1" s="211">
      <c r="A905" s="139" t="n"/>
      <c r="B905" s="139" t="n"/>
      <c r="C905" s="139" t="n"/>
      <c r="D905" s="139" t="n"/>
      <c r="E905" s="139" t="n"/>
      <c r="F905" s="139" t="n"/>
      <c r="G905" s="55" t="n"/>
      <c r="H905" s="139" t="n"/>
      <c r="I905" s="139" t="n"/>
      <c r="J905" s="139" t="n"/>
      <c r="K905" s="139" t="n"/>
      <c r="L905" s="139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</row>
    <row r="906" ht="45.75" customHeight="1" s="211">
      <c r="A906" s="139" t="n"/>
      <c r="B906" s="139" t="n"/>
      <c r="C906" s="139" t="n"/>
      <c r="D906" s="139" t="n"/>
      <c r="E906" s="139" t="n"/>
      <c r="F906" s="139" t="n"/>
      <c r="G906" s="55" t="n"/>
      <c r="H906" s="139" t="n"/>
      <c r="I906" s="139" t="n"/>
      <c r="J906" s="139" t="n"/>
      <c r="K906" s="139" t="n"/>
      <c r="L906" s="139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</row>
    <row r="907" ht="45.75" customHeight="1" s="211">
      <c r="A907" s="139" t="n"/>
      <c r="B907" s="139" t="n"/>
      <c r="C907" s="139" t="n"/>
      <c r="D907" s="139" t="n"/>
      <c r="E907" s="139" t="n"/>
      <c r="F907" s="139" t="n"/>
      <c r="G907" s="55" t="n"/>
      <c r="H907" s="139" t="n"/>
      <c r="I907" s="139" t="n"/>
      <c r="J907" s="139" t="n"/>
      <c r="K907" s="139" t="n"/>
      <c r="L907" s="139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</row>
    <row r="908" ht="45.75" customHeight="1" s="211">
      <c r="A908" s="139" t="n"/>
      <c r="B908" s="139" t="n"/>
      <c r="C908" s="139" t="n"/>
      <c r="D908" s="139" t="n"/>
      <c r="E908" s="139" t="n"/>
      <c r="F908" s="139" t="n"/>
      <c r="G908" s="55" t="n"/>
      <c r="H908" s="139" t="n"/>
      <c r="I908" s="139" t="n"/>
      <c r="J908" s="139" t="n"/>
      <c r="K908" s="139" t="n"/>
      <c r="L908" s="139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</row>
    <row r="909" ht="45.75" customHeight="1" s="211">
      <c r="A909" s="139" t="n"/>
      <c r="B909" s="139" t="n"/>
      <c r="C909" s="139" t="n"/>
      <c r="D909" s="139" t="n"/>
      <c r="E909" s="139" t="n"/>
      <c r="F909" s="139" t="n"/>
      <c r="G909" s="55" t="n"/>
      <c r="H909" s="139" t="n"/>
      <c r="I909" s="139" t="n"/>
      <c r="J909" s="139" t="n"/>
      <c r="K909" s="139" t="n"/>
      <c r="L909" s="139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</row>
    <row r="910" ht="45.75" customHeight="1" s="211">
      <c r="A910" s="139" t="n"/>
      <c r="B910" s="139" t="n"/>
      <c r="C910" s="139" t="n"/>
      <c r="D910" s="139" t="n"/>
      <c r="E910" s="139" t="n"/>
      <c r="F910" s="139" t="n"/>
      <c r="G910" s="55" t="n"/>
      <c r="H910" s="139" t="n"/>
      <c r="I910" s="139" t="n"/>
      <c r="J910" s="139" t="n"/>
      <c r="K910" s="139" t="n"/>
      <c r="L910" s="139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</row>
    <row r="911" ht="45.75" customHeight="1" s="211">
      <c r="A911" s="139" t="n"/>
      <c r="B911" s="139" t="n"/>
      <c r="C911" s="139" t="n"/>
      <c r="D911" s="139" t="n"/>
      <c r="E911" s="139" t="n"/>
      <c r="F911" s="139" t="n"/>
      <c r="G911" s="55" t="n"/>
      <c r="H911" s="139" t="n"/>
      <c r="I911" s="139" t="n"/>
      <c r="J911" s="139" t="n"/>
      <c r="K911" s="139" t="n"/>
      <c r="L911" s="139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</row>
    <row r="912" ht="45.75" customHeight="1" s="211">
      <c r="A912" s="139" t="n"/>
      <c r="B912" s="139" t="n"/>
      <c r="C912" s="139" t="n"/>
      <c r="D912" s="139" t="n"/>
      <c r="E912" s="139" t="n"/>
      <c r="F912" s="139" t="n"/>
      <c r="G912" s="55" t="n"/>
      <c r="H912" s="139" t="n"/>
      <c r="I912" s="139" t="n"/>
      <c r="J912" s="139" t="n"/>
      <c r="K912" s="139" t="n"/>
      <c r="L912" s="139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</row>
    <row r="913" ht="45.75" customHeight="1" s="211">
      <c r="A913" s="139" t="n"/>
      <c r="B913" s="139" t="n"/>
      <c r="C913" s="139" t="n"/>
      <c r="D913" s="139" t="n"/>
      <c r="E913" s="139" t="n"/>
      <c r="F913" s="139" t="n"/>
      <c r="G913" s="55" t="n"/>
      <c r="H913" s="139" t="n"/>
      <c r="I913" s="139" t="n"/>
      <c r="J913" s="139" t="n"/>
      <c r="K913" s="139" t="n"/>
      <c r="L913" s="139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</row>
    <row r="914" ht="45.75" customHeight="1" s="211">
      <c r="A914" s="139" t="n"/>
      <c r="B914" s="139" t="n"/>
      <c r="C914" s="139" t="n"/>
      <c r="D914" s="139" t="n"/>
      <c r="E914" s="139" t="n"/>
      <c r="F914" s="139" t="n"/>
      <c r="G914" s="55" t="n"/>
      <c r="H914" s="139" t="n"/>
      <c r="I914" s="139" t="n"/>
      <c r="J914" s="139" t="n"/>
      <c r="K914" s="139" t="n"/>
      <c r="L914" s="139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</row>
    <row r="915" ht="45.75" customHeight="1" s="211">
      <c r="A915" s="139" t="n"/>
      <c r="B915" s="139" t="n"/>
      <c r="C915" s="139" t="n"/>
      <c r="D915" s="139" t="n"/>
      <c r="E915" s="139" t="n"/>
      <c r="F915" s="139" t="n"/>
      <c r="G915" s="55" t="n"/>
      <c r="H915" s="139" t="n"/>
      <c r="I915" s="139" t="n"/>
      <c r="J915" s="139" t="n"/>
      <c r="K915" s="139" t="n"/>
      <c r="L915" s="139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</row>
    <row r="916" ht="45.75" customHeight="1" s="211">
      <c r="A916" s="139" t="n"/>
      <c r="B916" s="139" t="n"/>
      <c r="C916" s="139" t="n"/>
      <c r="D916" s="139" t="n"/>
      <c r="E916" s="139" t="n"/>
      <c r="F916" s="139" t="n"/>
      <c r="G916" s="55" t="n"/>
      <c r="H916" s="139" t="n"/>
      <c r="I916" s="139" t="n"/>
      <c r="J916" s="139" t="n"/>
      <c r="K916" s="139" t="n"/>
      <c r="L916" s="139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</row>
    <row r="917" ht="45.75" customHeight="1" s="211">
      <c r="A917" s="139" t="n"/>
      <c r="B917" s="139" t="n"/>
      <c r="C917" s="139" t="n"/>
      <c r="D917" s="139" t="n"/>
      <c r="E917" s="139" t="n"/>
      <c r="F917" s="139" t="n"/>
      <c r="G917" s="55" t="n"/>
      <c r="H917" s="139" t="n"/>
      <c r="I917" s="139" t="n"/>
      <c r="J917" s="139" t="n"/>
      <c r="K917" s="139" t="n"/>
      <c r="L917" s="139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</row>
    <row r="918" ht="45.75" customHeight="1" s="211">
      <c r="A918" s="139" t="n"/>
      <c r="B918" s="139" t="n"/>
      <c r="C918" s="139" t="n"/>
      <c r="D918" s="139" t="n"/>
      <c r="E918" s="139" t="n"/>
      <c r="F918" s="139" t="n"/>
      <c r="G918" s="55" t="n"/>
      <c r="H918" s="139" t="n"/>
      <c r="I918" s="139" t="n"/>
      <c r="J918" s="139" t="n"/>
      <c r="K918" s="139" t="n"/>
      <c r="L918" s="139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</row>
    <row r="919" ht="45.75" customHeight="1" s="211">
      <c r="A919" s="139" t="n"/>
      <c r="B919" s="139" t="n"/>
      <c r="C919" s="139" t="n"/>
      <c r="D919" s="139" t="n"/>
      <c r="E919" s="139" t="n"/>
      <c r="F919" s="139" t="n"/>
      <c r="G919" s="55" t="n"/>
      <c r="H919" s="139" t="n"/>
      <c r="I919" s="139" t="n"/>
      <c r="J919" s="139" t="n"/>
      <c r="K919" s="139" t="n"/>
      <c r="L919" s="139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</row>
    <row r="920" ht="45.75" customHeight="1" s="211">
      <c r="A920" s="139" t="n"/>
      <c r="B920" s="139" t="n"/>
      <c r="C920" s="139" t="n"/>
      <c r="D920" s="139" t="n"/>
      <c r="E920" s="139" t="n"/>
      <c r="F920" s="139" t="n"/>
      <c r="G920" s="55" t="n"/>
      <c r="H920" s="139" t="n"/>
      <c r="I920" s="139" t="n"/>
      <c r="J920" s="139" t="n"/>
      <c r="K920" s="139" t="n"/>
      <c r="L920" s="139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</row>
    <row r="921" ht="45.75" customHeight="1" s="211">
      <c r="A921" s="139" t="n"/>
      <c r="B921" s="139" t="n"/>
      <c r="C921" s="139" t="n"/>
      <c r="D921" s="139" t="n"/>
      <c r="E921" s="139" t="n"/>
      <c r="F921" s="139" t="n"/>
      <c r="G921" s="55" t="n"/>
      <c r="H921" s="139" t="n"/>
      <c r="I921" s="139" t="n"/>
      <c r="J921" s="139" t="n"/>
      <c r="K921" s="139" t="n"/>
      <c r="L921" s="139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</row>
    <row r="922" ht="45.75" customHeight="1" s="211">
      <c r="A922" s="139" t="n"/>
      <c r="B922" s="139" t="n"/>
      <c r="C922" s="139" t="n"/>
      <c r="D922" s="139" t="n"/>
      <c r="E922" s="139" t="n"/>
      <c r="F922" s="139" t="n"/>
      <c r="G922" s="55" t="n"/>
      <c r="H922" s="139" t="n"/>
      <c r="I922" s="139" t="n"/>
      <c r="J922" s="139" t="n"/>
      <c r="K922" s="139" t="n"/>
      <c r="L922" s="139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</row>
    <row r="923" ht="45.75" customHeight="1" s="211">
      <c r="A923" s="139" t="n"/>
      <c r="B923" s="139" t="n"/>
      <c r="C923" s="139" t="n"/>
      <c r="D923" s="139" t="n"/>
      <c r="E923" s="139" t="n"/>
      <c r="F923" s="139" t="n"/>
      <c r="G923" s="55" t="n"/>
      <c r="H923" s="139" t="n"/>
      <c r="I923" s="139" t="n"/>
      <c r="J923" s="139" t="n"/>
      <c r="K923" s="139" t="n"/>
      <c r="L923" s="139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</row>
    <row r="924" ht="45.75" customHeight="1" s="211">
      <c r="A924" s="139" t="n"/>
      <c r="B924" s="139" t="n"/>
      <c r="C924" s="139" t="n"/>
      <c r="D924" s="139" t="n"/>
      <c r="E924" s="139" t="n"/>
      <c r="F924" s="139" t="n"/>
      <c r="G924" s="55" t="n"/>
      <c r="H924" s="139" t="n"/>
      <c r="I924" s="139" t="n"/>
      <c r="J924" s="139" t="n"/>
      <c r="K924" s="139" t="n"/>
      <c r="L924" s="139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</row>
    <row r="925" ht="45.75" customHeight="1" s="211">
      <c r="A925" s="139" t="n"/>
      <c r="B925" s="139" t="n"/>
      <c r="C925" s="139" t="n"/>
      <c r="D925" s="139" t="n"/>
      <c r="E925" s="139" t="n"/>
      <c r="F925" s="139" t="n"/>
      <c r="G925" s="55" t="n"/>
      <c r="H925" s="139" t="n"/>
      <c r="I925" s="139" t="n"/>
      <c r="J925" s="139" t="n"/>
      <c r="K925" s="139" t="n"/>
      <c r="L925" s="139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</row>
    <row r="926" ht="45.75" customHeight="1" s="211">
      <c r="A926" s="139" t="n"/>
      <c r="B926" s="139" t="n"/>
      <c r="C926" s="139" t="n"/>
      <c r="D926" s="139" t="n"/>
      <c r="E926" s="139" t="n"/>
      <c r="F926" s="139" t="n"/>
      <c r="G926" s="55" t="n"/>
      <c r="H926" s="139" t="n"/>
      <c r="I926" s="139" t="n"/>
      <c r="J926" s="139" t="n"/>
      <c r="K926" s="139" t="n"/>
      <c r="L926" s="139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</row>
    <row r="927" ht="45.75" customHeight="1" s="211">
      <c r="A927" s="139" t="n"/>
      <c r="B927" s="139" t="n"/>
      <c r="C927" s="139" t="n"/>
      <c r="D927" s="139" t="n"/>
      <c r="E927" s="139" t="n"/>
      <c r="F927" s="139" t="n"/>
      <c r="G927" s="55" t="n"/>
      <c r="H927" s="139" t="n"/>
      <c r="I927" s="139" t="n"/>
      <c r="J927" s="139" t="n"/>
      <c r="K927" s="139" t="n"/>
      <c r="L927" s="139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</row>
    <row r="928" ht="45.75" customHeight="1" s="211">
      <c r="A928" s="139" t="n"/>
      <c r="B928" s="139" t="n"/>
      <c r="C928" s="139" t="n"/>
      <c r="D928" s="139" t="n"/>
      <c r="E928" s="139" t="n"/>
      <c r="F928" s="139" t="n"/>
      <c r="G928" s="55" t="n"/>
      <c r="H928" s="139" t="n"/>
      <c r="I928" s="139" t="n"/>
      <c r="J928" s="139" t="n"/>
      <c r="K928" s="139" t="n"/>
      <c r="L928" s="139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</row>
    <row r="929" ht="45.75" customHeight="1" s="211">
      <c r="A929" s="139" t="n"/>
      <c r="B929" s="139" t="n"/>
      <c r="C929" s="139" t="n"/>
      <c r="D929" s="139" t="n"/>
      <c r="E929" s="139" t="n"/>
      <c r="F929" s="139" t="n"/>
      <c r="G929" s="55" t="n"/>
      <c r="H929" s="139" t="n"/>
      <c r="I929" s="139" t="n"/>
      <c r="J929" s="139" t="n"/>
      <c r="K929" s="139" t="n"/>
      <c r="L929" s="139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</row>
    <row r="930" ht="45.75" customHeight="1" s="211">
      <c r="A930" s="139" t="n"/>
      <c r="B930" s="139" t="n"/>
      <c r="C930" s="139" t="n"/>
      <c r="D930" s="139" t="n"/>
      <c r="E930" s="139" t="n"/>
      <c r="F930" s="139" t="n"/>
      <c r="G930" s="55" t="n"/>
      <c r="H930" s="139" t="n"/>
      <c r="I930" s="139" t="n"/>
      <c r="J930" s="139" t="n"/>
      <c r="K930" s="139" t="n"/>
      <c r="L930" s="139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</row>
    <row r="931" ht="45.75" customHeight="1" s="211">
      <c r="A931" s="139" t="n"/>
      <c r="B931" s="139" t="n"/>
      <c r="C931" s="139" t="n"/>
      <c r="D931" s="139" t="n"/>
      <c r="E931" s="139" t="n"/>
      <c r="F931" s="139" t="n"/>
      <c r="G931" s="55" t="n"/>
      <c r="H931" s="139" t="n"/>
      <c r="I931" s="139" t="n"/>
      <c r="J931" s="139" t="n"/>
      <c r="K931" s="139" t="n"/>
      <c r="L931" s="139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</row>
    <row r="932" ht="45.75" customHeight="1" s="211">
      <c r="A932" s="139" t="n"/>
      <c r="B932" s="139" t="n"/>
      <c r="C932" s="139" t="n"/>
      <c r="D932" s="139" t="n"/>
      <c r="E932" s="139" t="n"/>
      <c r="F932" s="139" t="n"/>
      <c r="G932" s="55" t="n"/>
      <c r="H932" s="139" t="n"/>
      <c r="I932" s="139" t="n"/>
      <c r="J932" s="139" t="n"/>
      <c r="K932" s="139" t="n"/>
      <c r="L932" s="139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</row>
    <row r="933" ht="45.75" customHeight="1" s="211">
      <c r="A933" s="139" t="n"/>
      <c r="B933" s="139" t="n"/>
      <c r="C933" s="139" t="n"/>
      <c r="D933" s="139" t="n"/>
      <c r="E933" s="139" t="n"/>
      <c r="F933" s="139" t="n"/>
      <c r="G933" s="55" t="n"/>
      <c r="H933" s="139" t="n"/>
      <c r="I933" s="139" t="n"/>
      <c r="J933" s="139" t="n"/>
      <c r="K933" s="139" t="n"/>
      <c r="L933" s="139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</row>
    <row r="934" ht="45.75" customHeight="1" s="211">
      <c r="A934" s="139" t="n"/>
      <c r="B934" s="139" t="n"/>
      <c r="C934" s="139" t="n"/>
      <c r="D934" s="139" t="n"/>
      <c r="E934" s="139" t="n"/>
      <c r="F934" s="139" t="n"/>
      <c r="G934" s="55" t="n"/>
      <c r="H934" s="139" t="n"/>
      <c r="I934" s="139" t="n"/>
      <c r="J934" s="139" t="n"/>
      <c r="K934" s="139" t="n"/>
      <c r="L934" s="139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</row>
    <row r="935" ht="45.75" customHeight="1" s="211">
      <c r="A935" s="139" t="n"/>
      <c r="B935" s="139" t="n"/>
      <c r="C935" s="139" t="n"/>
      <c r="D935" s="139" t="n"/>
      <c r="E935" s="139" t="n"/>
      <c r="F935" s="139" t="n"/>
      <c r="G935" s="55" t="n"/>
      <c r="H935" s="139" t="n"/>
      <c r="I935" s="139" t="n"/>
      <c r="J935" s="139" t="n"/>
      <c r="K935" s="139" t="n"/>
      <c r="L935" s="139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</row>
    <row r="936" ht="45.75" customHeight="1" s="211">
      <c r="A936" s="139" t="n"/>
      <c r="B936" s="139" t="n"/>
      <c r="C936" s="139" t="n"/>
      <c r="D936" s="139" t="n"/>
      <c r="E936" s="139" t="n"/>
      <c r="F936" s="139" t="n"/>
      <c r="G936" s="55" t="n"/>
      <c r="H936" s="139" t="n"/>
      <c r="I936" s="139" t="n"/>
      <c r="J936" s="139" t="n"/>
      <c r="K936" s="139" t="n"/>
      <c r="L936" s="139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</row>
    <row r="937" ht="45.75" customHeight="1" s="211">
      <c r="A937" s="139" t="n"/>
      <c r="B937" s="139" t="n"/>
      <c r="C937" s="139" t="n"/>
      <c r="D937" s="139" t="n"/>
      <c r="E937" s="139" t="n"/>
      <c r="F937" s="139" t="n"/>
      <c r="G937" s="55" t="n"/>
      <c r="H937" s="139" t="n"/>
      <c r="I937" s="139" t="n"/>
      <c r="J937" s="139" t="n"/>
      <c r="K937" s="139" t="n"/>
      <c r="L937" s="139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</row>
    <row r="938" ht="45.75" customHeight="1" s="211">
      <c r="A938" s="139" t="n"/>
      <c r="B938" s="139" t="n"/>
      <c r="C938" s="139" t="n"/>
      <c r="D938" s="139" t="n"/>
      <c r="E938" s="139" t="n"/>
      <c r="F938" s="139" t="n"/>
      <c r="G938" s="55" t="n"/>
      <c r="H938" s="139" t="n"/>
      <c r="I938" s="139" t="n"/>
      <c r="J938" s="139" t="n"/>
      <c r="K938" s="139" t="n"/>
      <c r="L938" s="139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</row>
    <row r="939" ht="45.75" customHeight="1" s="211">
      <c r="A939" s="139" t="n"/>
      <c r="B939" s="139" t="n"/>
      <c r="C939" s="139" t="n"/>
      <c r="D939" s="139" t="n"/>
      <c r="E939" s="139" t="n"/>
      <c r="F939" s="139" t="n"/>
      <c r="G939" s="55" t="n"/>
      <c r="H939" s="139" t="n"/>
      <c r="I939" s="139" t="n"/>
      <c r="J939" s="139" t="n"/>
      <c r="K939" s="139" t="n"/>
      <c r="L939" s="139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</row>
    <row r="940" ht="45.75" customHeight="1" s="211">
      <c r="A940" s="139" t="n"/>
      <c r="B940" s="139" t="n"/>
      <c r="C940" s="139" t="n"/>
      <c r="D940" s="139" t="n"/>
      <c r="E940" s="139" t="n"/>
      <c r="F940" s="139" t="n"/>
      <c r="G940" s="55" t="n"/>
      <c r="H940" s="139" t="n"/>
      <c r="I940" s="139" t="n"/>
      <c r="J940" s="139" t="n"/>
      <c r="K940" s="139" t="n"/>
      <c r="L940" s="139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</row>
    <row r="941" ht="45.75" customHeight="1" s="211">
      <c r="A941" s="139" t="n"/>
      <c r="B941" s="139" t="n"/>
      <c r="C941" s="139" t="n"/>
      <c r="D941" s="139" t="n"/>
      <c r="E941" s="139" t="n"/>
      <c r="F941" s="139" t="n"/>
      <c r="G941" s="55" t="n"/>
      <c r="H941" s="139" t="n"/>
      <c r="I941" s="139" t="n"/>
      <c r="J941" s="139" t="n"/>
      <c r="K941" s="139" t="n"/>
      <c r="L941" s="139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</row>
    <row r="942" ht="45.75" customHeight="1" s="211">
      <c r="A942" s="139" t="n"/>
      <c r="B942" s="139" t="n"/>
      <c r="C942" s="139" t="n"/>
      <c r="D942" s="139" t="n"/>
      <c r="E942" s="139" t="n"/>
      <c r="F942" s="139" t="n"/>
      <c r="G942" s="55" t="n"/>
      <c r="H942" s="139" t="n"/>
      <c r="I942" s="139" t="n"/>
      <c r="J942" s="139" t="n"/>
      <c r="K942" s="139" t="n"/>
      <c r="L942" s="139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</row>
    <row r="943" ht="45.75" customHeight="1" s="211">
      <c r="A943" s="139" t="n"/>
      <c r="B943" s="139" t="n"/>
      <c r="C943" s="139" t="n"/>
      <c r="D943" s="139" t="n"/>
      <c r="E943" s="139" t="n"/>
      <c r="F943" s="139" t="n"/>
      <c r="G943" s="55" t="n"/>
      <c r="H943" s="139" t="n"/>
      <c r="I943" s="139" t="n"/>
      <c r="J943" s="139" t="n"/>
      <c r="K943" s="139" t="n"/>
      <c r="L943" s="139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</row>
    <row r="944" ht="45.75" customHeight="1" s="211">
      <c r="A944" s="139" t="n"/>
      <c r="B944" s="139" t="n"/>
      <c r="C944" s="139" t="n"/>
      <c r="D944" s="139" t="n"/>
      <c r="E944" s="139" t="n"/>
      <c r="F944" s="139" t="n"/>
      <c r="G944" s="55" t="n"/>
      <c r="H944" s="139" t="n"/>
      <c r="I944" s="139" t="n"/>
      <c r="J944" s="139" t="n"/>
      <c r="K944" s="139" t="n"/>
      <c r="L944" s="139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</row>
    <row r="945" ht="45.75" customHeight="1" s="211">
      <c r="A945" s="139" t="n"/>
      <c r="B945" s="139" t="n"/>
      <c r="C945" s="139" t="n"/>
      <c r="D945" s="139" t="n"/>
      <c r="E945" s="139" t="n"/>
      <c r="F945" s="139" t="n"/>
      <c r="G945" s="55" t="n"/>
      <c r="H945" s="139" t="n"/>
      <c r="I945" s="139" t="n"/>
      <c r="J945" s="139" t="n"/>
      <c r="K945" s="139" t="n"/>
      <c r="L945" s="139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</row>
    <row r="946" ht="45.75" customHeight="1" s="211">
      <c r="A946" s="139" t="n"/>
      <c r="B946" s="139" t="n"/>
      <c r="C946" s="139" t="n"/>
      <c r="D946" s="139" t="n"/>
      <c r="E946" s="139" t="n"/>
      <c r="F946" s="139" t="n"/>
      <c r="G946" s="55" t="n"/>
      <c r="H946" s="139" t="n"/>
      <c r="I946" s="139" t="n"/>
      <c r="J946" s="139" t="n"/>
      <c r="K946" s="139" t="n"/>
      <c r="L946" s="139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</row>
    <row r="947" ht="45.75" customHeight="1" s="211">
      <c r="A947" s="139" t="n"/>
      <c r="B947" s="139" t="n"/>
      <c r="C947" s="139" t="n"/>
      <c r="D947" s="139" t="n"/>
      <c r="E947" s="139" t="n"/>
      <c r="F947" s="139" t="n"/>
      <c r="G947" s="55" t="n"/>
      <c r="H947" s="139" t="n"/>
      <c r="I947" s="139" t="n"/>
      <c r="J947" s="139" t="n"/>
      <c r="K947" s="139" t="n"/>
      <c r="L947" s="139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</row>
    <row r="948" ht="45.75" customHeight="1" s="211">
      <c r="A948" s="139" t="n"/>
      <c r="B948" s="139" t="n"/>
      <c r="C948" s="139" t="n"/>
      <c r="D948" s="139" t="n"/>
      <c r="E948" s="139" t="n"/>
      <c r="F948" s="139" t="n"/>
      <c r="G948" s="55" t="n"/>
      <c r="H948" s="139" t="n"/>
      <c r="I948" s="139" t="n"/>
      <c r="J948" s="139" t="n"/>
      <c r="K948" s="139" t="n"/>
      <c r="L948" s="139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</row>
    <row r="949" ht="45.75" customHeight="1" s="211">
      <c r="A949" s="139" t="n"/>
      <c r="B949" s="139" t="n"/>
      <c r="C949" s="139" t="n"/>
      <c r="D949" s="139" t="n"/>
      <c r="E949" s="139" t="n"/>
      <c r="F949" s="139" t="n"/>
      <c r="G949" s="55" t="n"/>
      <c r="H949" s="139" t="n"/>
      <c r="I949" s="139" t="n"/>
      <c r="J949" s="139" t="n"/>
      <c r="K949" s="139" t="n"/>
      <c r="L949" s="139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</row>
    <row r="950" ht="45.75" customHeight="1" s="211">
      <c r="A950" s="139" t="n"/>
      <c r="B950" s="139" t="n"/>
      <c r="C950" s="139" t="n"/>
      <c r="D950" s="139" t="n"/>
      <c r="E950" s="139" t="n"/>
      <c r="F950" s="139" t="n"/>
      <c r="G950" s="55" t="n"/>
      <c r="H950" s="139" t="n"/>
      <c r="I950" s="139" t="n"/>
      <c r="J950" s="139" t="n"/>
      <c r="K950" s="139" t="n"/>
      <c r="L950" s="139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</row>
    <row r="951" ht="45.75" customHeight="1" s="211">
      <c r="A951" s="139" t="n"/>
      <c r="B951" s="139" t="n"/>
      <c r="C951" s="139" t="n"/>
      <c r="D951" s="139" t="n"/>
      <c r="E951" s="139" t="n"/>
      <c r="F951" s="139" t="n"/>
      <c r="G951" s="55" t="n"/>
      <c r="H951" s="139" t="n"/>
      <c r="I951" s="139" t="n"/>
      <c r="J951" s="139" t="n"/>
      <c r="K951" s="139" t="n"/>
      <c r="L951" s="139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</row>
    <row r="952" ht="45.75" customHeight="1" s="211">
      <c r="A952" s="139" t="n"/>
      <c r="B952" s="139" t="n"/>
      <c r="C952" s="139" t="n"/>
      <c r="D952" s="139" t="n"/>
      <c r="E952" s="139" t="n"/>
      <c r="F952" s="139" t="n"/>
      <c r="G952" s="55" t="n"/>
      <c r="H952" s="139" t="n"/>
      <c r="I952" s="139" t="n"/>
      <c r="J952" s="139" t="n"/>
      <c r="K952" s="139" t="n"/>
      <c r="L952" s="139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</row>
    <row r="953" ht="45.75" customHeight="1" s="211">
      <c r="A953" s="139" t="n"/>
      <c r="B953" s="139" t="n"/>
      <c r="C953" s="139" t="n"/>
      <c r="D953" s="139" t="n"/>
      <c r="E953" s="139" t="n"/>
      <c r="F953" s="139" t="n"/>
      <c r="G953" s="55" t="n"/>
      <c r="H953" s="139" t="n"/>
      <c r="I953" s="139" t="n"/>
      <c r="J953" s="139" t="n"/>
      <c r="K953" s="139" t="n"/>
      <c r="L953" s="139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</row>
    <row r="954" ht="45.75" customHeight="1" s="211">
      <c r="A954" s="139" t="n"/>
      <c r="B954" s="139" t="n"/>
      <c r="C954" s="139" t="n"/>
      <c r="D954" s="139" t="n"/>
      <c r="E954" s="139" t="n"/>
      <c r="F954" s="139" t="n"/>
      <c r="G954" s="55" t="n"/>
      <c r="H954" s="139" t="n"/>
      <c r="I954" s="139" t="n"/>
      <c r="J954" s="139" t="n"/>
      <c r="K954" s="139" t="n"/>
      <c r="L954" s="139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</row>
    <row r="955" ht="45.75" customHeight="1" s="211">
      <c r="A955" s="139" t="n"/>
      <c r="B955" s="139" t="n"/>
      <c r="C955" s="139" t="n"/>
      <c r="D955" s="139" t="n"/>
      <c r="E955" s="139" t="n"/>
      <c r="F955" s="139" t="n"/>
      <c r="G955" s="55" t="n"/>
      <c r="H955" s="139" t="n"/>
      <c r="I955" s="139" t="n"/>
      <c r="J955" s="139" t="n"/>
      <c r="K955" s="139" t="n"/>
      <c r="L955" s="139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</row>
    <row r="956" ht="45.75" customHeight="1" s="211">
      <c r="A956" s="139" t="n"/>
      <c r="B956" s="139" t="n"/>
      <c r="C956" s="139" t="n"/>
      <c r="D956" s="139" t="n"/>
      <c r="E956" s="139" t="n"/>
      <c r="F956" s="139" t="n"/>
      <c r="G956" s="55" t="n"/>
      <c r="H956" s="139" t="n"/>
      <c r="I956" s="139" t="n"/>
      <c r="J956" s="139" t="n"/>
      <c r="K956" s="139" t="n"/>
      <c r="L956" s="139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</row>
    <row r="957" ht="45.75" customHeight="1" s="211">
      <c r="A957" s="139" t="n"/>
      <c r="B957" s="139" t="n"/>
      <c r="C957" s="139" t="n"/>
      <c r="D957" s="139" t="n"/>
      <c r="E957" s="139" t="n"/>
      <c r="F957" s="139" t="n"/>
      <c r="G957" s="55" t="n"/>
      <c r="H957" s="139" t="n"/>
      <c r="I957" s="139" t="n"/>
      <c r="J957" s="139" t="n"/>
      <c r="K957" s="139" t="n"/>
      <c r="L957" s="139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</row>
    <row r="958" ht="45.75" customHeight="1" s="211">
      <c r="A958" s="139" t="n"/>
      <c r="B958" s="139" t="n"/>
      <c r="C958" s="139" t="n"/>
      <c r="D958" s="139" t="n"/>
      <c r="E958" s="139" t="n"/>
      <c r="F958" s="139" t="n"/>
      <c r="G958" s="55" t="n"/>
      <c r="H958" s="139" t="n"/>
      <c r="I958" s="139" t="n"/>
      <c r="J958" s="139" t="n"/>
      <c r="K958" s="139" t="n"/>
      <c r="L958" s="139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</row>
    <row r="959" ht="45.75" customHeight="1" s="211">
      <c r="A959" s="139" t="n"/>
      <c r="B959" s="139" t="n"/>
      <c r="C959" s="139" t="n"/>
      <c r="D959" s="139" t="n"/>
      <c r="E959" s="139" t="n"/>
      <c r="F959" s="139" t="n"/>
      <c r="G959" s="55" t="n"/>
      <c r="H959" s="139" t="n"/>
      <c r="I959" s="139" t="n"/>
      <c r="J959" s="139" t="n"/>
      <c r="K959" s="139" t="n"/>
      <c r="L959" s="139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</row>
    <row r="960" ht="45.75" customHeight="1" s="211">
      <c r="A960" s="139" t="n"/>
      <c r="B960" s="139" t="n"/>
      <c r="C960" s="139" t="n"/>
      <c r="D960" s="139" t="n"/>
      <c r="E960" s="139" t="n"/>
      <c r="F960" s="139" t="n"/>
      <c r="G960" s="55" t="n"/>
      <c r="H960" s="139" t="n"/>
      <c r="I960" s="139" t="n"/>
      <c r="J960" s="139" t="n"/>
      <c r="K960" s="139" t="n"/>
      <c r="L960" s="139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</row>
    <row r="961" ht="45.75" customHeight="1" s="211">
      <c r="A961" s="139" t="n"/>
      <c r="B961" s="139" t="n"/>
      <c r="C961" s="139" t="n"/>
      <c r="D961" s="139" t="n"/>
      <c r="E961" s="139" t="n"/>
      <c r="F961" s="139" t="n"/>
      <c r="G961" s="55" t="n"/>
      <c r="H961" s="139" t="n"/>
      <c r="I961" s="139" t="n"/>
      <c r="J961" s="139" t="n"/>
      <c r="K961" s="139" t="n"/>
      <c r="L961" s="139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</row>
    <row r="962" ht="45.75" customHeight="1" s="211">
      <c r="A962" s="139" t="n"/>
      <c r="B962" s="139" t="n"/>
      <c r="C962" s="139" t="n"/>
      <c r="D962" s="139" t="n"/>
      <c r="E962" s="139" t="n"/>
      <c r="F962" s="139" t="n"/>
      <c r="G962" s="55" t="n"/>
      <c r="H962" s="139" t="n"/>
      <c r="I962" s="139" t="n"/>
      <c r="J962" s="139" t="n"/>
      <c r="K962" s="139" t="n"/>
      <c r="L962" s="139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</row>
    <row r="963" ht="45.75" customHeight="1" s="211">
      <c r="A963" s="139" t="n"/>
      <c r="B963" s="139" t="n"/>
      <c r="C963" s="139" t="n"/>
      <c r="D963" s="139" t="n"/>
      <c r="E963" s="139" t="n"/>
      <c r="F963" s="139" t="n"/>
      <c r="G963" s="55" t="n"/>
      <c r="H963" s="139" t="n"/>
      <c r="I963" s="139" t="n"/>
      <c r="J963" s="139" t="n"/>
      <c r="K963" s="139" t="n"/>
      <c r="L963" s="139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</row>
    <row r="964" ht="45.75" customHeight="1" s="211">
      <c r="A964" s="139" t="n"/>
      <c r="B964" s="139" t="n"/>
      <c r="C964" s="139" t="n"/>
      <c r="D964" s="139" t="n"/>
      <c r="E964" s="139" t="n"/>
      <c r="F964" s="139" t="n"/>
      <c r="G964" s="55" t="n"/>
      <c r="H964" s="139" t="n"/>
      <c r="I964" s="139" t="n"/>
      <c r="J964" s="139" t="n"/>
      <c r="K964" s="139" t="n"/>
      <c r="L964" s="139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</row>
    <row r="965" ht="45.75" customHeight="1" s="211">
      <c r="A965" s="139" t="n"/>
      <c r="B965" s="139" t="n"/>
      <c r="C965" s="139" t="n"/>
      <c r="D965" s="139" t="n"/>
      <c r="E965" s="139" t="n"/>
      <c r="F965" s="139" t="n"/>
      <c r="G965" s="55" t="n"/>
      <c r="H965" s="139" t="n"/>
      <c r="I965" s="139" t="n"/>
      <c r="J965" s="139" t="n"/>
      <c r="K965" s="139" t="n"/>
      <c r="L965" s="139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</row>
    <row r="966" ht="45.75" customHeight="1" s="211">
      <c r="A966" s="139" t="n"/>
      <c r="B966" s="139" t="n"/>
      <c r="C966" s="139" t="n"/>
      <c r="D966" s="139" t="n"/>
      <c r="E966" s="139" t="n"/>
      <c r="F966" s="139" t="n"/>
      <c r="G966" s="55" t="n"/>
      <c r="H966" s="139" t="n"/>
      <c r="I966" s="139" t="n"/>
      <c r="J966" s="139" t="n"/>
      <c r="K966" s="139" t="n"/>
      <c r="L966" s="139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</row>
    <row r="967" ht="45.75" customHeight="1" s="211">
      <c r="A967" s="139" t="n"/>
      <c r="B967" s="139" t="n"/>
      <c r="C967" s="139" t="n"/>
      <c r="D967" s="139" t="n"/>
      <c r="E967" s="139" t="n"/>
      <c r="F967" s="139" t="n"/>
      <c r="G967" s="55" t="n"/>
      <c r="H967" s="139" t="n"/>
      <c r="I967" s="139" t="n"/>
      <c r="J967" s="139" t="n"/>
      <c r="K967" s="139" t="n"/>
      <c r="L967" s="139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</row>
    <row r="968" ht="45.75" customHeight="1" s="211">
      <c r="A968" s="139" t="n"/>
      <c r="B968" s="139" t="n"/>
      <c r="C968" s="139" t="n"/>
      <c r="D968" s="139" t="n"/>
      <c r="E968" s="139" t="n"/>
      <c r="F968" s="139" t="n"/>
      <c r="G968" s="55" t="n"/>
      <c r="H968" s="139" t="n"/>
      <c r="I968" s="139" t="n"/>
      <c r="J968" s="139" t="n"/>
      <c r="K968" s="139" t="n"/>
      <c r="L968" s="139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</row>
    <row r="969" ht="45.75" customHeight="1" s="211">
      <c r="A969" s="139" t="n"/>
      <c r="B969" s="139" t="n"/>
      <c r="C969" s="139" t="n"/>
      <c r="D969" s="139" t="n"/>
      <c r="E969" s="139" t="n"/>
      <c r="F969" s="139" t="n"/>
      <c r="G969" s="55" t="n"/>
      <c r="H969" s="139" t="n"/>
      <c r="I969" s="139" t="n"/>
      <c r="J969" s="139" t="n"/>
      <c r="K969" s="139" t="n"/>
      <c r="L969" s="139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</row>
    <row r="970" ht="45.75" customHeight="1" s="211">
      <c r="A970" s="139" t="n"/>
      <c r="B970" s="139" t="n"/>
      <c r="C970" s="139" t="n"/>
      <c r="D970" s="139" t="n"/>
      <c r="E970" s="139" t="n"/>
      <c r="F970" s="139" t="n"/>
      <c r="G970" s="55" t="n"/>
      <c r="H970" s="139" t="n"/>
      <c r="I970" s="139" t="n"/>
      <c r="J970" s="139" t="n"/>
      <c r="K970" s="139" t="n"/>
      <c r="L970" s="139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</row>
    <row r="971" ht="45.75" customHeight="1" s="211">
      <c r="A971" s="139" t="n"/>
      <c r="B971" s="139" t="n"/>
      <c r="C971" s="139" t="n"/>
      <c r="D971" s="139" t="n"/>
      <c r="E971" s="139" t="n"/>
      <c r="F971" s="139" t="n"/>
      <c r="G971" s="55" t="n"/>
      <c r="H971" s="139" t="n"/>
      <c r="I971" s="139" t="n"/>
      <c r="J971" s="139" t="n"/>
      <c r="K971" s="139" t="n"/>
      <c r="L971" s="139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</row>
    <row r="972" ht="45.75" customHeight="1" s="211">
      <c r="A972" s="139" t="n"/>
      <c r="B972" s="139" t="n"/>
      <c r="C972" s="139" t="n"/>
      <c r="D972" s="139" t="n"/>
      <c r="E972" s="139" t="n"/>
      <c r="F972" s="139" t="n"/>
      <c r="G972" s="55" t="n"/>
      <c r="H972" s="139" t="n"/>
      <c r="I972" s="139" t="n"/>
      <c r="J972" s="139" t="n"/>
      <c r="K972" s="139" t="n"/>
      <c r="L972" s="139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</row>
    <row r="973" ht="45.75" customHeight="1" s="211">
      <c r="A973" s="139" t="n"/>
      <c r="B973" s="139" t="n"/>
      <c r="C973" s="139" t="n"/>
      <c r="D973" s="139" t="n"/>
      <c r="E973" s="139" t="n"/>
      <c r="F973" s="139" t="n"/>
      <c r="G973" s="55" t="n"/>
      <c r="H973" s="139" t="n"/>
      <c r="I973" s="139" t="n"/>
      <c r="J973" s="139" t="n"/>
      <c r="K973" s="139" t="n"/>
      <c r="L973" s="139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</row>
    <row r="974" ht="45.75" customHeight="1" s="211">
      <c r="A974" s="139" t="n"/>
      <c r="B974" s="139" t="n"/>
      <c r="C974" s="139" t="n"/>
      <c r="D974" s="139" t="n"/>
      <c r="E974" s="139" t="n"/>
      <c r="F974" s="139" t="n"/>
      <c r="G974" s="55" t="n"/>
      <c r="H974" s="139" t="n"/>
      <c r="I974" s="139" t="n"/>
      <c r="J974" s="139" t="n"/>
      <c r="K974" s="139" t="n"/>
      <c r="L974" s="139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</row>
    <row r="975" ht="45.75" customHeight="1" s="211">
      <c r="A975" s="139" t="n"/>
      <c r="B975" s="139" t="n"/>
      <c r="C975" s="139" t="n"/>
      <c r="D975" s="139" t="n"/>
      <c r="E975" s="139" t="n"/>
      <c r="F975" s="139" t="n"/>
      <c r="G975" s="55" t="n"/>
      <c r="H975" s="139" t="n"/>
      <c r="I975" s="139" t="n"/>
      <c r="J975" s="139" t="n"/>
      <c r="K975" s="139" t="n"/>
      <c r="L975" s="139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</row>
    <row r="976" ht="45.75" customHeight="1" s="211">
      <c r="A976" s="139" t="n"/>
      <c r="B976" s="139" t="n"/>
      <c r="C976" s="139" t="n"/>
      <c r="D976" s="139" t="n"/>
      <c r="E976" s="139" t="n"/>
      <c r="F976" s="139" t="n"/>
      <c r="G976" s="55" t="n"/>
      <c r="H976" s="139" t="n"/>
      <c r="I976" s="139" t="n"/>
      <c r="J976" s="139" t="n"/>
      <c r="K976" s="139" t="n"/>
      <c r="L976" s="139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</row>
    <row r="977" ht="45.75" customHeight="1" s="211">
      <c r="A977" s="139" t="n"/>
      <c r="B977" s="139" t="n"/>
      <c r="C977" s="139" t="n"/>
      <c r="D977" s="139" t="n"/>
      <c r="E977" s="139" t="n"/>
      <c r="F977" s="139" t="n"/>
      <c r="G977" s="55" t="n"/>
      <c r="H977" s="139" t="n"/>
      <c r="I977" s="139" t="n"/>
      <c r="J977" s="139" t="n"/>
      <c r="K977" s="139" t="n"/>
      <c r="L977" s="139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</row>
    <row r="978" ht="45.75" customHeight="1" s="211">
      <c r="A978" s="139" t="n"/>
      <c r="B978" s="139" t="n"/>
      <c r="C978" s="139" t="n"/>
      <c r="D978" s="139" t="n"/>
      <c r="E978" s="139" t="n"/>
      <c r="F978" s="139" t="n"/>
      <c r="G978" s="55" t="n"/>
      <c r="H978" s="139" t="n"/>
      <c r="I978" s="139" t="n"/>
      <c r="J978" s="139" t="n"/>
      <c r="K978" s="139" t="n"/>
      <c r="L978" s="139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</row>
    <row r="979" ht="45.75" customHeight="1" s="211">
      <c r="A979" s="139" t="n"/>
      <c r="B979" s="139" t="n"/>
      <c r="C979" s="139" t="n"/>
      <c r="D979" s="139" t="n"/>
      <c r="E979" s="139" t="n"/>
      <c r="F979" s="139" t="n"/>
      <c r="G979" s="55" t="n"/>
      <c r="H979" s="139" t="n"/>
      <c r="I979" s="139" t="n"/>
      <c r="J979" s="139" t="n"/>
      <c r="K979" s="139" t="n"/>
      <c r="L979" s="139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</row>
    <row r="980" ht="45.75" customHeight="1" s="211">
      <c r="A980" s="139" t="n"/>
      <c r="B980" s="139" t="n"/>
      <c r="C980" s="139" t="n"/>
      <c r="D980" s="139" t="n"/>
      <c r="E980" s="139" t="n"/>
      <c r="F980" s="139" t="n"/>
      <c r="G980" s="55" t="n"/>
      <c r="H980" s="139" t="n"/>
      <c r="I980" s="139" t="n"/>
      <c r="J980" s="139" t="n"/>
      <c r="K980" s="139" t="n"/>
      <c r="L980" s="139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</row>
    <row r="981" ht="45.75" customHeight="1" s="211">
      <c r="A981" s="139" t="n"/>
      <c r="B981" s="139" t="n"/>
      <c r="C981" s="139" t="n"/>
      <c r="D981" s="139" t="n"/>
      <c r="E981" s="139" t="n"/>
      <c r="F981" s="139" t="n"/>
      <c r="G981" s="55" t="n"/>
      <c r="H981" s="139" t="n"/>
      <c r="I981" s="139" t="n"/>
      <c r="J981" s="139" t="n"/>
      <c r="K981" s="139" t="n"/>
      <c r="L981" s="139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</row>
    <row r="982" ht="45.75" customHeight="1" s="211">
      <c r="A982" s="139" t="n"/>
      <c r="B982" s="139" t="n"/>
      <c r="C982" s="139" t="n"/>
      <c r="D982" s="139" t="n"/>
      <c r="E982" s="139" t="n"/>
      <c r="F982" s="139" t="n"/>
      <c r="G982" s="55" t="n"/>
      <c r="H982" s="139" t="n"/>
      <c r="I982" s="139" t="n"/>
      <c r="J982" s="139" t="n"/>
      <c r="K982" s="139" t="n"/>
      <c r="L982" s="139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</row>
    <row r="983" ht="45.75" customHeight="1" s="211">
      <c r="A983" s="139" t="n"/>
      <c r="B983" s="139" t="n"/>
      <c r="C983" s="139" t="n"/>
      <c r="D983" s="139" t="n"/>
      <c r="E983" s="139" t="n"/>
      <c r="F983" s="139" t="n"/>
      <c r="G983" s="55" t="n"/>
      <c r="H983" s="139" t="n"/>
      <c r="I983" s="139" t="n"/>
      <c r="J983" s="139" t="n"/>
      <c r="K983" s="139" t="n"/>
      <c r="L983" s="139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</row>
    <row r="984" ht="45.75" customHeight="1" s="211">
      <c r="A984" s="139" t="n"/>
      <c r="B984" s="139" t="n"/>
      <c r="C984" s="139" t="n"/>
      <c r="D984" s="139" t="n"/>
      <c r="E984" s="139" t="n"/>
      <c r="F984" s="139" t="n"/>
      <c r="G984" s="55" t="n"/>
      <c r="H984" s="139" t="n"/>
      <c r="I984" s="139" t="n"/>
      <c r="J984" s="139" t="n"/>
      <c r="K984" s="139" t="n"/>
      <c r="L984" s="139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</row>
    <row r="985" ht="45.75" customHeight="1" s="211">
      <c r="A985" s="139" t="n"/>
      <c r="B985" s="139" t="n"/>
      <c r="C985" s="139" t="n"/>
      <c r="D985" s="139" t="n"/>
      <c r="E985" s="139" t="n"/>
      <c r="F985" s="139" t="n"/>
      <c r="G985" s="55" t="n"/>
      <c r="H985" s="139" t="n"/>
      <c r="I985" s="139" t="n"/>
      <c r="J985" s="139" t="n"/>
      <c r="K985" s="139" t="n"/>
      <c r="L985" s="139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</row>
    <row r="986" ht="45.75" customHeight="1" s="211">
      <c r="A986" s="139" t="n"/>
      <c r="B986" s="139" t="n"/>
      <c r="C986" s="139" t="n"/>
      <c r="D986" s="139" t="n"/>
      <c r="E986" s="139" t="n"/>
      <c r="F986" s="139" t="n"/>
      <c r="G986" s="55" t="n"/>
      <c r="H986" s="139" t="n"/>
      <c r="I986" s="139" t="n"/>
      <c r="J986" s="139" t="n"/>
      <c r="K986" s="139" t="n"/>
      <c r="L986" s="139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</row>
    <row r="987" ht="45.75" customHeight="1" s="211">
      <c r="A987" s="139" t="n"/>
      <c r="B987" s="139" t="n"/>
      <c r="C987" s="139" t="n"/>
      <c r="D987" s="139" t="n"/>
      <c r="E987" s="139" t="n"/>
      <c r="F987" s="139" t="n"/>
      <c r="G987" s="55" t="n"/>
      <c r="H987" s="139" t="n"/>
      <c r="I987" s="139" t="n"/>
      <c r="J987" s="139" t="n"/>
      <c r="K987" s="139" t="n"/>
      <c r="L987" s="139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</row>
    <row r="988" ht="45.75" customHeight="1" s="211">
      <c r="A988" s="139" t="n"/>
      <c r="B988" s="139" t="n"/>
      <c r="C988" s="139" t="n"/>
      <c r="D988" s="139" t="n"/>
      <c r="E988" s="139" t="n"/>
      <c r="F988" s="139" t="n"/>
      <c r="G988" s="55" t="n"/>
      <c r="H988" s="139" t="n"/>
      <c r="I988" s="139" t="n"/>
      <c r="J988" s="139" t="n"/>
      <c r="K988" s="139" t="n"/>
      <c r="L988" s="139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</row>
    <row r="989" ht="45.75" customHeight="1" s="211">
      <c r="A989" s="139" t="n"/>
      <c r="B989" s="139" t="n"/>
      <c r="C989" s="139" t="n"/>
      <c r="D989" s="139" t="n"/>
      <c r="E989" s="139" t="n"/>
      <c r="F989" s="139" t="n"/>
      <c r="G989" s="55" t="n"/>
      <c r="H989" s="139" t="n"/>
      <c r="I989" s="139" t="n"/>
      <c r="J989" s="139" t="n"/>
      <c r="K989" s="139" t="n"/>
      <c r="L989" s="139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</row>
    <row r="990" ht="45.75" customHeight="1" s="211">
      <c r="A990" s="139" t="n"/>
      <c r="B990" s="139" t="n"/>
      <c r="C990" s="139" t="n"/>
      <c r="D990" s="139" t="n"/>
      <c r="E990" s="139" t="n"/>
      <c r="F990" s="139" t="n"/>
      <c r="G990" s="55" t="n"/>
      <c r="H990" s="139" t="n"/>
      <c r="I990" s="139" t="n"/>
      <c r="J990" s="139" t="n"/>
      <c r="K990" s="139" t="n"/>
      <c r="L990" s="139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</row>
    <row r="991" ht="45.75" customHeight="1" s="211">
      <c r="A991" s="139" t="n"/>
      <c r="B991" s="139" t="n"/>
      <c r="C991" s="139" t="n"/>
      <c r="D991" s="139" t="n"/>
      <c r="E991" s="139" t="n"/>
      <c r="F991" s="139" t="n"/>
      <c r="G991" s="55" t="n"/>
      <c r="H991" s="139" t="n"/>
      <c r="I991" s="139" t="n"/>
      <c r="J991" s="139" t="n"/>
      <c r="K991" s="139" t="n"/>
      <c r="L991" s="139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</row>
    <row r="992" ht="45.75" customHeight="1" s="211">
      <c r="A992" s="139" t="n"/>
      <c r="B992" s="139" t="n"/>
      <c r="C992" s="139" t="n"/>
      <c r="D992" s="139" t="n"/>
      <c r="E992" s="139" t="n"/>
      <c r="F992" s="139" t="n"/>
      <c r="G992" s="55" t="n"/>
      <c r="H992" s="139" t="n"/>
      <c r="I992" s="139" t="n"/>
      <c r="J992" s="139" t="n"/>
      <c r="K992" s="139" t="n"/>
      <c r="L992" s="139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</row>
    <row r="993" ht="45.75" customHeight="1" s="211">
      <c r="A993" s="139" t="n"/>
      <c r="B993" s="139" t="n"/>
      <c r="C993" s="139" t="n"/>
      <c r="D993" s="139" t="n"/>
      <c r="E993" s="139" t="n"/>
      <c r="F993" s="139" t="n"/>
      <c r="G993" s="55" t="n"/>
      <c r="H993" s="139" t="n"/>
      <c r="I993" s="139" t="n"/>
      <c r="J993" s="139" t="n"/>
      <c r="K993" s="139" t="n"/>
      <c r="L993" s="139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</row>
    <row r="994" ht="45.75" customHeight="1" s="211">
      <c r="A994" s="139" t="n"/>
      <c r="B994" s="139" t="n"/>
      <c r="C994" s="139" t="n"/>
      <c r="D994" s="139" t="n"/>
      <c r="E994" s="139" t="n"/>
      <c r="F994" s="139" t="n"/>
      <c r="G994" s="55" t="n"/>
      <c r="H994" s="139" t="n"/>
      <c r="I994" s="139" t="n"/>
      <c r="J994" s="139" t="n"/>
      <c r="K994" s="139" t="n"/>
      <c r="L994" s="139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</row>
    <row r="995" ht="45.75" customHeight="1" s="211">
      <c r="A995" s="139" t="n"/>
      <c r="B995" s="139" t="n"/>
      <c r="C995" s="139" t="n"/>
      <c r="D995" s="139" t="n"/>
      <c r="E995" s="139" t="n"/>
      <c r="F995" s="139" t="n"/>
      <c r="G995" s="55" t="n"/>
      <c r="H995" s="139" t="n"/>
      <c r="I995" s="139" t="n"/>
      <c r="J995" s="139" t="n"/>
      <c r="K995" s="139" t="n"/>
      <c r="L995" s="139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</row>
    <row r="996" ht="45.75" customHeight="1" s="211">
      <c r="A996" s="139" t="n"/>
      <c r="B996" s="139" t="n"/>
      <c r="C996" s="139" t="n"/>
      <c r="D996" s="139" t="n"/>
      <c r="E996" s="139" t="n"/>
      <c r="F996" s="139" t="n"/>
      <c r="G996" s="55" t="n"/>
      <c r="H996" s="139" t="n"/>
      <c r="I996" s="139" t="n"/>
      <c r="J996" s="139" t="n"/>
      <c r="K996" s="139" t="n"/>
      <c r="L996" s="139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</row>
    <row r="997" ht="45.75" customHeight="1" s="211">
      <c r="A997" s="139" t="n"/>
      <c r="B997" s="139" t="n"/>
      <c r="C997" s="139" t="n"/>
      <c r="D997" s="139" t="n"/>
      <c r="E997" s="139" t="n"/>
      <c r="F997" s="139" t="n"/>
      <c r="G997" s="55" t="n"/>
      <c r="H997" s="139" t="n"/>
      <c r="I997" s="139" t="n"/>
      <c r="J997" s="139" t="n"/>
      <c r="K997" s="139" t="n"/>
      <c r="L997" s="139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</row>
    <row r="998" ht="45.75" customHeight="1" s="211">
      <c r="A998" s="139" t="n"/>
      <c r="B998" s="139" t="n"/>
      <c r="C998" s="139" t="n"/>
      <c r="D998" s="139" t="n"/>
      <c r="E998" s="139" t="n"/>
      <c r="F998" s="139" t="n"/>
      <c r="G998" s="55" t="n"/>
      <c r="H998" s="139" t="n"/>
      <c r="I998" s="139" t="n"/>
      <c r="J998" s="139" t="n"/>
      <c r="K998" s="139" t="n"/>
      <c r="L998" s="139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</row>
    <row r="999" ht="45.75" customHeight="1" s="211">
      <c r="A999" s="139" t="n"/>
      <c r="B999" s="139" t="n"/>
      <c r="C999" s="139" t="n"/>
      <c r="D999" s="139" t="n"/>
      <c r="E999" s="139" t="n"/>
      <c r="F999" s="139" t="n"/>
      <c r="G999" s="55" t="n"/>
      <c r="H999" s="139" t="n"/>
      <c r="I999" s="139" t="n"/>
      <c r="J999" s="139" t="n"/>
      <c r="K999" s="139" t="n"/>
      <c r="L999" s="139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</row>
    <row r="1000" ht="45.75" customHeight="1" s="211">
      <c r="A1000" s="139" t="n"/>
      <c r="B1000" s="139" t="n"/>
      <c r="C1000" s="139" t="n"/>
      <c r="D1000" s="139" t="n"/>
      <c r="E1000" s="139" t="n"/>
      <c r="F1000" s="139" t="n"/>
      <c r="G1000" s="55" t="n"/>
      <c r="H1000" s="139" t="n"/>
      <c r="I1000" s="139" t="n"/>
      <c r="J1000" s="139" t="n"/>
      <c r="K1000" s="139" t="n"/>
      <c r="L1000" s="139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</row>
  </sheetData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location="parking" r:id="rId3"/>
    <hyperlink xmlns:r="http://schemas.openxmlformats.org/officeDocument/2006/relationships" ref="J7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2" r:id="rId15"/>
    <hyperlink xmlns:r="http://schemas.openxmlformats.org/officeDocument/2006/relationships" ref="J23" r:id="rId16"/>
    <hyperlink xmlns:r="http://schemas.openxmlformats.org/officeDocument/2006/relationships" ref="J24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7" r:id="rId20"/>
    <hyperlink xmlns:r="http://schemas.openxmlformats.org/officeDocument/2006/relationships" ref="J28" r:id="rId21"/>
    <hyperlink xmlns:r="http://schemas.openxmlformats.org/officeDocument/2006/relationships" ref="J29" r:id="rId22"/>
    <hyperlink xmlns:r="http://schemas.openxmlformats.org/officeDocument/2006/relationships" ref="J30" r:id="rId23"/>
    <hyperlink xmlns:r="http://schemas.openxmlformats.org/officeDocument/2006/relationships" ref="J31" r:id="rId24"/>
    <hyperlink xmlns:r="http://schemas.openxmlformats.org/officeDocument/2006/relationships" ref="J32" r:id="rId25"/>
    <hyperlink xmlns:r="http://schemas.openxmlformats.org/officeDocument/2006/relationships" ref="J33" r:id="rId26"/>
    <hyperlink xmlns:r="http://schemas.openxmlformats.org/officeDocument/2006/relationships" ref="J34" r:id="rId27"/>
    <hyperlink xmlns:r="http://schemas.openxmlformats.org/officeDocument/2006/relationships" ref="J38" r:id="rId28"/>
    <hyperlink xmlns:r="http://schemas.openxmlformats.org/officeDocument/2006/relationships" ref="J39" r:id="rId29"/>
    <hyperlink xmlns:r="http://schemas.openxmlformats.org/officeDocument/2006/relationships" ref="J41" r:id="rId30"/>
    <hyperlink xmlns:r="http://schemas.openxmlformats.org/officeDocument/2006/relationships" ref="J42" r:id="rId31"/>
    <hyperlink xmlns:r="http://schemas.openxmlformats.org/officeDocument/2006/relationships" ref="J43" r:id="rId32"/>
    <hyperlink xmlns:r="http://schemas.openxmlformats.org/officeDocument/2006/relationships" ref="J44" r:id="rId33"/>
    <hyperlink xmlns:r="http://schemas.openxmlformats.org/officeDocument/2006/relationships" ref="J46" r:id="rId34"/>
    <hyperlink xmlns:r="http://schemas.openxmlformats.org/officeDocument/2006/relationships" ref="J50" r:id="rId35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060"/>
  <sheetViews>
    <sheetView workbookViewId="0">
      <selection activeCell="A1" sqref="A1"/>
    </sheetView>
  </sheetViews>
  <sheetFormatPr baseColWidth="8" defaultColWidth="12.63" defaultRowHeight="15" customHeight="1"/>
  <cols>
    <col width="23" customWidth="1" style="211" min="1" max="1"/>
    <col width="12.13" customWidth="1" style="211" min="2" max="2"/>
    <col width="22.88" customWidth="1" style="211" min="3" max="3"/>
    <col width="12.25" customWidth="1" style="211" min="4" max="10"/>
    <col width="18" customWidth="1" style="211" min="11" max="11"/>
    <col width="17" customWidth="1" style="211" min="13" max="13"/>
    <col width="16.88" customWidth="1" style="211" min="14" max="14"/>
  </cols>
  <sheetData>
    <row r="1" ht="54.75" customHeight="1" s="211">
      <c r="A1" s="162" t="inlineStr">
        <is>
          <t>Account</t>
        </is>
      </c>
      <c r="B1" s="5" t="inlineStr">
        <is>
          <t>Account Type</t>
        </is>
      </c>
      <c r="C1" s="10" t="inlineStr">
        <is>
          <t>Valet Operator</t>
        </is>
      </c>
      <c r="D1" s="162" t="inlineStr">
        <is>
          <t># of Rooms</t>
        </is>
      </c>
      <c r="E1" s="163" t="inlineStr">
        <is>
          <t>Occupancy Rate</t>
        </is>
      </c>
      <c r="F1" s="163" t="inlineStr">
        <is>
          <t>Forecast</t>
        </is>
      </c>
      <c r="G1" s="163" t="inlineStr">
        <is>
          <t>Valet Conversion Rate</t>
        </is>
      </c>
      <c r="H1" s="163" t="inlineStr">
        <is>
          <t>Estimated Daily Valet Count</t>
        </is>
      </c>
      <c r="I1" s="163" t="inlineStr">
        <is>
          <t>Estimated Daily Revenue</t>
        </is>
      </c>
      <c r="J1" s="163" t="inlineStr">
        <is>
          <t>Estimated Annual Revenue</t>
        </is>
      </c>
      <c r="K1" s="163" t="inlineStr">
        <is>
          <t>Estimate Net Operating Income Annually</t>
        </is>
      </c>
      <c r="L1" s="124" t="inlineStr">
        <is>
          <t>Total Daily Rev</t>
        </is>
      </c>
      <c r="M1" s="124" t="inlineStr">
        <is>
          <t>Total Annual Rev</t>
        </is>
      </c>
      <c r="N1" s="124" t="inlineStr">
        <is>
          <t>Total Annual NOI</t>
        </is>
      </c>
    </row>
    <row r="2" hidden="1" ht="54.75" customHeight="1" s="211">
      <c r="A2" s="164">
        <f>Accounts!A2</f>
        <v/>
      </c>
      <c r="B2" s="29" t="inlineStr">
        <is>
          <t>Restaurant</t>
        </is>
      </c>
      <c r="C2" s="77" t="n"/>
      <c r="D2" s="165">
        <f>Accounts!K2</f>
        <v/>
      </c>
      <c r="E2" s="166" t="n">
        <v>0.6</v>
      </c>
      <c r="F2" s="167">
        <f>Accounts!K2*E2</f>
        <v/>
      </c>
      <c r="G2" s="166" t="n">
        <v>0.4</v>
      </c>
      <c r="H2" s="167">
        <f>F2*G2</f>
        <v/>
      </c>
      <c r="I2" s="168">
        <f>if(or(eq(Accounts!J2,"No Valet"),eq(Accounts!J2,"Has Valet")), H2 * AVERAGE(Accounts!J$2:J$36),H2*Accounts!J2)</f>
        <v/>
      </c>
      <c r="J2" s="168">
        <f>iferror(I2*360,"")</f>
        <v/>
      </c>
      <c r="K2" s="168">
        <f>J2*0.1</f>
        <v/>
      </c>
      <c r="L2" s="169">
        <f>sum(I2:I72)</f>
        <v/>
      </c>
      <c r="M2" s="169">
        <f>sum(J2:J72)</f>
        <v/>
      </c>
      <c r="N2" s="169">
        <f>sum(K2:K72)</f>
        <v/>
      </c>
    </row>
    <row r="3" ht="54.75" customHeight="1" s="211">
      <c r="A3" s="164">
        <f>Accounts!A3</f>
        <v/>
      </c>
      <c r="B3" s="55" t="inlineStr">
        <is>
          <t>Hotel</t>
        </is>
      </c>
      <c r="C3" s="65" t="inlineStr">
        <is>
          <t>Preferred Parking</t>
        </is>
      </c>
      <c r="D3" s="165">
        <f>Accounts!K3</f>
        <v/>
      </c>
      <c r="E3" s="166" t="n">
        <v>0.6</v>
      </c>
      <c r="F3" s="167">
        <f>Accounts!K3*E3</f>
        <v/>
      </c>
      <c r="G3" s="166" t="n">
        <v>0.4</v>
      </c>
      <c r="H3" s="167">
        <f>F3*G3</f>
        <v/>
      </c>
      <c r="I3" s="168">
        <f>if(or(eq(Accounts!J3,"No Valet"),eq(Accounts!J3,"Has Valet")), H3 * AVERAGE(Accounts!J$2:J$36),H3*Accounts!J3)</f>
        <v/>
      </c>
      <c r="J3" s="168">
        <f>iferror(I3*360,"")</f>
        <v/>
      </c>
      <c r="K3" s="168">
        <f>J3*0.2</f>
        <v/>
      </c>
      <c r="M3" s="170">
        <f>sum(J3:J72)</f>
        <v/>
      </c>
      <c r="N3" s="170">
        <f>sum(K3:K72)*2</f>
        <v/>
      </c>
    </row>
    <row r="4" ht="54.75" customHeight="1" s="211">
      <c r="A4" s="164">
        <f>Accounts!A4</f>
        <v/>
      </c>
      <c r="B4" s="55" t="inlineStr">
        <is>
          <t>Hotel</t>
        </is>
      </c>
      <c r="C4" s="65" t="inlineStr">
        <is>
          <t>None</t>
        </is>
      </c>
      <c r="D4" s="165">
        <f>Accounts!K4</f>
        <v/>
      </c>
      <c r="E4" s="166" t="n">
        <v>0.6</v>
      </c>
      <c r="F4" s="167">
        <f>Accounts!K4*E4</f>
        <v/>
      </c>
      <c r="G4" s="166" t="n">
        <v>0.4</v>
      </c>
      <c r="H4" s="167">
        <f>F4*G4</f>
        <v/>
      </c>
      <c r="I4" s="168">
        <f>H4*40</f>
        <v/>
      </c>
      <c r="J4" s="168">
        <f>iferror(I4*360,"")</f>
        <v/>
      </c>
      <c r="K4" s="168">
        <f>J4*0.2</f>
        <v/>
      </c>
    </row>
    <row r="5" ht="54.75" customHeight="1" s="211">
      <c r="A5" s="164">
        <f>Accounts!A5</f>
        <v/>
      </c>
      <c r="B5" s="29" t="inlineStr">
        <is>
          <t>Restaurant</t>
        </is>
      </c>
      <c r="C5" s="65" t="inlineStr">
        <is>
          <t>SOPHI</t>
        </is>
      </c>
      <c r="D5" s="171">
        <f>Accounts!K5</f>
        <v/>
      </c>
      <c r="E5" s="166" t="n">
        <v>0.6</v>
      </c>
      <c r="F5" s="167">
        <f>Accounts!K5*E5</f>
        <v/>
      </c>
      <c r="G5" s="166" t="n">
        <v>0.4</v>
      </c>
      <c r="H5" s="167">
        <f>F5*G5</f>
        <v/>
      </c>
      <c r="I5" s="168">
        <f>if(or(eq(Accounts!J5,"No Valet"),eq(Accounts!J5,"Has Valet")), H5 * AVERAGE(Accounts!J$2:J$36),H5*Accounts!J5)</f>
        <v/>
      </c>
      <c r="J5" s="168" t="n">
        <v>100000</v>
      </c>
      <c r="K5" s="168">
        <f>J5*0.25</f>
        <v/>
      </c>
    </row>
    <row r="6" ht="54.75" customHeight="1" s="211">
      <c r="A6" s="164">
        <f>Accounts!A6</f>
        <v/>
      </c>
      <c r="B6" s="29" t="inlineStr">
        <is>
          <t>Restaurant</t>
        </is>
      </c>
      <c r="C6" s="65" t="inlineStr">
        <is>
          <t>Park Inc</t>
        </is>
      </c>
      <c r="D6" s="171">
        <f>Accounts!K6</f>
        <v/>
      </c>
      <c r="E6" s="166" t="n">
        <v>0.6</v>
      </c>
      <c r="F6" s="167">
        <f>Accounts!K6*E6</f>
        <v/>
      </c>
      <c r="G6" s="166" t="n">
        <v>0.4</v>
      </c>
      <c r="H6" s="167">
        <f>F6*G6</f>
        <v/>
      </c>
      <c r="I6" s="168">
        <f>if(or(eq(Accounts!J6,"No Valet"),eq(Accounts!J6,"Has Valet")), H6 * AVERAGE(Accounts!J$2:J$36),H6*Accounts!J6)</f>
        <v/>
      </c>
      <c r="J6" s="168" t="n">
        <v>150000</v>
      </c>
      <c r="K6" s="168">
        <f>J6*0.25</f>
        <v/>
      </c>
    </row>
    <row r="7" ht="54.75" customHeight="1" s="211">
      <c r="A7" s="164">
        <f>Accounts!A7</f>
        <v/>
      </c>
      <c r="B7" s="55" t="inlineStr">
        <is>
          <t>Hotel</t>
        </is>
      </c>
      <c r="C7" s="65" t="inlineStr">
        <is>
          <t>None</t>
        </is>
      </c>
      <c r="D7" s="171">
        <f>Accounts!K7</f>
        <v/>
      </c>
      <c r="E7" s="166" t="n">
        <v>0.6</v>
      </c>
      <c r="F7" s="167">
        <f>Accounts!K7*E7</f>
        <v/>
      </c>
      <c r="G7" s="166" t="n">
        <v>0.4</v>
      </c>
      <c r="H7" s="167">
        <f>F7*G7</f>
        <v/>
      </c>
      <c r="I7" s="168">
        <f>H7*40</f>
        <v/>
      </c>
      <c r="J7" s="168">
        <f>iferror(I7*360,"")</f>
        <v/>
      </c>
      <c r="K7" s="168">
        <f>J7*0.1</f>
        <v/>
      </c>
    </row>
    <row r="8" ht="54.75" customHeight="1" s="211">
      <c r="A8" s="164">
        <f>Accounts!A8</f>
        <v/>
      </c>
      <c r="B8" s="29" t="inlineStr">
        <is>
          <t>Restaurant</t>
        </is>
      </c>
      <c r="C8" s="65" t="inlineStr">
        <is>
          <t>Park Inc</t>
        </is>
      </c>
      <c r="D8" s="165">
        <f>Accounts!K8</f>
        <v/>
      </c>
      <c r="E8" s="166" t="n">
        <v>0.6</v>
      </c>
      <c r="F8" s="167">
        <f>Accounts!K8*E8</f>
        <v/>
      </c>
      <c r="G8" s="166" t="n">
        <v>0.4</v>
      </c>
      <c r="H8" s="167">
        <f>F8*G8</f>
        <v/>
      </c>
      <c r="I8" s="168">
        <f>if(or(eq(Accounts!J8,"No Valet"),eq(Accounts!J8,"Has Valet")), H8 * AVERAGE(Accounts!J$2:J$36),H8*Accounts!J8)</f>
        <v/>
      </c>
      <c r="J8" s="168" t="n">
        <v>150000</v>
      </c>
      <c r="K8" s="168">
        <f>J8*0.25</f>
        <v/>
      </c>
    </row>
    <row r="9" ht="54.75" customHeight="1" s="211">
      <c r="A9" s="164">
        <f>Accounts!A9</f>
        <v/>
      </c>
      <c r="B9" s="55" t="inlineStr">
        <is>
          <t>Hotel</t>
        </is>
      </c>
      <c r="C9" s="65" t="inlineStr">
        <is>
          <t>None</t>
        </is>
      </c>
      <c r="D9" s="171">
        <f>Accounts!K9</f>
        <v/>
      </c>
      <c r="E9" s="166" t="n">
        <v>0.6</v>
      </c>
      <c r="F9" s="167">
        <f>Accounts!K9*E9</f>
        <v/>
      </c>
      <c r="G9" s="166" t="n">
        <v>0.4</v>
      </c>
      <c r="H9" s="167">
        <f>F9*G9</f>
        <v/>
      </c>
      <c r="I9" s="168">
        <f>H9*40</f>
        <v/>
      </c>
      <c r="J9" s="168">
        <f>iferror(I9*360,"")</f>
        <v/>
      </c>
      <c r="K9" s="168">
        <f>J9*0.1</f>
        <v/>
      </c>
    </row>
    <row r="10" ht="54.75" customHeight="1" s="211">
      <c r="A10" s="164">
        <f>Accounts!A10</f>
        <v/>
      </c>
      <c r="B10" s="29" t="inlineStr">
        <is>
          <t>Restaurant</t>
        </is>
      </c>
      <c r="C10" s="65" t="inlineStr">
        <is>
          <t>Park Inc</t>
        </is>
      </c>
      <c r="D10" s="171">
        <f>Accounts!K10</f>
        <v/>
      </c>
      <c r="E10" s="166" t="n">
        <v>0.6</v>
      </c>
      <c r="F10" s="167">
        <f>Accounts!K10*E10</f>
        <v/>
      </c>
      <c r="G10" s="166" t="n">
        <v>0.4</v>
      </c>
      <c r="H10" s="167">
        <f>F10*G10</f>
        <v/>
      </c>
      <c r="I10" s="168">
        <f>if(or(eq(Accounts!J10,"No Valet"),eq(Accounts!J10,"Has Valet")), H10 * AVERAGE(Accounts!J$2:J$36),H10*Accounts!J10)</f>
        <v/>
      </c>
      <c r="J10" s="168" t="n">
        <v>150000</v>
      </c>
      <c r="K10" s="168">
        <f>J10*0.25</f>
        <v/>
      </c>
    </row>
    <row r="11" ht="54.75" customHeight="1" s="211">
      <c r="A11" s="164">
        <f>Accounts!A11</f>
        <v/>
      </c>
      <c r="B11" s="55" t="inlineStr">
        <is>
          <t>Hotel</t>
        </is>
      </c>
      <c r="C11" s="65" t="inlineStr">
        <is>
          <t>None</t>
        </is>
      </c>
      <c r="D11" s="171">
        <f>Accounts!K11</f>
        <v/>
      </c>
      <c r="E11" s="166" t="n">
        <v>0.6</v>
      </c>
      <c r="F11" s="167">
        <f>Accounts!K11*E11</f>
        <v/>
      </c>
      <c r="G11" s="166" t="n">
        <v>0.4</v>
      </c>
      <c r="H11" s="167">
        <f>F11*G11</f>
        <v/>
      </c>
      <c r="I11" s="168">
        <f>H11*40</f>
        <v/>
      </c>
      <c r="J11" s="168">
        <f>iferror(I11*360,"")</f>
        <v/>
      </c>
      <c r="K11" s="168">
        <f>J11*0.1</f>
        <v/>
      </c>
    </row>
    <row r="12" ht="54.75" customHeight="1" s="211">
      <c r="A12" s="164">
        <f>Accounts!A12</f>
        <v/>
      </c>
      <c r="B12" s="55" t="inlineStr">
        <is>
          <t>Hotel</t>
        </is>
      </c>
      <c r="C12" s="65" t="inlineStr">
        <is>
          <t>None</t>
        </is>
      </c>
      <c r="D12" s="171">
        <f>Accounts!K12</f>
        <v/>
      </c>
      <c r="E12" s="166" t="n">
        <v>0.6</v>
      </c>
      <c r="F12" s="167">
        <f>Accounts!K12*E12</f>
        <v/>
      </c>
      <c r="G12" s="166" t="n">
        <v>0.4</v>
      </c>
      <c r="H12" s="167">
        <f>F12*G12</f>
        <v/>
      </c>
      <c r="I12" s="168">
        <f>H12*40</f>
        <v/>
      </c>
      <c r="J12" s="168">
        <f>iferror(I12*360,"")</f>
        <v/>
      </c>
      <c r="K12" s="168">
        <f>J12*0.1</f>
        <v/>
      </c>
    </row>
    <row r="13" ht="54.75" customHeight="1" s="211">
      <c r="A13" s="164">
        <f>Accounts!A13</f>
        <v/>
      </c>
      <c r="B13" s="55" t="inlineStr">
        <is>
          <t>Hotel</t>
        </is>
      </c>
      <c r="C13" s="65" t="inlineStr">
        <is>
          <t>None</t>
        </is>
      </c>
      <c r="D13" s="165">
        <f>Accounts!K13</f>
        <v/>
      </c>
      <c r="E13" s="166" t="n">
        <v>0.6</v>
      </c>
      <c r="F13" s="167">
        <f>Accounts!K13*E13</f>
        <v/>
      </c>
      <c r="G13" s="166" t="n">
        <v>0.4</v>
      </c>
      <c r="H13" s="167">
        <f>F13*G13</f>
        <v/>
      </c>
      <c r="I13" s="168">
        <f>H13*40</f>
        <v/>
      </c>
      <c r="J13" s="168">
        <f>iferror(I13*360,"")</f>
        <v/>
      </c>
      <c r="K13" s="168">
        <f>J13*0.1</f>
        <v/>
      </c>
    </row>
    <row r="14" ht="54.75" customHeight="1" s="211">
      <c r="A14" s="164">
        <f>Accounts!A14</f>
        <v/>
      </c>
      <c r="B14" s="29" t="inlineStr">
        <is>
          <t>Restaurant</t>
        </is>
      </c>
      <c r="C14" s="65" t="inlineStr">
        <is>
          <t>SOPHI</t>
        </is>
      </c>
      <c r="D14" s="171">
        <f>Accounts!K14</f>
        <v/>
      </c>
      <c r="E14" s="166" t="n">
        <v>0.6</v>
      </c>
      <c r="F14" s="167">
        <f>Accounts!K14*E14</f>
        <v/>
      </c>
      <c r="G14" s="166" t="n">
        <v>0.4</v>
      </c>
      <c r="H14" s="167">
        <f>F14*G14</f>
        <v/>
      </c>
      <c r="I14" s="168">
        <f>if(or(eq(Accounts!J14,"No Valet"),eq(Accounts!J14,"Has Valet")), H14 * AVERAGE(Accounts!J$2:J$36),H14*Accounts!J14)</f>
        <v/>
      </c>
      <c r="J14" s="168" t="n">
        <v>150000</v>
      </c>
      <c r="K14" s="168">
        <f>J14*0.25</f>
        <v/>
      </c>
    </row>
    <row r="15" ht="54.75" customHeight="1" s="211">
      <c r="A15" s="164">
        <f>Accounts!A15</f>
        <v/>
      </c>
      <c r="B15" s="55" t="inlineStr">
        <is>
          <t>Hotel</t>
        </is>
      </c>
      <c r="C15" s="65" t="inlineStr">
        <is>
          <t>PMC</t>
        </is>
      </c>
      <c r="D15" s="165">
        <f>Accounts!K15</f>
        <v/>
      </c>
      <c r="E15" s="166" t="n">
        <v>0.6</v>
      </c>
      <c r="F15" s="167">
        <f>Accounts!K15*E15</f>
        <v/>
      </c>
      <c r="G15" s="166" t="n">
        <v>0.4</v>
      </c>
      <c r="H15" s="167">
        <f>F15*G15</f>
        <v/>
      </c>
      <c r="I15" s="168">
        <f>if(or(eq(Accounts!J15,"No Valet"),eq(Accounts!J15,"Has Valet")), H15 * AVERAGE(Accounts!J$2:J$36),H15*Accounts!J15)</f>
        <v/>
      </c>
      <c r="J15" s="168">
        <f>iferror(I15*360,"")</f>
        <v/>
      </c>
      <c r="K15" s="168">
        <f>J15*0.1</f>
        <v/>
      </c>
    </row>
    <row r="16" hidden="1" ht="54.75" customHeight="1" s="211">
      <c r="A16" s="164">
        <f>Accounts!A16</f>
        <v/>
      </c>
      <c r="B16" s="55" t="inlineStr">
        <is>
          <t>Hotel</t>
        </is>
      </c>
      <c r="C16" s="39" t="n"/>
      <c r="D16" s="171">
        <f>Accounts!K16</f>
        <v/>
      </c>
      <c r="E16" s="166" t="n">
        <v>0.6</v>
      </c>
      <c r="F16" s="167">
        <f>Accounts!K16*E16</f>
        <v/>
      </c>
      <c r="G16" s="166" t="n">
        <v>0.4</v>
      </c>
      <c r="H16" s="167">
        <f>F16*G16</f>
        <v/>
      </c>
      <c r="I16" s="168">
        <f>if(or(eq(Accounts!J16,"No Valet"),eq(Accounts!J16,"Has Valet")), H16 * AVERAGE(Accounts!J$2:J$36),H16*Accounts!J16)</f>
        <v/>
      </c>
      <c r="J16" s="168">
        <f>iferror(I16*360,"")</f>
        <v/>
      </c>
      <c r="K16" s="168">
        <f>J16*0.1</f>
        <v/>
      </c>
    </row>
    <row r="17" hidden="1" ht="54.75" customHeight="1" s="211">
      <c r="A17" s="164">
        <f>Accounts!A17</f>
        <v/>
      </c>
      <c r="B17" s="55" t="inlineStr">
        <is>
          <t>Hotel</t>
        </is>
      </c>
      <c r="C17" s="52" t="n"/>
      <c r="D17" s="171">
        <f>Accounts!K17</f>
        <v/>
      </c>
      <c r="E17" s="166" t="n">
        <v>0.6</v>
      </c>
      <c r="F17" s="167">
        <f>Accounts!K17*E17</f>
        <v/>
      </c>
      <c r="G17" s="166" t="n">
        <v>0.4</v>
      </c>
      <c r="H17" s="167">
        <f>F17*G17</f>
        <v/>
      </c>
      <c r="I17" s="168">
        <f>if(or(eq(Accounts!J17,"No Valet"),eq(Accounts!J17,"Has Valet")), H17 * AVERAGE(Accounts!J$2:J$36),H17*Accounts!J17)</f>
        <v/>
      </c>
      <c r="J17" s="168">
        <f>iferror(I17*360,"")</f>
        <v/>
      </c>
      <c r="K17" s="168">
        <f>J17*0.1</f>
        <v/>
      </c>
    </row>
    <row r="18" ht="54.75" customHeight="1" s="211">
      <c r="A18" s="164">
        <f>Accounts!A18</f>
        <v/>
      </c>
      <c r="B18" s="55" t="inlineStr">
        <is>
          <t>Hotel</t>
        </is>
      </c>
      <c r="C18" s="31" t="inlineStr">
        <is>
          <t>PMC</t>
        </is>
      </c>
      <c r="D18" s="165">
        <f>Accounts!K18</f>
        <v/>
      </c>
      <c r="E18" s="166" t="n">
        <v>0.6</v>
      </c>
      <c r="F18" s="167">
        <f>Accounts!K18*E18</f>
        <v/>
      </c>
      <c r="G18" s="166" t="n">
        <v>0.4</v>
      </c>
      <c r="H18" s="167">
        <f>F18*G18</f>
        <v/>
      </c>
      <c r="I18" s="168">
        <f>if(or(eq(Accounts!J18,"No Valet"),eq(Accounts!J18,"Has Valet")), H18 * AVERAGE(Accounts!J$2:J$36),H18*Accounts!J18)</f>
        <v/>
      </c>
      <c r="J18" s="168">
        <f>iferror(I18*360,"")</f>
        <v/>
      </c>
      <c r="K18" s="168">
        <f>J18*0.1</f>
        <v/>
      </c>
    </row>
    <row r="19" ht="54.75" customHeight="1" s="211">
      <c r="A19" s="164">
        <f>Accounts!A19</f>
        <v/>
      </c>
      <c r="B19" s="55" t="inlineStr">
        <is>
          <t>Hotel</t>
        </is>
      </c>
      <c r="C19" s="41" t="inlineStr">
        <is>
          <t>PMC</t>
        </is>
      </c>
      <c r="D19" s="171">
        <f>Accounts!K19</f>
        <v/>
      </c>
      <c r="E19" s="166" t="n">
        <v>0.6</v>
      </c>
      <c r="F19" s="167">
        <f>Accounts!K19*E19</f>
        <v/>
      </c>
      <c r="G19" s="166" t="n">
        <v>0.4</v>
      </c>
      <c r="H19" s="167">
        <f>F19*G19</f>
        <v/>
      </c>
      <c r="I19" s="168">
        <f>if(or(eq(Accounts!J19,"No Valet"),eq(Accounts!J19,"Has Valet")), H19 * AVERAGE(Accounts!J$2:J$36),H19*Accounts!J19)</f>
        <v/>
      </c>
      <c r="J19" s="168">
        <f>iferror(I19*360,"")</f>
        <v/>
      </c>
      <c r="K19" s="168">
        <f>J19*0.1</f>
        <v/>
      </c>
    </row>
    <row r="20" ht="54.75" customHeight="1" s="211">
      <c r="A20" s="164">
        <f>Accounts!A20</f>
        <v/>
      </c>
      <c r="B20" s="55" t="inlineStr">
        <is>
          <t>Hotel</t>
        </is>
      </c>
      <c r="C20" s="31" t="inlineStr">
        <is>
          <t>In House</t>
        </is>
      </c>
      <c r="D20" s="171">
        <f>Accounts!K20</f>
        <v/>
      </c>
      <c r="E20" s="166" t="n">
        <v>0.6</v>
      </c>
      <c r="F20" s="167">
        <f>Accounts!K20*E20</f>
        <v/>
      </c>
      <c r="G20" s="166" t="n">
        <v>0.4</v>
      </c>
      <c r="H20" s="167">
        <f>F20*G20</f>
        <v/>
      </c>
      <c r="I20" s="168">
        <f>if(or(eq(Accounts!J20,"No Valet"),eq(Accounts!J20,"Has Valet")), H20 * AVERAGE(Accounts!J$2:J$36),H20*Accounts!J20)</f>
        <v/>
      </c>
      <c r="J20" s="168">
        <f>iferror(I20*360,"")</f>
        <v/>
      </c>
      <c r="K20" s="168">
        <f>J20*0.1</f>
        <v/>
      </c>
    </row>
    <row r="21" ht="54.75" customHeight="1" s="211">
      <c r="A21" s="164">
        <f>Accounts!A21</f>
        <v/>
      </c>
      <c r="B21" s="55" t="inlineStr">
        <is>
          <t>Hotel</t>
        </is>
      </c>
      <c r="C21" s="65" t="inlineStr">
        <is>
          <t>PMC</t>
        </is>
      </c>
      <c r="D21" s="171">
        <f>Accounts!K21</f>
        <v/>
      </c>
      <c r="E21" s="166" t="n">
        <v>0.6</v>
      </c>
      <c r="F21" s="167">
        <f>Accounts!K21*E21</f>
        <v/>
      </c>
      <c r="G21" s="166" t="n">
        <v>0.4</v>
      </c>
      <c r="H21" s="167">
        <f>F21*G21</f>
        <v/>
      </c>
      <c r="I21" s="168">
        <f>if(or(eq(Accounts!J21,"No Valet"),eq(Accounts!J21,"Has Valet")), H21 * AVERAGE(Accounts!J$2:J$36),H21*Accounts!J21)</f>
        <v/>
      </c>
      <c r="J21" s="168">
        <f>iferror(I21*360,"")</f>
        <v/>
      </c>
      <c r="K21" s="168">
        <f>J21*0.1</f>
        <v/>
      </c>
    </row>
    <row r="22" hidden="1" ht="54.75" customHeight="1" s="211">
      <c r="A22" s="164">
        <f>Accounts!A22</f>
        <v/>
      </c>
      <c r="B22" s="55" t="inlineStr">
        <is>
          <t>Hotel</t>
        </is>
      </c>
      <c r="C22" s="65" t="n"/>
      <c r="D22" s="165">
        <f>Accounts!K22</f>
        <v/>
      </c>
      <c r="E22" s="166" t="n">
        <v>0.6</v>
      </c>
      <c r="F22" s="167">
        <f>Accounts!K22*E22</f>
        <v/>
      </c>
      <c r="G22" s="166" t="n">
        <v>0.4</v>
      </c>
      <c r="H22" s="167">
        <f>F22*G22</f>
        <v/>
      </c>
      <c r="I22" s="168">
        <f>if(or(eq(Accounts!J22,"No Valet"),eq(Accounts!J22,"Has Valet")), H22 * AVERAGE(Accounts!J$2:J$36),H22*Accounts!J22)</f>
        <v/>
      </c>
      <c r="J22" s="168">
        <f>iferror(I22*360,"")</f>
        <v/>
      </c>
      <c r="K22" s="168">
        <f>J22*0.1</f>
        <v/>
      </c>
    </row>
    <row r="23" ht="54.75" customHeight="1" s="211">
      <c r="A23" s="164">
        <f>Accounts!A23</f>
        <v/>
      </c>
      <c r="B23" s="55" t="inlineStr">
        <is>
          <t>Hotel</t>
        </is>
      </c>
      <c r="C23" s="44" t="inlineStr">
        <is>
          <t>PMC</t>
        </is>
      </c>
      <c r="D23" s="171">
        <f>Accounts!K23</f>
        <v/>
      </c>
      <c r="E23" s="166" t="n">
        <v>0.6</v>
      </c>
      <c r="F23" s="167">
        <f>Accounts!K23*E23</f>
        <v/>
      </c>
      <c r="G23" s="166" t="n">
        <v>0.4</v>
      </c>
      <c r="H23" s="167">
        <f>F23*G23</f>
        <v/>
      </c>
      <c r="I23" s="168">
        <f>if(or(eq(Accounts!J23,"No Valet"),eq(Accounts!J23,"Has Valet")), H23 * AVERAGE(Accounts!J$2:J$36),H23*Accounts!J23)</f>
        <v/>
      </c>
      <c r="J23" s="168">
        <f>iferror(I23*360,"")</f>
        <v/>
      </c>
      <c r="K23" s="168">
        <f>J23*0.1</f>
        <v/>
      </c>
    </row>
    <row r="24" ht="54.75" customHeight="1" s="211">
      <c r="A24" s="164">
        <f>Accounts!A24</f>
        <v/>
      </c>
      <c r="B24" s="29" t="inlineStr">
        <is>
          <t>Restaurant</t>
        </is>
      </c>
      <c r="C24" s="65" t="inlineStr">
        <is>
          <t>None</t>
        </is>
      </c>
      <c r="D24" s="165">
        <f>Accounts!K24</f>
        <v/>
      </c>
      <c r="E24" s="166" t="n">
        <v>0.6</v>
      </c>
      <c r="F24" s="167">
        <f>Accounts!K24*E24</f>
        <v/>
      </c>
      <c r="G24" s="166" t="n">
        <v>0.4</v>
      </c>
      <c r="H24" s="167">
        <f>F24*G24</f>
        <v/>
      </c>
      <c r="I24" s="168">
        <f>if(or(eq(Accounts!J24,"No Valet"),eq(Accounts!J24,"Has Valet")), H24 * AVERAGE(Accounts!J$2:J$36),H24*Accounts!J24)</f>
        <v/>
      </c>
      <c r="J24" s="168" t="n">
        <v>100000</v>
      </c>
      <c r="K24" s="168">
        <f>J24*0.1</f>
        <v/>
      </c>
    </row>
    <row r="25" ht="54.75" customHeight="1" s="211">
      <c r="A25" s="164">
        <f>Accounts!A25</f>
        <v/>
      </c>
      <c r="B25" s="29" t="inlineStr">
        <is>
          <t>Restaurant</t>
        </is>
      </c>
      <c r="C25" s="65" t="inlineStr">
        <is>
          <t>Park Inc</t>
        </is>
      </c>
      <c r="D25" s="171">
        <f>Accounts!K25</f>
        <v/>
      </c>
      <c r="E25" s="166" t="n">
        <v>0.6</v>
      </c>
      <c r="F25" s="167">
        <f>Accounts!K25*E25</f>
        <v/>
      </c>
      <c r="G25" s="166" t="n">
        <v>0.4</v>
      </c>
      <c r="H25" s="167">
        <f>F25*G25</f>
        <v/>
      </c>
      <c r="I25" s="168">
        <f>if(or(eq(Accounts!J25,"No Valet"),eq(Accounts!J25,"Has Valet")), H25 * AVERAGE(Accounts!J$2:J$36),H25*Accounts!J25)</f>
        <v/>
      </c>
      <c r="J25" s="168" t="n">
        <v>150000</v>
      </c>
      <c r="K25" s="168">
        <f>J25*0.25</f>
        <v/>
      </c>
    </row>
    <row r="26" ht="54.75" customHeight="1" s="211">
      <c r="A26" s="164">
        <f>Accounts!A26</f>
        <v/>
      </c>
      <c r="B26" s="55" t="inlineStr">
        <is>
          <t>Hotel</t>
        </is>
      </c>
      <c r="C26" s="31" t="inlineStr">
        <is>
          <t>PMC</t>
        </is>
      </c>
      <c r="D26" s="165">
        <f>Accounts!K26</f>
        <v/>
      </c>
      <c r="E26" s="166" t="n">
        <v>0.6</v>
      </c>
      <c r="F26" s="167">
        <f>Accounts!K26*E26</f>
        <v/>
      </c>
      <c r="G26" s="166" t="n">
        <v>0.4</v>
      </c>
      <c r="H26" s="167">
        <f>F26*G26</f>
        <v/>
      </c>
      <c r="I26" s="168">
        <f>if(or(eq(Accounts!J26,"No Valet"),eq(Accounts!J26,"Has Valet")), H26 * AVERAGE(Accounts!J$2:J$36),H26*Accounts!J26)</f>
        <v/>
      </c>
      <c r="J26" s="168">
        <f>iferror(I26*360,"")</f>
        <v/>
      </c>
      <c r="K26" s="168">
        <f>J26*0.1</f>
        <v/>
      </c>
    </row>
    <row r="27" ht="54.75" customHeight="1" s="211">
      <c r="A27" s="164">
        <f>Accounts!A27</f>
        <v/>
      </c>
      <c r="B27" s="29" t="inlineStr">
        <is>
          <t>Restaurant</t>
        </is>
      </c>
      <c r="C27" s="65" t="inlineStr">
        <is>
          <t>None</t>
        </is>
      </c>
      <c r="D27" s="165">
        <f>Accounts!K27</f>
        <v/>
      </c>
      <c r="E27" s="166" t="n">
        <v>0.6</v>
      </c>
      <c r="F27" s="167">
        <f>Accounts!K27*E27</f>
        <v/>
      </c>
      <c r="G27" s="166" t="n">
        <v>0.4</v>
      </c>
      <c r="H27" s="167">
        <f>F27*G27</f>
        <v/>
      </c>
      <c r="I27" s="168">
        <f>if(or(eq(Accounts!J27,"No Valet"),eq(Accounts!J27,"Has Valet")), H27 * AVERAGE(Accounts!J$2:J$36),H27*Accounts!J27)</f>
        <v/>
      </c>
      <c r="J27" s="168" t="n">
        <v>100000</v>
      </c>
      <c r="K27" s="168">
        <f>J27*0.1</f>
        <v/>
      </c>
    </row>
    <row r="28" ht="54.75" customHeight="1" s="211">
      <c r="A28" s="164">
        <f>Accounts!A28</f>
        <v/>
      </c>
      <c r="B28" s="29" t="inlineStr">
        <is>
          <t>Restaurant</t>
        </is>
      </c>
      <c r="C28" s="65" t="inlineStr">
        <is>
          <t>None</t>
        </is>
      </c>
      <c r="D28" s="165">
        <f>Accounts!K28</f>
        <v/>
      </c>
      <c r="E28" s="166" t="n">
        <v>0.6</v>
      </c>
      <c r="F28" s="167">
        <f>Accounts!K28*E28</f>
        <v/>
      </c>
      <c r="G28" s="166" t="n">
        <v>0.4</v>
      </c>
      <c r="H28" s="167">
        <f>F28*G28</f>
        <v/>
      </c>
      <c r="I28" s="168">
        <f>if(or(eq(Accounts!J28,"No Valet"),eq(Accounts!J28,"Has Valet")), H28 * AVERAGE(Accounts!J$2:J$36),H28*Accounts!J28)</f>
        <v/>
      </c>
      <c r="J28" s="168" t="n">
        <v>100000</v>
      </c>
      <c r="K28" s="168">
        <f>J28*0.1</f>
        <v/>
      </c>
    </row>
    <row r="29" ht="54.75" customHeight="1" s="211">
      <c r="A29" s="164">
        <f>Accounts!A29</f>
        <v/>
      </c>
      <c r="B29" s="29" t="inlineStr">
        <is>
          <t>Restaurant</t>
        </is>
      </c>
      <c r="C29" s="65" t="inlineStr">
        <is>
          <t>None</t>
        </is>
      </c>
      <c r="D29" s="171">
        <f>Accounts!K29</f>
        <v/>
      </c>
      <c r="E29" s="166" t="n">
        <v>0.6</v>
      </c>
      <c r="F29" s="167">
        <f>Accounts!K29*E29</f>
        <v/>
      </c>
      <c r="G29" s="166" t="n">
        <v>0.4</v>
      </c>
      <c r="H29" s="167">
        <f>F29*G29</f>
        <v/>
      </c>
      <c r="I29" s="168">
        <f>if(or(eq(Accounts!J29,"No Valet"),eq(Accounts!J29,"Has Valet")), H29 * AVERAGE(Accounts!J$2:J$36),H29*Accounts!J29)</f>
        <v/>
      </c>
      <c r="J29" s="168" t="n">
        <v>100000</v>
      </c>
      <c r="K29" s="168">
        <f>J29*0.1</f>
        <v/>
      </c>
    </row>
    <row r="30" hidden="1" ht="54.75" customHeight="1" s="211">
      <c r="A30" s="164">
        <f>Accounts!A30</f>
        <v/>
      </c>
      <c r="B30" s="29" t="inlineStr">
        <is>
          <t>Restaurant</t>
        </is>
      </c>
      <c r="C30" s="77" t="n"/>
      <c r="D30" s="165">
        <f>Accounts!K30</f>
        <v/>
      </c>
      <c r="E30" s="166" t="n">
        <v>0.6</v>
      </c>
      <c r="F30" s="167">
        <f>Accounts!K30*E30</f>
        <v/>
      </c>
      <c r="G30" s="166" t="n">
        <v>0.4</v>
      </c>
      <c r="H30" s="167">
        <f>F30*G30</f>
        <v/>
      </c>
      <c r="I30" s="168">
        <f>if(or(eq(Accounts!J30,"No Valet"),eq(Accounts!J30,"Has Valet")), H30 * AVERAGE(Accounts!J$2:J$36),H30*Accounts!J30)</f>
        <v/>
      </c>
      <c r="J30" s="168">
        <f>iferror(I30*360,"")</f>
        <v/>
      </c>
      <c r="K30" s="168">
        <f>J30*0.1</f>
        <v/>
      </c>
    </row>
    <row r="31" ht="54.75" customHeight="1" s="211">
      <c r="A31" s="164">
        <f>Accounts!A31</f>
        <v/>
      </c>
      <c r="B31" s="29" t="inlineStr">
        <is>
          <t>Restaurant</t>
        </is>
      </c>
      <c r="C31" s="65" t="inlineStr">
        <is>
          <t>None</t>
        </is>
      </c>
      <c r="D31" s="165">
        <f>Accounts!K31</f>
        <v/>
      </c>
      <c r="E31" s="166" t="n">
        <v>0.6</v>
      </c>
      <c r="F31" s="167">
        <f>Accounts!K31*E31</f>
        <v/>
      </c>
      <c r="G31" s="166" t="n">
        <v>0.4</v>
      </c>
      <c r="H31" s="167">
        <f>F31*G31</f>
        <v/>
      </c>
      <c r="I31" s="168">
        <f>if(or(eq(Accounts!J31,"No Valet"),eq(Accounts!J31,"Has Valet")), H31 * AVERAGE(Accounts!J$2:J$36),H31*Accounts!J31)</f>
        <v/>
      </c>
      <c r="J31" s="168" t="n">
        <v>100000</v>
      </c>
      <c r="K31" s="168">
        <f>J31*0.1</f>
        <v/>
      </c>
    </row>
    <row r="32" ht="54.75" customHeight="1" s="211">
      <c r="A32" s="164">
        <f>Accounts!A32</f>
        <v/>
      </c>
      <c r="B32" s="29" t="inlineStr">
        <is>
          <t>Restaurant</t>
        </is>
      </c>
      <c r="C32" s="65" t="inlineStr">
        <is>
          <t>None</t>
        </is>
      </c>
      <c r="D32" s="165">
        <f>Accounts!K32</f>
        <v/>
      </c>
      <c r="E32" s="166" t="n">
        <v>0.6</v>
      </c>
      <c r="F32" s="167">
        <f>Accounts!K32*E32</f>
        <v/>
      </c>
      <c r="G32" s="166" t="n">
        <v>0.4</v>
      </c>
      <c r="H32" s="167">
        <f>F32*G32</f>
        <v/>
      </c>
      <c r="I32" s="168">
        <f>if(or(eq(Accounts!J32,"No Valet"),eq(Accounts!J32,"Has Valet")), H32 * AVERAGE(Accounts!J$2:J$36),H32*Accounts!J32)</f>
        <v/>
      </c>
      <c r="J32" s="168" t="n">
        <v>100000</v>
      </c>
      <c r="K32" s="168">
        <f>J32*0.1</f>
        <v/>
      </c>
    </row>
    <row r="33" ht="54.75" customHeight="1" s="211">
      <c r="A33" s="164">
        <f>Accounts!A33</f>
        <v/>
      </c>
      <c r="B33" s="29" t="inlineStr">
        <is>
          <t>Restaurant</t>
        </is>
      </c>
      <c r="C33" s="65" t="inlineStr">
        <is>
          <t>None</t>
        </is>
      </c>
      <c r="D33" s="165">
        <f>Accounts!K33</f>
        <v/>
      </c>
      <c r="E33" s="166" t="n">
        <v>0.6</v>
      </c>
      <c r="F33" s="167">
        <f>Accounts!K33*E33</f>
        <v/>
      </c>
      <c r="G33" s="166" t="n">
        <v>0.4</v>
      </c>
      <c r="H33" s="167">
        <f>F33*G33</f>
        <v/>
      </c>
      <c r="I33" s="168">
        <f>if(or(eq(Accounts!J33,"No Valet"),eq(Accounts!J33,"Has Valet")), H33 * AVERAGE(Accounts!J$2:J$36),H33*Accounts!J33)</f>
        <v/>
      </c>
      <c r="J33" s="168" t="n">
        <v>100000</v>
      </c>
      <c r="K33" s="168">
        <f>J33*0.1</f>
        <v/>
      </c>
    </row>
    <row r="34" hidden="1" ht="54.75" customHeight="1" s="211">
      <c r="A34" s="164">
        <f>Accounts!A34</f>
        <v/>
      </c>
      <c r="B34" s="55" t="inlineStr">
        <is>
          <t>Hotel</t>
        </is>
      </c>
      <c r="C34" s="65" t="n"/>
      <c r="D34" s="165">
        <f>Accounts!K34</f>
        <v/>
      </c>
      <c r="E34" s="166" t="n">
        <v>0.6</v>
      </c>
      <c r="F34" s="167">
        <f>Accounts!K34*E34</f>
        <v/>
      </c>
      <c r="G34" s="166" t="n">
        <v>0.4</v>
      </c>
      <c r="H34" s="167">
        <f>F34*G34</f>
        <v/>
      </c>
      <c r="I34" s="168">
        <f>if(or(eq(Accounts!J34,"No Valet"),eq(Accounts!J34,"Has Valet")), H34 * AVERAGE(Accounts!J$2:J$36),H34*Accounts!J34)</f>
        <v/>
      </c>
      <c r="J34" s="168">
        <f>iferror(I34*360,"")</f>
        <v/>
      </c>
      <c r="K34" s="168">
        <f>J34*0.1</f>
        <v/>
      </c>
    </row>
    <row r="35" ht="54.75" customHeight="1" s="211">
      <c r="A35" s="164">
        <f>Accounts!A35</f>
        <v/>
      </c>
      <c r="B35" s="29" t="inlineStr">
        <is>
          <t>Restaurant</t>
        </is>
      </c>
      <c r="C35" s="65" t="inlineStr">
        <is>
          <t>None</t>
        </is>
      </c>
      <c r="D35" s="165">
        <f>Accounts!K35</f>
        <v/>
      </c>
      <c r="E35" s="166" t="n">
        <v>0.6</v>
      </c>
      <c r="F35" s="167">
        <f>Accounts!K35*E35</f>
        <v/>
      </c>
      <c r="G35" s="166" t="n">
        <v>0.4</v>
      </c>
      <c r="H35" s="167">
        <f>F35*G35</f>
        <v/>
      </c>
      <c r="I35" s="168">
        <f>if(or(eq(Accounts!J35,"No Valet"),eq(Accounts!J35,"Has Valet")), H35 * AVERAGE(Accounts!J$2:J$36),H35*Accounts!J35)</f>
        <v/>
      </c>
      <c r="J35" s="168" t="n">
        <v>100000</v>
      </c>
      <c r="K35" s="168">
        <f>J35*0.1</f>
        <v/>
      </c>
    </row>
    <row r="36" ht="54.75" customHeight="1" s="211">
      <c r="A36" s="164">
        <f>Accounts!A36</f>
        <v/>
      </c>
      <c r="B36" s="29" t="inlineStr">
        <is>
          <t>Restaurant</t>
        </is>
      </c>
      <c r="C36" s="65" t="inlineStr">
        <is>
          <t>None</t>
        </is>
      </c>
      <c r="D36" s="165">
        <f>Accounts!K36</f>
        <v/>
      </c>
      <c r="E36" s="166" t="n">
        <v>0.6</v>
      </c>
      <c r="F36" s="167">
        <f>Accounts!K36*E36</f>
        <v/>
      </c>
      <c r="G36" s="166" t="n">
        <v>0.4</v>
      </c>
      <c r="H36" s="167">
        <f>F36*G36</f>
        <v/>
      </c>
      <c r="I36" s="168">
        <f>if(or(eq(Accounts!J36,"No Valet"),eq(Accounts!J36,"Has Valet")), H36 * AVERAGE(Accounts!J$2:J$36),H36*Accounts!J36)</f>
        <v/>
      </c>
      <c r="J36" s="168" t="n">
        <v>100000</v>
      </c>
      <c r="K36" s="168">
        <f>J36*0.1</f>
        <v/>
      </c>
    </row>
    <row r="37" ht="54.75" customHeight="1" s="211">
      <c r="A37" s="164">
        <f>Accounts!A37</f>
        <v/>
      </c>
      <c r="B37" s="29" t="inlineStr">
        <is>
          <t>Restaurant</t>
        </is>
      </c>
      <c r="C37" s="65" t="inlineStr">
        <is>
          <t>None</t>
        </is>
      </c>
      <c r="D37" s="165">
        <f>Accounts!K37</f>
        <v/>
      </c>
      <c r="E37" s="166" t="n">
        <v>0.6</v>
      </c>
      <c r="F37" s="167">
        <f>Accounts!K37*E37</f>
        <v/>
      </c>
      <c r="G37" s="166" t="n">
        <v>0.4</v>
      </c>
      <c r="H37" s="167">
        <f>F37*G37</f>
        <v/>
      </c>
      <c r="I37" s="168">
        <f>if(or(eq(Accounts!J37,"No Valet"),eq(Accounts!J37,"Has Valet")), H37 * AVERAGE(Accounts!J$2:J$36),H37*Accounts!J37)</f>
        <v/>
      </c>
      <c r="J37" s="168" t="n">
        <v>100000</v>
      </c>
      <c r="K37" s="168">
        <f>J37*0.1</f>
        <v/>
      </c>
    </row>
    <row r="38" ht="54.75" customHeight="1" s="211">
      <c r="A38" s="164">
        <f>Accounts!A38</f>
        <v/>
      </c>
      <c r="B38" s="29" t="inlineStr">
        <is>
          <t>Restaurant</t>
        </is>
      </c>
      <c r="C38" s="77" t="inlineStr">
        <is>
          <t>None</t>
        </is>
      </c>
      <c r="D38" s="165">
        <f>Accounts!K38</f>
        <v/>
      </c>
      <c r="E38" s="166" t="n">
        <v>0.6</v>
      </c>
      <c r="F38" s="167">
        <f>Accounts!K38*E38</f>
        <v/>
      </c>
      <c r="G38" s="166" t="n">
        <v>0.4</v>
      </c>
      <c r="H38" s="167">
        <f>F38*G38</f>
        <v/>
      </c>
      <c r="I38" s="168">
        <f>if(or(eq(Accounts!J38,"No Valet"),eq(Accounts!J38,"Has Valet")), H38 * AVERAGE(Accounts!J$2:J$36),H38*Accounts!J38)</f>
        <v/>
      </c>
      <c r="J38" s="168" t="n">
        <v>100000</v>
      </c>
      <c r="K38" s="168">
        <f>J38*0.1</f>
        <v/>
      </c>
    </row>
    <row r="39" hidden="1" ht="54.75" customHeight="1" s="211">
      <c r="A39" s="164">
        <f>Accounts!A39</f>
        <v/>
      </c>
      <c r="B39" s="55" t="inlineStr">
        <is>
          <t>Hotel</t>
        </is>
      </c>
      <c r="C39" s="39" t="n"/>
      <c r="D39" s="165">
        <f>Accounts!K39</f>
        <v/>
      </c>
      <c r="E39" s="166" t="n">
        <v>0.6</v>
      </c>
      <c r="F39" s="167">
        <f>Accounts!K39*E39</f>
        <v/>
      </c>
      <c r="G39" s="166" t="n">
        <v>0.4</v>
      </c>
      <c r="H39" s="167">
        <f>F39*G39</f>
        <v/>
      </c>
      <c r="I39" s="168">
        <f>if(or(eq(Accounts!J39,"No Valet"),eq(Accounts!J39,"Has Valet")), H39 * AVERAGE(Accounts!J$2:J$36),H39*Accounts!J39)</f>
        <v/>
      </c>
      <c r="J39" s="168">
        <f>iferror(I39*360,"")</f>
        <v/>
      </c>
      <c r="K39" s="168">
        <f>J39*0.1</f>
        <v/>
      </c>
    </row>
    <row r="40" ht="54.75" customHeight="1" s="211">
      <c r="A40" s="164">
        <f>Accounts!A40</f>
        <v/>
      </c>
      <c r="B40" s="29" t="inlineStr">
        <is>
          <t>Restaurant</t>
        </is>
      </c>
      <c r="C40" s="77" t="inlineStr">
        <is>
          <t>None</t>
        </is>
      </c>
      <c r="D40" s="165">
        <f>Accounts!K40</f>
        <v/>
      </c>
      <c r="E40" s="166" t="n">
        <v>0.6</v>
      </c>
      <c r="F40" s="167">
        <f>Accounts!K40*E40</f>
        <v/>
      </c>
      <c r="G40" s="166" t="n">
        <v>0.4</v>
      </c>
      <c r="H40" s="167">
        <f>F40*G40</f>
        <v/>
      </c>
      <c r="I40" s="168">
        <f>if(or(eq(Accounts!J40,"No Valet"),eq(Accounts!J40,"Has Valet")), H40 * AVERAGE(Accounts!J$2:J$36),H40*Accounts!J40)</f>
        <v/>
      </c>
      <c r="J40" s="168" t="n">
        <v>100000</v>
      </c>
      <c r="K40" s="168">
        <f>J40*0.1</f>
        <v/>
      </c>
    </row>
    <row r="41" ht="54.75" customHeight="1" s="211">
      <c r="A41" s="164">
        <f>Accounts!A41</f>
        <v/>
      </c>
      <c r="B41" s="29" t="inlineStr">
        <is>
          <t>Restaurant</t>
        </is>
      </c>
      <c r="C41" s="65" t="inlineStr">
        <is>
          <t>None</t>
        </is>
      </c>
      <c r="D41" s="165">
        <f>Accounts!K41</f>
        <v/>
      </c>
      <c r="E41" s="166" t="n">
        <v>0.6</v>
      </c>
      <c r="F41" s="167">
        <f>Accounts!K41*E41</f>
        <v/>
      </c>
      <c r="G41" s="166" t="n">
        <v>0.4</v>
      </c>
      <c r="H41" s="167">
        <f>F41*G41</f>
        <v/>
      </c>
      <c r="I41" s="168">
        <f>if(or(eq(Accounts!J41,"No Valet"),eq(Accounts!J41,"Has Valet")), H41 * AVERAGE(Accounts!J$2:J$36),H41*Accounts!J41)</f>
        <v/>
      </c>
      <c r="J41" s="168" t="n">
        <v>100000</v>
      </c>
      <c r="K41" s="168">
        <f>J41*0.1</f>
        <v/>
      </c>
    </row>
    <row r="42" ht="54.75" customHeight="1" s="211">
      <c r="A42" s="164">
        <f>Accounts!A42</f>
        <v/>
      </c>
      <c r="B42" s="29" t="inlineStr">
        <is>
          <t>Restaurant</t>
        </is>
      </c>
      <c r="C42" s="65" t="inlineStr">
        <is>
          <t>None</t>
        </is>
      </c>
      <c r="D42" s="171">
        <f>Accounts!K42</f>
        <v/>
      </c>
      <c r="E42" s="166" t="n">
        <v>0.6</v>
      </c>
      <c r="F42" s="167">
        <f>Accounts!K42*E42</f>
        <v/>
      </c>
      <c r="G42" s="166" t="n">
        <v>0.4</v>
      </c>
      <c r="H42" s="167">
        <f>F42*G42</f>
        <v/>
      </c>
      <c r="I42" s="168">
        <f>if(or(eq(Accounts!J42,"No Valet"),eq(Accounts!J42,"Has Valet")), H42 * AVERAGE(Accounts!J$2:J$36),H42*Accounts!J42)</f>
        <v/>
      </c>
      <c r="J42" s="168" t="n">
        <v>100000</v>
      </c>
      <c r="K42" s="168">
        <f>J42*0.1</f>
        <v/>
      </c>
    </row>
    <row r="43" hidden="1" ht="54.75" customHeight="1" s="211">
      <c r="A43" s="164">
        <f>Accounts!A43</f>
        <v/>
      </c>
      <c r="B43" s="55" t="inlineStr">
        <is>
          <t>Hotel</t>
        </is>
      </c>
      <c r="C43" s="39" t="n"/>
      <c r="D43" s="171">
        <f>Accounts!K43</f>
        <v/>
      </c>
      <c r="E43" s="166" t="n">
        <v>0.6</v>
      </c>
      <c r="F43" s="167">
        <f>Accounts!K43*E43</f>
        <v/>
      </c>
      <c r="G43" s="166" t="n">
        <v>0.4</v>
      </c>
      <c r="H43" s="167">
        <f>F43*G43</f>
        <v/>
      </c>
      <c r="I43" s="168">
        <f>if(or(eq(Accounts!J43,"No Valet"),eq(Accounts!J43,"Has Valet")), H43 * AVERAGE(Accounts!J$2:J$36),H43*Accounts!J43)</f>
        <v/>
      </c>
      <c r="J43" s="168">
        <f>iferror(I43*360,"")</f>
        <v/>
      </c>
      <c r="K43" s="168">
        <f>J43*0.1</f>
        <v/>
      </c>
    </row>
    <row r="44" hidden="1" ht="54.75" customHeight="1" s="211">
      <c r="A44" s="164">
        <f>Accounts!A44</f>
        <v/>
      </c>
      <c r="B44" s="55" t="inlineStr">
        <is>
          <t>Hotel</t>
        </is>
      </c>
      <c r="C44" s="65" t="n"/>
      <c r="D44" s="165">
        <f>Accounts!K44</f>
        <v/>
      </c>
      <c r="E44" s="166" t="n">
        <v>0.6</v>
      </c>
      <c r="F44" s="167">
        <f>Accounts!K44*E44</f>
        <v/>
      </c>
      <c r="G44" s="166" t="n">
        <v>0.4</v>
      </c>
      <c r="H44" s="167">
        <f>F44*G44</f>
        <v/>
      </c>
      <c r="I44" s="168">
        <f>if(or(eq(Accounts!J44,"No Valet"),eq(Accounts!J44,"Has Valet")), H44 * AVERAGE(Accounts!J$2:J$36),H44*Accounts!J44)</f>
        <v/>
      </c>
      <c r="J44" s="168">
        <f>iferror(I44*360,"")</f>
        <v/>
      </c>
      <c r="K44" s="168">
        <f>J44*0.1</f>
        <v/>
      </c>
    </row>
    <row r="45" ht="54.75" customHeight="1" s="211">
      <c r="A45" s="164">
        <f>Accounts!A45</f>
        <v/>
      </c>
      <c r="B45" s="55" t="inlineStr">
        <is>
          <t>Hotel</t>
        </is>
      </c>
      <c r="C45" s="31" t="inlineStr">
        <is>
          <t>LAZ</t>
        </is>
      </c>
      <c r="D45" s="165">
        <f>Accounts!K45</f>
        <v/>
      </c>
      <c r="E45" s="166" t="n">
        <v>0.6</v>
      </c>
      <c r="F45" s="167">
        <f>Accounts!K45*E45</f>
        <v/>
      </c>
      <c r="G45" s="166" t="n">
        <v>0.4</v>
      </c>
      <c r="H45" s="167">
        <f>F45*G45</f>
        <v/>
      </c>
      <c r="I45" s="168">
        <f>if(or(eq(Accounts!J45,"No Valet"),eq(Accounts!J45,"Has Valet")), H45 * AVERAGE(Accounts!J$2:J$36),H45*Accounts!J45)</f>
        <v/>
      </c>
      <c r="J45" s="168">
        <f>iferror(I45*360,"")</f>
        <v/>
      </c>
      <c r="K45" s="168">
        <f>J45*0.1</f>
        <v/>
      </c>
    </row>
    <row r="46" ht="54.75" customHeight="1" s="211">
      <c r="A46" s="164">
        <f>Accounts!A46</f>
        <v/>
      </c>
      <c r="B46" s="29" t="inlineStr">
        <is>
          <t>Restaurant</t>
        </is>
      </c>
      <c r="C46" s="65" t="inlineStr">
        <is>
          <t>Closed</t>
        </is>
      </c>
      <c r="D46" s="165">
        <f>Accounts!K46</f>
        <v/>
      </c>
      <c r="E46" s="166" t="n">
        <v>0.6</v>
      </c>
      <c r="F46" s="167">
        <f>Accounts!K46*E46</f>
        <v/>
      </c>
      <c r="G46" s="166" t="n">
        <v>0.4</v>
      </c>
      <c r="H46" s="167">
        <f>F46*G46</f>
        <v/>
      </c>
      <c r="I46" s="168">
        <f>if(or(eq(Accounts!J46,"No Valet"),eq(Accounts!J46,"Has Valet")), H46 * AVERAGE(Accounts!J$2:J$36),H46*Accounts!J46)</f>
        <v/>
      </c>
      <c r="J46" s="168">
        <f>iferror(I46*360,"")</f>
        <v/>
      </c>
      <c r="K46" s="168">
        <f>J46*0.1</f>
        <v/>
      </c>
    </row>
    <row r="47" ht="54.75" customHeight="1" s="211">
      <c r="A47" s="164">
        <f>Accounts!A47</f>
        <v/>
      </c>
      <c r="B47" s="29" t="inlineStr">
        <is>
          <t>Restaurant</t>
        </is>
      </c>
      <c r="C47" s="65" t="inlineStr">
        <is>
          <t>None</t>
        </is>
      </c>
      <c r="D47" s="165">
        <f>Accounts!K47</f>
        <v/>
      </c>
      <c r="E47" s="166" t="n">
        <v>0.6</v>
      </c>
      <c r="F47" s="167">
        <f>Accounts!K47*E47</f>
        <v/>
      </c>
      <c r="G47" s="166" t="n">
        <v>0.4</v>
      </c>
      <c r="H47" s="167">
        <f>F47*G47</f>
        <v/>
      </c>
      <c r="I47" s="168">
        <f>if(or(eq(Accounts!J47,"No Valet"),eq(Accounts!J47,"Has Valet")), H47 * AVERAGE(Accounts!J$2:J$36),H47*Accounts!J47)</f>
        <v/>
      </c>
      <c r="J47" s="168" t="n">
        <v>100000</v>
      </c>
      <c r="K47" s="168">
        <f>J47*0.1</f>
        <v/>
      </c>
    </row>
    <row r="48" ht="54.75" customHeight="1" s="211">
      <c r="A48" s="164">
        <f>Accounts!A48</f>
        <v/>
      </c>
      <c r="B48" s="29" t="inlineStr">
        <is>
          <t>Restaurant</t>
        </is>
      </c>
      <c r="C48" s="65" t="inlineStr">
        <is>
          <t>None</t>
        </is>
      </c>
      <c r="D48" s="165">
        <f>Accounts!K48</f>
        <v/>
      </c>
      <c r="E48" s="166" t="n">
        <v>0.6</v>
      </c>
      <c r="F48" s="167">
        <f>Accounts!K48*E48</f>
        <v/>
      </c>
      <c r="G48" s="166" t="n">
        <v>0.4</v>
      </c>
      <c r="H48" s="167">
        <f>F48*G48</f>
        <v/>
      </c>
      <c r="I48" s="168">
        <f>if(or(eq(Accounts!J48,"No Valet"),eq(Accounts!J48,"Has Valet")), H48 * AVERAGE(Accounts!J$2:J$36),H48*Accounts!J48)</f>
        <v/>
      </c>
      <c r="J48" s="168" t="n">
        <v>100000</v>
      </c>
      <c r="K48" s="168">
        <f>J48*0.1</f>
        <v/>
      </c>
    </row>
    <row r="49" ht="54.75" customHeight="1" s="211">
      <c r="A49" s="164">
        <f>Accounts!A49</f>
        <v/>
      </c>
      <c r="B49" s="58" t="inlineStr">
        <is>
          <t>Hotel</t>
        </is>
      </c>
      <c r="C49" s="60" t="inlineStr">
        <is>
          <t>PMC</t>
        </is>
      </c>
      <c r="D49" s="165">
        <f>Accounts!K49</f>
        <v/>
      </c>
      <c r="E49" s="166" t="n">
        <v>0.6</v>
      </c>
      <c r="F49" s="167">
        <f>Accounts!K49*E49</f>
        <v/>
      </c>
      <c r="G49" s="166" t="n">
        <v>0.4</v>
      </c>
      <c r="H49" s="167">
        <f>F49*G49</f>
        <v/>
      </c>
      <c r="I49" s="168">
        <f>if(or(eq(Accounts!J49,"No Valet"),eq(Accounts!J49,"Has Valet")), H49 * AVERAGE(Accounts!J$2:J$36),H49*Accounts!J49)</f>
        <v/>
      </c>
      <c r="J49" s="168">
        <f>iferror(I49*360,"")</f>
        <v/>
      </c>
      <c r="K49" s="168">
        <f>J49*0.1</f>
        <v/>
      </c>
    </row>
    <row r="50" ht="54.75" customHeight="1" s="211">
      <c r="A50" s="164">
        <f>Accounts!A50</f>
        <v/>
      </c>
      <c r="B50" s="55" t="inlineStr">
        <is>
          <t>Hotel</t>
        </is>
      </c>
      <c r="C50" s="41" t="inlineStr">
        <is>
          <t>PMC</t>
        </is>
      </c>
      <c r="D50" s="171">
        <f>Accounts!K50</f>
        <v/>
      </c>
      <c r="E50" s="166" t="n">
        <v>0.6</v>
      </c>
      <c r="F50" s="167">
        <f>Accounts!K50*E50</f>
        <v/>
      </c>
      <c r="G50" s="166" t="n">
        <v>0.4</v>
      </c>
      <c r="H50" s="167">
        <f>F50*G50</f>
        <v/>
      </c>
      <c r="I50" s="168">
        <f>if(or(eq(Accounts!J50,"No Valet"),eq(Accounts!J50,"Has Valet")), H50 * AVERAGE(Accounts!J$2:J$36),H50*Accounts!J50)</f>
        <v/>
      </c>
      <c r="J50" s="168">
        <f>iferror(I50*360,"")</f>
        <v/>
      </c>
      <c r="K50" s="168">
        <f>J50*0.1</f>
        <v/>
      </c>
    </row>
    <row r="51" ht="54.75" customHeight="1" s="211">
      <c r="A51" s="164">
        <f>Accounts!A51</f>
        <v/>
      </c>
      <c r="B51" s="55" t="inlineStr">
        <is>
          <t>Hotel</t>
        </is>
      </c>
      <c r="C51" s="65" t="inlineStr">
        <is>
          <t>PMC</t>
        </is>
      </c>
      <c r="D51" s="165">
        <f>Accounts!K51</f>
        <v/>
      </c>
      <c r="E51" s="166" t="n">
        <v>0.6</v>
      </c>
      <c r="F51" s="167">
        <f>Accounts!K51*E51</f>
        <v/>
      </c>
      <c r="G51" s="166" t="n">
        <v>0.4</v>
      </c>
      <c r="H51" s="167">
        <f>F51*G51</f>
        <v/>
      </c>
      <c r="I51" s="168">
        <f>if(or(eq(Accounts!J51,"No Valet"),eq(Accounts!J51,"Has Valet")), H51 * AVERAGE(Accounts!J$2:J$36),H51*Accounts!J51)</f>
        <v/>
      </c>
      <c r="J51" s="168">
        <f>iferror(I51*360,"")</f>
        <v/>
      </c>
      <c r="K51" s="168">
        <f>J51*0.1</f>
        <v/>
      </c>
    </row>
    <row r="52" ht="54.75" customHeight="1" s="211">
      <c r="A52" s="164">
        <f>Accounts!A52</f>
        <v/>
      </c>
      <c r="B52" s="29" t="inlineStr">
        <is>
          <t>Restaurant</t>
        </is>
      </c>
      <c r="C52" s="77" t="inlineStr">
        <is>
          <t>None</t>
        </is>
      </c>
      <c r="D52" s="165">
        <f>Accounts!K52</f>
        <v/>
      </c>
      <c r="E52" s="166" t="n">
        <v>0.6</v>
      </c>
      <c r="F52" s="167">
        <f>Accounts!K52*E52</f>
        <v/>
      </c>
      <c r="G52" s="166" t="n">
        <v>0.4</v>
      </c>
      <c r="H52" s="167">
        <f>F52*G52</f>
        <v/>
      </c>
      <c r="I52" s="168">
        <f>if(or(eq(Accounts!J52,"No Valet"),eq(Accounts!J52,"Has Valet")), H52 * AVERAGE(Accounts!J$2:J$36),H52*Accounts!J52)</f>
        <v/>
      </c>
      <c r="J52" s="168" t="n">
        <v>100000</v>
      </c>
      <c r="K52" s="168">
        <f>J52*0.1</f>
        <v/>
      </c>
    </row>
    <row r="53" ht="54.75" customHeight="1" s="211">
      <c r="A53" s="164">
        <f>Accounts!A53</f>
        <v/>
      </c>
      <c r="B53" s="55" t="inlineStr">
        <is>
          <t>Hotel</t>
        </is>
      </c>
      <c r="C53" s="65" t="inlineStr">
        <is>
          <t>PMC</t>
        </is>
      </c>
      <c r="D53" s="165" t="n">
        <v>446</v>
      </c>
      <c r="E53" s="166" t="n">
        <v>0.6</v>
      </c>
      <c r="F53" s="167">
        <f>D53*E53</f>
        <v/>
      </c>
      <c r="G53" s="166" t="n">
        <v>0.4</v>
      </c>
      <c r="H53" s="167">
        <f>F53*G53</f>
        <v/>
      </c>
      <c r="I53" s="168">
        <f>if(or(eq(Accounts!J53,"No Valet"),eq(Accounts!J53,"Has Valet")), H53 * AVERAGE(Accounts!J$2:J$36),H53*Accounts!J53)</f>
        <v/>
      </c>
      <c r="J53" s="168">
        <f>iferror(I53*360,"")</f>
        <v/>
      </c>
      <c r="K53" s="168">
        <f>J53*0.1</f>
        <v/>
      </c>
    </row>
    <row r="54" ht="54.75" customHeight="1" s="211">
      <c r="A54" s="164">
        <f>Accounts!A54</f>
        <v/>
      </c>
      <c r="B54" s="29" t="inlineStr">
        <is>
          <t>Restaurant</t>
        </is>
      </c>
      <c r="C54" s="65" t="inlineStr">
        <is>
          <t>None</t>
        </is>
      </c>
      <c r="D54" s="165">
        <f>Accounts!K54</f>
        <v/>
      </c>
      <c r="E54" s="166" t="n">
        <v>0.6</v>
      </c>
      <c r="F54" s="167">
        <f>Accounts!K54*E54</f>
        <v/>
      </c>
      <c r="G54" s="166" t="n">
        <v>0.4</v>
      </c>
      <c r="H54" s="167">
        <f>F54*G54</f>
        <v/>
      </c>
      <c r="I54" s="168">
        <f>if(or(eq(Accounts!J54,"No Valet"),eq(Accounts!J54,"Has Valet")), H54 * AVERAGE(Accounts!J$2:J$36),H54*Accounts!J54)</f>
        <v/>
      </c>
      <c r="J54" s="168" t="n">
        <v>100000</v>
      </c>
      <c r="K54" s="168">
        <f>J54*0.1</f>
        <v/>
      </c>
    </row>
    <row r="55" ht="54.75" customHeight="1" s="211">
      <c r="A55" s="164">
        <f>Accounts!A55</f>
        <v/>
      </c>
      <c r="B55" s="29" t="inlineStr">
        <is>
          <t>Restaurant</t>
        </is>
      </c>
      <c r="C55" s="65" t="inlineStr">
        <is>
          <t>None</t>
        </is>
      </c>
      <c r="D55" s="165">
        <f>Accounts!K55</f>
        <v/>
      </c>
      <c r="E55" s="166" t="n">
        <v>0.6</v>
      </c>
      <c r="F55" s="167">
        <f>Accounts!K55*E55</f>
        <v/>
      </c>
      <c r="G55" s="166" t="n">
        <v>0.4</v>
      </c>
      <c r="H55" s="167">
        <f>F55*G55</f>
        <v/>
      </c>
      <c r="I55" s="168">
        <f>if(or(eq(Accounts!J55,"No Valet"),eq(Accounts!J55,"Has Valet")), H55 * AVERAGE(Accounts!J$2:J$36),H55*Accounts!J55)</f>
        <v/>
      </c>
      <c r="J55" s="168" t="n">
        <v>100000</v>
      </c>
      <c r="K55" s="168">
        <f>J55*0.1</f>
        <v/>
      </c>
    </row>
    <row r="56" ht="54.75" customHeight="1" s="211">
      <c r="A56" s="164">
        <f>Accounts!A56</f>
        <v/>
      </c>
      <c r="B56" s="29" t="inlineStr">
        <is>
          <t>Restaurant</t>
        </is>
      </c>
      <c r="C56" s="65" t="inlineStr">
        <is>
          <t>None</t>
        </is>
      </c>
      <c r="D56" s="165">
        <f>Accounts!K56</f>
        <v/>
      </c>
      <c r="E56" s="166" t="n">
        <v>0.6</v>
      </c>
      <c r="F56" s="167">
        <f>Accounts!K56*E56</f>
        <v/>
      </c>
      <c r="G56" s="166" t="n">
        <v>0.4</v>
      </c>
      <c r="H56" s="167">
        <f>F56*G56</f>
        <v/>
      </c>
      <c r="I56" s="168">
        <f>if(or(eq(Accounts!J56,"No Valet"),eq(Accounts!J56,"Has Valet")), H56 * AVERAGE(Accounts!J$2:J$36),H56*Accounts!J56)</f>
        <v/>
      </c>
      <c r="J56" s="168" t="n">
        <v>100000</v>
      </c>
      <c r="K56" s="168">
        <f>J56*0.1</f>
        <v/>
      </c>
    </row>
    <row r="57" ht="54.75" customHeight="1" s="211">
      <c r="A57" s="164">
        <f>Accounts!A57</f>
        <v/>
      </c>
      <c r="B57" s="29" t="inlineStr">
        <is>
          <t>Restaurant</t>
        </is>
      </c>
      <c r="C57" s="65" t="inlineStr">
        <is>
          <t>None</t>
        </is>
      </c>
      <c r="D57" s="165">
        <f>Accounts!K57</f>
        <v/>
      </c>
      <c r="E57" s="166" t="n">
        <v>0.6</v>
      </c>
      <c r="F57" s="167">
        <f>Accounts!K57*E57</f>
        <v/>
      </c>
      <c r="G57" s="166" t="n">
        <v>0.4</v>
      </c>
      <c r="H57" s="167">
        <f>F57*G57</f>
        <v/>
      </c>
      <c r="I57" s="168">
        <f>if(or(eq(Accounts!J57,"No Valet"),eq(Accounts!J57,"Has Valet")), H57 * AVERAGE(Accounts!J$2:J$36),H57*Accounts!J57)</f>
        <v/>
      </c>
      <c r="J57" s="168" t="n">
        <v>100000</v>
      </c>
      <c r="K57" s="168">
        <f>J57*0.1</f>
        <v/>
      </c>
    </row>
    <row r="58" ht="54.75" customHeight="1" s="211">
      <c r="A58" s="164">
        <f>Accounts!A58</f>
        <v/>
      </c>
      <c r="B58" s="29" t="inlineStr">
        <is>
          <t>Restaurant</t>
        </is>
      </c>
      <c r="C58" s="65" t="inlineStr">
        <is>
          <t>SOPHI</t>
        </is>
      </c>
      <c r="D58" s="165">
        <f>Accounts!K58</f>
        <v/>
      </c>
      <c r="E58" s="166" t="n">
        <v>0.6</v>
      </c>
      <c r="F58" s="167">
        <f>Accounts!K58*E58</f>
        <v/>
      </c>
      <c r="G58" s="166" t="n">
        <v>0.4</v>
      </c>
      <c r="H58" s="167">
        <f>F58*G58</f>
        <v/>
      </c>
      <c r="I58" s="168">
        <f>if(or(eq(Accounts!J58,"No Valet"),eq(Accounts!J58,"Has Valet")), H58 * AVERAGE(Accounts!J$2:J$36),H58*Accounts!J58)</f>
        <v/>
      </c>
      <c r="J58" s="168" t="n">
        <v>225000</v>
      </c>
      <c r="K58" s="168">
        <f>J58*0.25</f>
        <v/>
      </c>
    </row>
    <row r="59" ht="54.75" customHeight="1" s="211">
      <c r="A59" s="164">
        <f>Accounts!A59</f>
        <v/>
      </c>
      <c r="B59" s="55" t="inlineStr">
        <is>
          <t>Hotel</t>
        </is>
      </c>
      <c r="C59" s="44" t="inlineStr">
        <is>
          <t>In House</t>
        </is>
      </c>
      <c r="D59" s="165">
        <f>Accounts!K59</f>
        <v/>
      </c>
      <c r="E59" s="166" t="n">
        <v>0.6</v>
      </c>
      <c r="F59" s="167">
        <f>Accounts!K59*E59</f>
        <v/>
      </c>
      <c r="G59" s="166" t="n">
        <v>0.4</v>
      </c>
      <c r="H59" s="167">
        <f>F59*G59</f>
        <v/>
      </c>
      <c r="I59" s="168">
        <f>if(or(eq(Accounts!J59,"No Valet"),eq(Accounts!J59,"Has Valet")), H59 * AVERAGE(Accounts!J$2:J$36),H59*Accounts!J59)</f>
        <v/>
      </c>
      <c r="J59" s="168">
        <f>iferror(I59*360,"")</f>
        <v/>
      </c>
      <c r="K59" s="168">
        <f>J59*0.1</f>
        <v/>
      </c>
    </row>
    <row r="60" ht="54.75" customHeight="1" s="211">
      <c r="A60" s="164">
        <f>Accounts!A60</f>
        <v/>
      </c>
      <c r="B60" s="29" t="inlineStr">
        <is>
          <t>Restaurant</t>
        </is>
      </c>
      <c r="C60" s="65" t="inlineStr">
        <is>
          <t>Preferred Parking</t>
        </is>
      </c>
      <c r="D60" s="165">
        <f>Accounts!K60</f>
        <v/>
      </c>
      <c r="E60" s="166" t="n">
        <v>0.6</v>
      </c>
      <c r="F60" s="167">
        <f>Accounts!K60*E60</f>
        <v/>
      </c>
      <c r="G60" s="166" t="n">
        <v>0.4</v>
      </c>
      <c r="H60" s="167">
        <f>F60*G60</f>
        <v/>
      </c>
      <c r="I60" s="168">
        <f>if(or(eq(Accounts!J60,"No Valet"),eq(Accounts!J60,"Has Valet")), H60 * AVERAGE(Accounts!J$2:J$36),H60*Accounts!J60)</f>
        <v/>
      </c>
      <c r="J60" s="168" t="n">
        <v>225000</v>
      </c>
      <c r="K60" s="168">
        <f>J60*0.25</f>
        <v/>
      </c>
    </row>
    <row r="61" ht="54.75" customHeight="1" s="211">
      <c r="A61" s="164">
        <f>Accounts!A61</f>
        <v/>
      </c>
      <c r="B61" s="29" t="inlineStr">
        <is>
          <t>Restaurant</t>
        </is>
      </c>
      <c r="C61" s="65" t="inlineStr">
        <is>
          <t>PMC</t>
        </is>
      </c>
      <c r="D61" s="165">
        <f>Accounts!K61</f>
        <v/>
      </c>
      <c r="E61" s="166" t="n">
        <v>0.6</v>
      </c>
      <c r="F61" s="167">
        <f>Accounts!K61*E61</f>
        <v/>
      </c>
      <c r="G61" s="166" t="n">
        <v>0.4</v>
      </c>
      <c r="H61" s="167">
        <f>F61*G61</f>
        <v/>
      </c>
      <c r="I61" s="168">
        <f>if(or(eq(Accounts!J61,"No Valet"),eq(Accounts!J61,"Has Valet")), H61 * AVERAGE(Accounts!J$2:J$36),H61*Accounts!J61)</f>
        <v/>
      </c>
      <c r="J61" s="168" t="n">
        <v>100000</v>
      </c>
      <c r="K61" s="168">
        <f>J61*0.25</f>
        <v/>
      </c>
    </row>
    <row r="62" ht="54.75" customHeight="1" s="211">
      <c r="A62" s="164">
        <f>Accounts!A62</f>
        <v/>
      </c>
      <c r="B62" s="29" t="inlineStr">
        <is>
          <t>Restaurant</t>
        </is>
      </c>
      <c r="C62" s="65" t="inlineStr">
        <is>
          <t>Preferred Parking</t>
        </is>
      </c>
      <c r="D62" s="165">
        <f>Accounts!K62</f>
        <v/>
      </c>
      <c r="E62" s="166" t="n">
        <v>0.6</v>
      </c>
      <c r="F62" s="167">
        <f>Accounts!K62*E62</f>
        <v/>
      </c>
      <c r="G62" s="166" t="n">
        <v>0.4</v>
      </c>
      <c r="H62" s="167">
        <f>F62*G62</f>
        <v/>
      </c>
      <c r="I62" s="168">
        <f>if(or(eq(Accounts!J62,"No Valet"),eq(Accounts!J62,"Has Valet")), H62 * AVERAGE(Accounts!J$2:J$36),H62*Accounts!J62)</f>
        <v/>
      </c>
      <c r="J62" s="168" t="n">
        <v>100000</v>
      </c>
      <c r="K62" s="168">
        <f>J62*0.25</f>
        <v/>
      </c>
    </row>
    <row r="63" hidden="1" ht="54.75" customHeight="1" s="211">
      <c r="A63" s="164">
        <f>Accounts!A63</f>
        <v/>
      </c>
      <c r="B63" s="55" t="n"/>
      <c r="C63" s="65" t="n"/>
      <c r="D63" s="165">
        <f>Accounts!K53</f>
        <v/>
      </c>
      <c r="E63" s="166" t="n">
        <v>0.6</v>
      </c>
      <c r="F63" s="167">
        <f>Accounts!K53*E63</f>
        <v/>
      </c>
      <c r="G63" s="166" t="n">
        <v>0.4</v>
      </c>
      <c r="H63" s="167">
        <f>F63*G63</f>
        <v/>
      </c>
      <c r="I63" s="168">
        <f>if(or(eq(Accounts!J63,"No Valet"),eq(Accounts!J63,"Has Valet")), H63 * AVERAGE(Accounts!J$2:J$36),H63*Accounts!J63)</f>
        <v/>
      </c>
      <c r="J63" s="168">
        <f>iferror(I63*360,"")</f>
        <v/>
      </c>
      <c r="K63" s="168">
        <f>J63*0.1</f>
        <v/>
      </c>
    </row>
    <row r="64" hidden="1" ht="54.75" customHeight="1" s="211">
      <c r="A64" s="164">
        <f>Accounts!A64</f>
        <v/>
      </c>
      <c r="B64" s="55" t="n"/>
      <c r="C64" s="65" t="n"/>
      <c r="D64" s="165">
        <f>Accounts!K64</f>
        <v/>
      </c>
      <c r="E64" s="166" t="n">
        <v>0.6</v>
      </c>
      <c r="F64" s="167">
        <f>Accounts!K64*E64</f>
        <v/>
      </c>
      <c r="G64" s="166" t="n">
        <v>0.4</v>
      </c>
      <c r="H64" s="167">
        <f>F64*G64</f>
        <v/>
      </c>
      <c r="I64" s="168">
        <f>if(or(eq(Accounts!J64,"No Valet"),eq(Accounts!J64,"Has Valet")), H64 * AVERAGE(Accounts!J$2:J$36),H64*Accounts!J64)</f>
        <v/>
      </c>
      <c r="J64" s="168">
        <f>iferror(I64*360,"")</f>
        <v/>
      </c>
      <c r="K64" s="168">
        <f>J64*0.1</f>
        <v/>
      </c>
    </row>
    <row r="65" ht="54.75" customHeight="1" s="211">
      <c r="A65" s="164">
        <f>Accounts!A65</f>
        <v/>
      </c>
      <c r="B65" s="29" t="inlineStr">
        <is>
          <t>Restaurant</t>
        </is>
      </c>
      <c r="C65" s="65" t="inlineStr">
        <is>
          <t>Preferred Parking</t>
        </is>
      </c>
      <c r="D65" s="165">
        <f>Accounts!K65</f>
        <v/>
      </c>
      <c r="E65" s="166" t="n">
        <v>0.6</v>
      </c>
      <c r="F65" s="167">
        <f>Accounts!K65*E65</f>
        <v/>
      </c>
      <c r="G65" s="166" t="n">
        <v>0.4</v>
      </c>
      <c r="H65" s="167">
        <f>F65*G65</f>
        <v/>
      </c>
      <c r="I65" s="168">
        <f>if(or(eq(Accounts!J65,"No Valet"),eq(Accounts!J65,"Has Valet")), H65 * AVERAGE(Accounts!J$2:J$36),H65*Accounts!J65)</f>
        <v/>
      </c>
      <c r="J65" s="168" t="n">
        <v>100000</v>
      </c>
      <c r="K65" s="168">
        <f>J65*0.25</f>
        <v/>
      </c>
    </row>
    <row r="66" ht="54.75" customHeight="1" s="211">
      <c r="A66" s="164">
        <f>Accounts!A66</f>
        <v/>
      </c>
      <c r="B66" s="29" t="inlineStr">
        <is>
          <t>Restaurant</t>
        </is>
      </c>
      <c r="C66" s="65" t="inlineStr">
        <is>
          <t>Park Inc</t>
        </is>
      </c>
      <c r="D66" s="165">
        <f>Accounts!K66</f>
        <v/>
      </c>
      <c r="E66" s="166" t="n">
        <v>0.6</v>
      </c>
      <c r="F66" s="167">
        <f>Accounts!K66*E66</f>
        <v/>
      </c>
      <c r="G66" s="166" t="n">
        <v>0.4</v>
      </c>
      <c r="H66" s="167">
        <f>F66*G66</f>
        <v/>
      </c>
      <c r="I66" s="168">
        <f>if(or(eq(Accounts!J66,"No Valet"),eq(Accounts!J66,"Has Valet")), H66 * AVERAGE(Accounts!J$2:J$36),H66*Accounts!J66)</f>
        <v/>
      </c>
      <c r="J66" s="168" t="n">
        <v>100000</v>
      </c>
      <c r="K66" s="168">
        <f>J66*0.25</f>
        <v/>
      </c>
    </row>
    <row r="67" ht="54.75" customHeight="1" s="211">
      <c r="A67" s="164">
        <f>Accounts!A67</f>
        <v/>
      </c>
      <c r="B67" s="29" t="inlineStr">
        <is>
          <t>Restaurant</t>
        </is>
      </c>
      <c r="C67" s="65" t="inlineStr">
        <is>
          <t>Park Inc</t>
        </is>
      </c>
      <c r="D67" s="171">
        <f>Accounts!K67</f>
        <v/>
      </c>
      <c r="E67" s="166" t="n">
        <v>0.6</v>
      </c>
      <c r="F67" s="167">
        <f>Accounts!K67*E67</f>
        <v/>
      </c>
      <c r="G67" s="166" t="n">
        <v>0.4</v>
      </c>
      <c r="H67" s="167">
        <f>F67*G67</f>
        <v/>
      </c>
      <c r="I67" s="168">
        <f>if(or(eq(Accounts!J67,"No Valet"),eq(Accounts!J67,"Has Valet")), H67 * AVERAGE(Accounts!J$2:J$36),H67*Accounts!J67)</f>
        <v/>
      </c>
      <c r="J67" s="168" t="n">
        <v>100000</v>
      </c>
      <c r="K67" s="168">
        <f>J67*0.25</f>
        <v/>
      </c>
    </row>
    <row r="68" ht="54.75" customHeight="1" s="211">
      <c r="A68" s="164">
        <f>Accounts!A68</f>
        <v/>
      </c>
      <c r="B68" s="29" t="inlineStr">
        <is>
          <t>Restaurant</t>
        </is>
      </c>
      <c r="C68" s="85" t="inlineStr">
        <is>
          <t>Park Inc</t>
        </is>
      </c>
      <c r="D68" s="165">
        <f>Accounts!K68</f>
        <v/>
      </c>
      <c r="E68" s="166" t="n">
        <v>0.6</v>
      </c>
      <c r="F68" s="167">
        <f>Accounts!K68*E68</f>
        <v/>
      </c>
      <c r="G68" s="166" t="n">
        <v>0.4</v>
      </c>
      <c r="H68" s="167">
        <f>F68*G68</f>
        <v/>
      </c>
      <c r="I68" s="168">
        <f>if(or(eq(Accounts!J68,"No Valet"),eq(Accounts!J68,"Has Valet")), H68 * AVERAGE(Accounts!J$2:J$36),H68*Accounts!J68)</f>
        <v/>
      </c>
      <c r="J68" s="168" t="n">
        <v>100000</v>
      </c>
      <c r="K68" s="168">
        <f>J68*0.25</f>
        <v/>
      </c>
    </row>
    <row r="69" hidden="1" ht="54.75" customHeight="1" s="211">
      <c r="A69" s="164">
        <f>Accounts!A69</f>
        <v/>
      </c>
      <c r="B69" s="29" t="inlineStr">
        <is>
          <t>Restaurant</t>
        </is>
      </c>
      <c r="C69" s="77" t="n"/>
      <c r="D69" s="165">
        <f>Accounts!K69</f>
        <v/>
      </c>
      <c r="E69" s="166" t="n">
        <v>0.6</v>
      </c>
      <c r="F69" s="167">
        <f>Accounts!K69*E69</f>
        <v/>
      </c>
      <c r="G69" s="166" t="n">
        <v>0.4</v>
      </c>
      <c r="H69" s="167">
        <f>F69*G69</f>
        <v/>
      </c>
      <c r="I69" s="168">
        <f>if(or(eq(Accounts!J69,"No Valet"),eq(Accounts!J69,"Has Valet")), H69 * AVERAGE(Accounts!J$2:J$36),H69*Accounts!J69)</f>
        <v/>
      </c>
      <c r="J69" s="168">
        <f>iferror(I69*360,"")</f>
        <v/>
      </c>
      <c r="K69" s="168">
        <f>J69*0.1</f>
        <v/>
      </c>
    </row>
    <row r="70" ht="54.75" customHeight="1" s="211">
      <c r="A70" s="164">
        <f>Accounts!A70</f>
        <v/>
      </c>
      <c r="B70" s="29" t="inlineStr">
        <is>
          <t>Restaurant</t>
        </is>
      </c>
      <c r="C70" s="65" t="inlineStr">
        <is>
          <t>SOPHI</t>
        </is>
      </c>
      <c r="D70" s="165">
        <f>Accounts!K70</f>
        <v/>
      </c>
      <c r="E70" s="166" t="n">
        <v>0.6</v>
      </c>
      <c r="F70" s="167">
        <f>Accounts!K70*E70</f>
        <v/>
      </c>
      <c r="G70" s="166" t="n">
        <v>0.4</v>
      </c>
      <c r="H70" s="167">
        <f>F70*G70</f>
        <v/>
      </c>
      <c r="I70" s="168">
        <f>if(or(eq(Accounts!J70,"No Valet"),eq(Accounts!J70,"Has Valet")), H70 * AVERAGE(Accounts!J$2:J$36),H70*Accounts!J70)</f>
        <v/>
      </c>
      <c r="J70" s="168" t="n">
        <v>100000</v>
      </c>
      <c r="K70" s="168">
        <f>J70*0.25</f>
        <v/>
      </c>
    </row>
    <row r="71" ht="54.75" customHeight="1" s="211">
      <c r="A71" s="164">
        <f>Accounts!A71</f>
        <v/>
      </c>
      <c r="B71" s="29" t="inlineStr">
        <is>
          <t>Restaurant</t>
        </is>
      </c>
      <c r="C71" s="65" t="inlineStr">
        <is>
          <t>Park Inc</t>
        </is>
      </c>
      <c r="D71" s="165">
        <f>Accounts!K71</f>
        <v/>
      </c>
      <c r="E71" s="166" t="n">
        <v>0.6</v>
      </c>
      <c r="F71" s="167">
        <f>Accounts!K71*E71</f>
        <v/>
      </c>
      <c r="G71" s="166" t="n">
        <v>0.4</v>
      </c>
      <c r="H71" s="167">
        <f>F71*G71</f>
        <v/>
      </c>
      <c r="I71" s="168">
        <f>if(or(eq(Accounts!J71,"No Valet"),eq(Accounts!J71,"Has Valet")), H71 * AVERAGE(Accounts!J$2:J$36),H71*Accounts!J71)</f>
        <v/>
      </c>
      <c r="J71" s="168" t="n">
        <v>75000</v>
      </c>
      <c r="K71" s="168">
        <f>J71*0.25</f>
        <v/>
      </c>
    </row>
    <row r="72" ht="54.75" customHeight="1" s="211">
      <c r="A72" s="164">
        <f>Accounts!A72</f>
        <v/>
      </c>
      <c r="B72" s="29" t="inlineStr">
        <is>
          <t>Restaurant</t>
        </is>
      </c>
      <c r="C72" s="65" t="inlineStr">
        <is>
          <t>None</t>
        </is>
      </c>
      <c r="D72" s="165">
        <f>Accounts!K72</f>
        <v/>
      </c>
      <c r="E72" s="166" t="n">
        <v>0.6</v>
      </c>
      <c r="F72" s="167">
        <f>Accounts!K72*E72</f>
        <v/>
      </c>
      <c r="G72" s="166" t="n">
        <v>0.4</v>
      </c>
      <c r="H72" s="167">
        <f>F72*G72</f>
        <v/>
      </c>
      <c r="I72" s="168">
        <f>if(or(eq(Accounts!J72,"No Valet"),eq(Accounts!J72,"Has Valet")), H72 * AVERAGE(Accounts!J$2:J$36),H72*Accounts!J72)</f>
        <v/>
      </c>
      <c r="J72" s="168" t="n">
        <v>100000</v>
      </c>
      <c r="K72" s="168">
        <f>J72*0.1</f>
        <v/>
      </c>
    </row>
    <row r="73" hidden="1" ht="54.75" customHeight="1" s="211">
      <c r="A73" s="164">
        <f>Accounts!A73</f>
        <v/>
      </c>
      <c r="B73" s="55" t="inlineStr">
        <is>
          <t>Hotel</t>
        </is>
      </c>
      <c r="C73" s="65" t="n"/>
      <c r="D73" s="165">
        <f>Accounts!K73</f>
        <v/>
      </c>
      <c r="E73" s="166" t="n">
        <v>0.6</v>
      </c>
      <c r="F73" s="167">
        <f>Accounts!K73*E73</f>
        <v/>
      </c>
      <c r="G73" s="166" t="n">
        <v>0.4</v>
      </c>
      <c r="H73" s="167">
        <f>F73*G73</f>
        <v/>
      </c>
      <c r="I73" s="168">
        <f>if(or(eq(Accounts!J73,"No Valet"),eq(Accounts!J73,"Has Valet")), H73 * AVERAGE(Accounts!J$2:J$36),H73*Accounts!J73)</f>
        <v/>
      </c>
      <c r="J73" s="168">
        <f>iferror(I73*360,"")</f>
        <v/>
      </c>
      <c r="K73" s="168">
        <f>J73*0.1</f>
        <v/>
      </c>
    </row>
    <row r="74" ht="54.75" customHeight="1" s="211">
      <c r="A74" s="164">
        <f>Accounts!A74</f>
        <v/>
      </c>
      <c r="B74" s="12" t="n"/>
      <c r="C74" s="65" t="n"/>
      <c r="D74" s="165">
        <f>Accounts!K74</f>
        <v/>
      </c>
      <c r="E74" s="172" t="n"/>
      <c r="F74" s="173" t="n"/>
      <c r="G74" s="172" t="n"/>
      <c r="H74" s="173" t="n"/>
      <c r="I74" s="170" t="n"/>
      <c r="J74" s="170" t="n"/>
      <c r="K74" s="170" t="n"/>
    </row>
    <row r="75" ht="54.75" customHeight="1" s="211">
      <c r="A75" s="164">
        <f>Accounts!A75</f>
        <v/>
      </c>
      <c r="B75" s="12" t="n"/>
      <c r="C75" s="65" t="n"/>
      <c r="D75" s="165">
        <f>Accounts!K75</f>
        <v/>
      </c>
      <c r="E75" s="172" t="n"/>
      <c r="F75" s="173" t="n"/>
      <c r="G75" s="172" t="n"/>
      <c r="H75" s="173" t="n"/>
      <c r="I75" s="170" t="n"/>
      <c r="J75" s="170" t="n"/>
      <c r="K75" s="170" t="n"/>
    </row>
    <row r="76" ht="54.75" customHeight="1" s="211">
      <c r="A76" s="164">
        <f>Accounts!A76</f>
        <v/>
      </c>
      <c r="B76" s="12" t="n"/>
      <c r="C76" s="65" t="n"/>
      <c r="D76" s="171">
        <f>Accounts!K76</f>
        <v/>
      </c>
      <c r="E76" s="172" t="n"/>
      <c r="F76" s="173" t="n"/>
      <c r="G76" s="172" t="n"/>
      <c r="H76" s="173" t="n"/>
      <c r="I76" s="170" t="n"/>
      <c r="J76" s="170" t="n"/>
      <c r="K76" s="170" t="n"/>
    </row>
    <row r="77" ht="54.75" customHeight="1" s="211">
      <c r="A77" s="164">
        <f>Accounts!A77</f>
        <v/>
      </c>
      <c r="B77" s="12" t="n"/>
      <c r="C77" s="65" t="n"/>
      <c r="D77" s="165">
        <f>Accounts!K77</f>
        <v/>
      </c>
      <c r="E77" s="172" t="n"/>
      <c r="F77" s="173" t="n"/>
      <c r="G77" s="172" t="n"/>
      <c r="H77" s="173" t="n"/>
      <c r="I77" s="170" t="n"/>
      <c r="J77" s="170" t="n"/>
      <c r="K77" s="170" t="n"/>
    </row>
    <row r="78" ht="54.75" customHeight="1" s="211">
      <c r="A78" s="164">
        <f>Accounts!A78</f>
        <v/>
      </c>
      <c r="B78" s="12" t="n"/>
      <c r="C78" s="65" t="n"/>
      <c r="D78" s="165">
        <f>Accounts!K78</f>
        <v/>
      </c>
      <c r="E78" s="172" t="n"/>
      <c r="F78" s="173" t="n"/>
      <c r="G78" s="172" t="n"/>
      <c r="H78" s="173" t="n"/>
      <c r="I78" s="170" t="n"/>
      <c r="J78" s="170" t="n"/>
      <c r="K78" s="170" t="n"/>
    </row>
    <row r="79" ht="54.75" customHeight="1" s="211">
      <c r="A79" s="164">
        <f>Accounts!A79</f>
        <v/>
      </c>
      <c r="B79" s="12" t="n"/>
      <c r="C79" s="65" t="n"/>
      <c r="D79" s="165">
        <f>Accounts!K79</f>
        <v/>
      </c>
      <c r="E79" s="172" t="n"/>
      <c r="F79" s="173" t="n"/>
      <c r="G79" s="172" t="n"/>
      <c r="H79" s="173" t="n"/>
      <c r="I79" s="170" t="n"/>
      <c r="J79" s="170" t="n"/>
      <c r="K79" s="170" t="n"/>
    </row>
    <row r="80" ht="54.75" customHeight="1" s="211">
      <c r="A80" s="164">
        <f>Accounts!A80</f>
        <v/>
      </c>
      <c r="B80" s="12" t="n"/>
      <c r="C80" s="65" t="n"/>
      <c r="D80" s="165">
        <f>Accounts!K80</f>
        <v/>
      </c>
      <c r="E80" s="172" t="n"/>
      <c r="F80" s="173" t="n"/>
      <c r="G80" s="172" t="n"/>
      <c r="H80" s="173" t="n"/>
      <c r="I80" s="170" t="n"/>
      <c r="J80" s="170" t="n"/>
      <c r="K80" s="170" t="n"/>
    </row>
    <row r="81" ht="54.75" customHeight="1" s="211">
      <c r="A81" s="164">
        <f>Accounts!A81</f>
        <v/>
      </c>
      <c r="B81" s="12" t="n"/>
      <c r="C81" s="65" t="n"/>
      <c r="D81" s="165">
        <f>Accounts!K81</f>
        <v/>
      </c>
      <c r="E81" s="172" t="n"/>
      <c r="F81" s="173" t="n"/>
      <c r="G81" s="172" t="n"/>
      <c r="H81" s="173" t="n"/>
      <c r="I81" s="170" t="n"/>
      <c r="J81" s="170" t="n"/>
      <c r="K81" s="170" t="n"/>
    </row>
    <row r="82" ht="54.75" customHeight="1" s="211">
      <c r="A82" s="164">
        <f>Accounts!A82</f>
        <v/>
      </c>
      <c r="B82" s="12" t="n"/>
      <c r="C82" s="65" t="n"/>
      <c r="D82" s="165">
        <f>Accounts!K82</f>
        <v/>
      </c>
      <c r="E82" s="172" t="n"/>
      <c r="F82" s="173" t="n"/>
      <c r="G82" s="172" t="n"/>
      <c r="H82" s="173" t="n"/>
      <c r="I82" s="170" t="n"/>
      <c r="J82" s="170" t="n"/>
      <c r="K82" s="170" t="n"/>
    </row>
    <row r="83" ht="54.75" customHeight="1" s="211">
      <c r="A83" s="164">
        <f>Accounts!A83</f>
        <v/>
      </c>
      <c r="B83" s="12" t="n"/>
      <c r="C83" s="65" t="n"/>
      <c r="D83" s="165">
        <f>Accounts!K83</f>
        <v/>
      </c>
      <c r="E83" s="172" t="n"/>
      <c r="F83" s="173" t="n"/>
      <c r="G83" s="172" t="n"/>
      <c r="H83" s="173" t="n"/>
      <c r="I83" s="170" t="n"/>
      <c r="J83" s="170" t="n"/>
      <c r="K83" s="170" t="n"/>
    </row>
    <row r="84" ht="54.75" customHeight="1" s="211">
      <c r="A84" s="164">
        <f>Accounts!A84</f>
        <v/>
      </c>
      <c r="B84" s="12" t="n"/>
      <c r="C84" s="65" t="n"/>
      <c r="D84" s="165">
        <f>Accounts!K84</f>
        <v/>
      </c>
      <c r="E84" s="172" t="n"/>
      <c r="F84" s="173" t="n"/>
      <c r="G84" s="172" t="n"/>
      <c r="H84" s="173" t="n"/>
      <c r="I84" s="170" t="n"/>
      <c r="J84" s="170" t="n"/>
      <c r="K84" s="170" t="n"/>
    </row>
    <row r="85" ht="54.75" customHeight="1" s="211">
      <c r="A85" s="164">
        <f>Accounts!A85</f>
        <v/>
      </c>
      <c r="B85" s="12" t="n"/>
      <c r="C85" s="65" t="n"/>
      <c r="D85" s="165">
        <f>Accounts!K85</f>
        <v/>
      </c>
      <c r="E85" s="172" t="n"/>
      <c r="F85" s="173" t="n"/>
      <c r="G85" s="172" t="n"/>
      <c r="H85" s="173" t="n"/>
      <c r="I85" s="170" t="n"/>
      <c r="J85" s="170" t="n"/>
      <c r="K85" s="170" t="n"/>
    </row>
    <row r="86" ht="54.75" customHeight="1" s="211">
      <c r="A86" s="164">
        <f>Accounts!A86</f>
        <v/>
      </c>
      <c r="B86" s="12" t="n"/>
      <c r="C86" s="65" t="n"/>
      <c r="D86" s="165">
        <f>Accounts!K86</f>
        <v/>
      </c>
      <c r="E86" s="172" t="n"/>
      <c r="F86" s="173" t="n"/>
      <c r="G86" s="172" t="n"/>
      <c r="H86" s="173" t="n"/>
      <c r="I86" s="170" t="n"/>
      <c r="J86" s="170" t="n"/>
      <c r="K86" s="170" t="n"/>
    </row>
    <row r="87" ht="54.75" customHeight="1" s="211">
      <c r="A87" s="164">
        <f>Accounts!A87</f>
        <v/>
      </c>
      <c r="B87" s="12" t="n"/>
      <c r="C87" s="65" t="n"/>
      <c r="D87" s="165">
        <f>Accounts!K87</f>
        <v/>
      </c>
      <c r="E87" s="172" t="n"/>
      <c r="F87" s="173" t="n"/>
      <c r="G87" s="172" t="n"/>
      <c r="H87" s="173" t="n"/>
      <c r="I87" s="170" t="n"/>
      <c r="J87" s="170" t="n"/>
      <c r="K87" s="170" t="n"/>
    </row>
    <row r="88" ht="54.75" customHeight="1" s="211">
      <c r="A88" s="164">
        <f>Accounts!A88</f>
        <v/>
      </c>
      <c r="B88" s="12" t="n"/>
      <c r="C88" s="65" t="n"/>
      <c r="D88" s="165">
        <f>Accounts!K88</f>
        <v/>
      </c>
      <c r="E88" s="172" t="n"/>
      <c r="F88" s="173" t="n"/>
      <c r="G88" s="172" t="n"/>
      <c r="H88" s="173" t="n"/>
      <c r="I88" s="170" t="n"/>
      <c r="J88" s="170" t="n"/>
      <c r="K88" s="170" t="n"/>
    </row>
    <row r="89" ht="54.75" customHeight="1" s="211">
      <c r="A89" s="164">
        <f>Accounts!A89</f>
        <v/>
      </c>
      <c r="B89" s="12" t="n"/>
      <c r="C89" s="65" t="n"/>
      <c r="D89" s="165">
        <f>Accounts!K89</f>
        <v/>
      </c>
      <c r="E89" s="172" t="n"/>
      <c r="F89" s="173" t="n"/>
      <c r="G89" s="172" t="n"/>
      <c r="H89" s="173" t="n"/>
      <c r="I89" s="170" t="n"/>
      <c r="J89" s="170" t="n"/>
      <c r="K89" s="170" t="n"/>
    </row>
    <row r="90" ht="54.75" customHeight="1" s="211">
      <c r="A90" s="164">
        <f>Accounts!A90</f>
        <v/>
      </c>
      <c r="B90" s="12" t="n"/>
      <c r="C90" s="65" t="n"/>
      <c r="D90" s="165">
        <f>Accounts!K90</f>
        <v/>
      </c>
      <c r="E90" s="172" t="n"/>
      <c r="F90" s="173" t="n"/>
      <c r="G90" s="172" t="n"/>
      <c r="H90" s="173" t="n"/>
      <c r="I90" s="170" t="n"/>
      <c r="J90" s="170" t="n"/>
      <c r="K90" s="170" t="n"/>
    </row>
    <row r="91" ht="54.75" customHeight="1" s="211">
      <c r="A91" s="164">
        <f>Accounts!A91</f>
        <v/>
      </c>
      <c r="B91" s="12" t="n"/>
      <c r="C91" s="65" t="n"/>
      <c r="D91" s="165">
        <f>Accounts!K91</f>
        <v/>
      </c>
      <c r="E91" s="172" t="n"/>
      <c r="F91" s="173" t="n"/>
      <c r="G91" s="172" t="n"/>
      <c r="H91" s="173" t="n"/>
      <c r="I91" s="170" t="n"/>
      <c r="J91" s="170" t="n"/>
      <c r="K91" s="170" t="n"/>
    </row>
    <row r="92" ht="54.75" customHeight="1" s="211">
      <c r="A92" s="164">
        <f>Accounts!A92</f>
        <v/>
      </c>
      <c r="B92" s="12" t="n"/>
      <c r="C92" s="65" t="n"/>
      <c r="D92" s="165">
        <f>Accounts!K92</f>
        <v/>
      </c>
      <c r="E92" s="172" t="n"/>
      <c r="F92" s="173" t="n"/>
      <c r="G92" s="172" t="n"/>
      <c r="H92" s="173" t="n"/>
      <c r="I92" s="170" t="n"/>
      <c r="J92" s="170" t="n"/>
      <c r="K92" s="170" t="n"/>
    </row>
    <row r="93" ht="54.75" customHeight="1" s="211">
      <c r="A93" s="164">
        <f>Accounts!A93</f>
        <v/>
      </c>
      <c r="B93" s="12" t="n"/>
      <c r="C93" s="65" t="n"/>
      <c r="D93" s="165">
        <f>Accounts!K93</f>
        <v/>
      </c>
      <c r="E93" s="172" t="n"/>
      <c r="F93" s="173" t="n"/>
      <c r="G93" s="172" t="n"/>
      <c r="H93" s="173" t="n"/>
      <c r="I93" s="170" t="n"/>
      <c r="J93" s="170" t="n"/>
      <c r="K93" s="170" t="n"/>
    </row>
    <row r="94" ht="54.75" customHeight="1" s="211">
      <c r="A94" s="164">
        <f>Accounts!A94</f>
        <v/>
      </c>
      <c r="B94" s="12" t="n"/>
      <c r="C94" s="65" t="n"/>
      <c r="D94" s="165">
        <f>Accounts!K94</f>
        <v/>
      </c>
      <c r="E94" s="172" t="n"/>
      <c r="F94" s="173" t="n"/>
      <c r="G94" s="172" t="n"/>
      <c r="H94" s="173" t="n"/>
      <c r="I94" s="170" t="n"/>
      <c r="J94" s="170" t="n"/>
      <c r="K94" s="170" t="n"/>
    </row>
    <row r="95" ht="54.75" customHeight="1" s="211">
      <c r="A95" s="164">
        <f>Accounts!A95</f>
        <v/>
      </c>
      <c r="B95" s="12" t="n"/>
      <c r="C95" s="65" t="n"/>
      <c r="D95" s="165">
        <f>Accounts!K95</f>
        <v/>
      </c>
      <c r="E95" s="172" t="n"/>
      <c r="F95" s="173" t="n"/>
      <c r="G95" s="172" t="n"/>
      <c r="H95" s="173" t="n"/>
      <c r="I95" s="170" t="n"/>
      <c r="J95" s="170" t="n"/>
      <c r="K95" s="170" t="n"/>
    </row>
    <row r="96" ht="54.75" customHeight="1" s="211">
      <c r="A96" s="164">
        <f>Accounts!A96</f>
        <v/>
      </c>
      <c r="B96" s="12" t="n"/>
      <c r="C96" s="65" t="n"/>
      <c r="D96" s="165">
        <f>Accounts!K96</f>
        <v/>
      </c>
      <c r="E96" s="172" t="n"/>
      <c r="F96" s="173" t="n"/>
      <c r="G96" s="172" t="n"/>
      <c r="H96" s="173" t="n"/>
      <c r="I96" s="170" t="n"/>
      <c r="J96" s="170" t="n"/>
      <c r="K96" s="170" t="n"/>
    </row>
    <row r="97" ht="54.75" customHeight="1" s="211">
      <c r="A97" s="164">
        <f>Accounts!A97</f>
        <v/>
      </c>
      <c r="B97" s="12" t="n"/>
      <c r="C97" s="65" t="n"/>
      <c r="D97" s="165">
        <f>Accounts!K97</f>
        <v/>
      </c>
      <c r="E97" s="172" t="n"/>
      <c r="F97" s="173" t="n"/>
      <c r="G97" s="172" t="n"/>
      <c r="H97" s="173" t="n"/>
      <c r="I97" s="170" t="n"/>
      <c r="J97" s="170" t="n"/>
      <c r="K97" s="170" t="n"/>
    </row>
    <row r="98" ht="54.75" customHeight="1" s="211">
      <c r="A98" s="164">
        <f>Accounts!A98</f>
        <v/>
      </c>
      <c r="B98" s="12" t="n"/>
      <c r="C98" s="65" t="n"/>
      <c r="D98" s="165">
        <f>Accounts!K98</f>
        <v/>
      </c>
      <c r="E98" s="172" t="n"/>
      <c r="F98" s="173" t="n"/>
      <c r="G98" s="172" t="n"/>
      <c r="H98" s="173" t="n"/>
      <c r="I98" s="170" t="n"/>
      <c r="J98" s="170" t="n"/>
      <c r="K98" s="170" t="n"/>
    </row>
    <row r="99" ht="54.75" customHeight="1" s="211">
      <c r="A99" s="164">
        <f>Accounts!A99</f>
        <v/>
      </c>
      <c r="B99" s="12" t="n"/>
      <c r="C99" s="65" t="n"/>
      <c r="D99" s="165">
        <f>Accounts!K99</f>
        <v/>
      </c>
      <c r="E99" s="172" t="n"/>
      <c r="F99" s="173" t="n"/>
      <c r="G99" s="172" t="n"/>
      <c r="H99" s="173" t="n"/>
      <c r="I99" s="170" t="n"/>
      <c r="J99" s="170" t="n"/>
      <c r="K99" s="170" t="n"/>
    </row>
    <row r="100" ht="54.75" customHeight="1" s="211">
      <c r="A100" s="164">
        <f>Accounts!A100</f>
        <v/>
      </c>
      <c r="B100" s="12" t="n"/>
      <c r="C100" s="65" t="n"/>
      <c r="D100" s="165">
        <f>Accounts!K100</f>
        <v/>
      </c>
      <c r="E100" s="172" t="n"/>
      <c r="F100" s="173" t="n"/>
      <c r="G100" s="172" t="n"/>
      <c r="H100" s="173" t="n"/>
      <c r="I100" s="170" t="n"/>
      <c r="J100" s="170" t="n"/>
      <c r="K100" s="170" t="n"/>
    </row>
    <row r="101" ht="54.75" customHeight="1" s="211">
      <c r="A101" s="164">
        <f>Accounts!A101</f>
        <v/>
      </c>
      <c r="B101" s="12" t="n"/>
      <c r="C101" s="65" t="n"/>
      <c r="D101" s="165">
        <f>Accounts!K101</f>
        <v/>
      </c>
      <c r="E101" s="172" t="n"/>
      <c r="F101" s="173" t="n"/>
      <c r="G101" s="172" t="n"/>
      <c r="H101" s="173" t="n"/>
      <c r="I101" s="170" t="n"/>
      <c r="J101" s="170" t="n"/>
      <c r="K101" s="170" t="n"/>
    </row>
    <row r="102" ht="54.75" customHeight="1" s="211">
      <c r="A102" s="164">
        <f>Accounts!A102</f>
        <v/>
      </c>
      <c r="B102" s="12" t="n"/>
      <c r="C102" s="65" t="n"/>
      <c r="D102" s="165">
        <f>Accounts!K102</f>
        <v/>
      </c>
      <c r="E102" s="172" t="n"/>
      <c r="F102" s="173" t="n"/>
      <c r="G102" s="172" t="n"/>
      <c r="H102" s="173" t="n"/>
      <c r="I102" s="170" t="n"/>
      <c r="J102" s="170" t="n"/>
      <c r="K102" s="170" t="n"/>
    </row>
    <row r="103" ht="54.75" customHeight="1" s="211">
      <c r="A103" s="164">
        <f>Accounts!A103</f>
        <v/>
      </c>
      <c r="B103" s="12" t="n"/>
      <c r="C103" s="65" t="n"/>
      <c r="D103" s="165">
        <f>Accounts!K103</f>
        <v/>
      </c>
      <c r="E103" s="172" t="n"/>
      <c r="F103" s="173" t="n"/>
      <c r="G103" s="172" t="n"/>
      <c r="H103" s="173" t="n"/>
      <c r="I103" s="170" t="n"/>
      <c r="J103" s="170" t="n"/>
      <c r="K103" s="170" t="n"/>
    </row>
    <row r="104" ht="54.75" customHeight="1" s="211">
      <c r="A104" s="164">
        <f>Accounts!A104</f>
        <v/>
      </c>
      <c r="B104" s="12" t="n"/>
      <c r="C104" s="65" t="n"/>
      <c r="D104" s="165">
        <f>Accounts!K104</f>
        <v/>
      </c>
      <c r="E104" s="172" t="n"/>
      <c r="F104" s="173" t="n"/>
      <c r="G104" s="172" t="n"/>
      <c r="H104" s="173" t="n"/>
      <c r="I104" s="170" t="n"/>
      <c r="J104" s="170" t="n"/>
      <c r="K104" s="170" t="n"/>
    </row>
    <row r="105" ht="54.75" customHeight="1" s="211">
      <c r="A105" s="164">
        <f>Accounts!A105</f>
        <v/>
      </c>
      <c r="B105" s="12" t="n"/>
      <c r="C105" s="65" t="n"/>
      <c r="D105" s="165">
        <f>Accounts!K105</f>
        <v/>
      </c>
      <c r="E105" s="172" t="n"/>
      <c r="F105" s="173" t="n"/>
      <c r="G105" s="172" t="n"/>
      <c r="H105" s="173" t="n"/>
      <c r="I105" s="170" t="n"/>
      <c r="J105" s="170" t="n"/>
      <c r="K105" s="170" t="n"/>
    </row>
    <row r="106" ht="54.75" customHeight="1" s="211">
      <c r="A106" s="164">
        <f>Accounts!A106</f>
        <v/>
      </c>
      <c r="B106" s="12" t="n"/>
      <c r="C106" s="65" t="n"/>
      <c r="D106" s="165">
        <f>Accounts!K106</f>
        <v/>
      </c>
      <c r="E106" s="172" t="n"/>
      <c r="F106" s="173" t="n"/>
      <c r="G106" s="172" t="n"/>
      <c r="H106" s="173" t="n"/>
      <c r="I106" s="170" t="n"/>
      <c r="J106" s="170" t="n"/>
      <c r="K106" s="170" t="n"/>
    </row>
    <row r="107" ht="54.75" customHeight="1" s="211">
      <c r="A107" s="164">
        <f>Accounts!A107</f>
        <v/>
      </c>
      <c r="B107" s="12" t="n"/>
      <c r="C107" s="65" t="n"/>
      <c r="D107" s="165">
        <f>Accounts!K107</f>
        <v/>
      </c>
      <c r="E107" s="172" t="n"/>
      <c r="F107" s="173" t="n"/>
      <c r="G107" s="172" t="n"/>
      <c r="H107" s="173" t="n"/>
      <c r="I107" s="170" t="n"/>
      <c r="J107" s="170" t="n"/>
      <c r="K107" s="170" t="n"/>
    </row>
    <row r="108" ht="54.75" customHeight="1" s="211">
      <c r="A108" s="164">
        <f>Accounts!A108</f>
        <v/>
      </c>
      <c r="B108" s="12" t="n"/>
      <c r="C108" s="65" t="n"/>
      <c r="D108" s="165">
        <f>Accounts!K108</f>
        <v/>
      </c>
      <c r="E108" s="172" t="n"/>
      <c r="F108" s="173" t="n"/>
      <c r="G108" s="172" t="n"/>
      <c r="H108" s="173" t="n"/>
      <c r="I108" s="170" t="n"/>
      <c r="J108" s="170" t="n"/>
      <c r="K108" s="170" t="n"/>
    </row>
    <row r="109" ht="54.75" customHeight="1" s="211">
      <c r="A109" s="164">
        <f>Accounts!A109</f>
        <v/>
      </c>
      <c r="B109" s="12" t="n"/>
      <c r="C109" s="65" t="n"/>
      <c r="D109" s="165">
        <f>Accounts!K109</f>
        <v/>
      </c>
      <c r="E109" s="172" t="n"/>
      <c r="F109" s="173" t="n"/>
      <c r="G109" s="172" t="n"/>
      <c r="H109" s="173" t="n"/>
      <c r="I109" s="170" t="n"/>
      <c r="J109" s="170" t="n"/>
      <c r="K109" s="170" t="n"/>
    </row>
    <row r="110" ht="54.75" customHeight="1" s="211">
      <c r="A110" s="164">
        <f>Accounts!A110</f>
        <v/>
      </c>
      <c r="B110" s="12" t="n"/>
      <c r="C110" s="65" t="n"/>
      <c r="D110" s="165">
        <f>Accounts!K110</f>
        <v/>
      </c>
      <c r="E110" s="172" t="n"/>
      <c r="F110" s="173" t="n"/>
      <c r="G110" s="172" t="n"/>
      <c r="H110" s="173" t="n"/>
      <c r="I110" s="170" t="n"/>
      <c r="J110" s="170" t="n"/>
      <c r="K110" s="170" t="n"/>
    </row>
    <row r="111" ht="54.75" customHeight="1" s="211">
      <c r="A111" s="164">
        <f>Accounts!A111</f>
        <v/>
      </c>
      <c r="B111" s="12" t="n"/>
      <c r="C111" s="65" t="n"/>
      <c r="D111" s="165">
        <f>Accounts!K111</f>
        <v/>
      </c>
      <c r="E111" s="172" t="n"/>
      <c r="F111" s="173" t="n"/>
      <c r="G111" s="172" t="n"/>
      <c r="H111" s="173" t="n"/>
      <c r="I111" s="170" t="n"/>
      <c r="J111" s="170" t="n"/>
      <c r="K111" s="170" t="n"/>
    </row>
    <row r="112" ht="54.75" customHeight="1" s="211">
      <c r="A112" s="164">
        <f>Accounts!A112</f>
        <v/>
      </c>
      <c r="B112" s="12" t="n"/>
      <c r="C112" s="65" t="n"/>
      <c r="D112" s="165">
        <f>Accounts!K112</f>
        <v/>
      </c>
      <c r="E112" s="172" t="n"/>
      <c r="F112" s="173" t="n"/>
      <c r="G112" s="172" t="n"/>
      <c r="H112" s="173" t="n"/>
      <c r="I112" s="170" t="n"/>
      <c r="J112" s="170" t="n"/>
      <c r="K112" s="170" t="n"/>
    </row>
    <row r="113" ht="54.75" customHeight="1" s="211">
      <c r="A113" s="164">
        <f>Accounts!A113</f>
        <v/>
      </c>
      <c r="B113" s="12" t="n"/>
      <c r="C113" s="65" t="n"/>
      <c r="D113" s="165">
        <f>Accounts!K113</f>
        <v/>
      </c>
      <c r="E113" s="172" t="n"/>
      <c r="F113" s="173" t="n"/>
      <c r="G113" s="172" t="n"/>
      <c r="H113" s="173" t="n"/>
      <c r="I113" s="170" t="n"/>
      <c r="J113" s="170" t="n"/>
      <c r="K113" s="170" t="n"/>
    </row>
    <row r="114" ht="54.75" customHeight="1" s="211">
      <c r="A114" s="164">
        <f>Accounts!A114</f>
        <v/>
      </c>
      <c r="B114" s="12" t="n"/>
      <c r="C114" s="65" t="n"/>
      <c r="D114" s="165">
        <f>Accounts!K114</f>
        <v/>
      </c>
      <c r="E114" s="172" t="n"/>
      <c r="F114" s="173" t="n"/>
      <c r="G114" s="172" t="n"/>
      <c r="H114" s="173" t="n"/>
      <c r="I114" s="170" t="n"/>
      <c r="J114" s="170" t="n"/>
      <c r="K114" s="170" t="n"/>
    </row>
    <row r="115" ht="54.75" customHeight="1" s="211">
      <c r="A115" s="164">
        <f>Accounts!A115</f>
        <v/>
      </c>
      <c r="B115" s="12" t="n"/>
      <c r="C115" s="65" t="n"/>
      <c r="D115" s="165">
        <f>Accounts!K115</f>
        <v/>
      </c>
      <c r="E115" s="172" t="n"/>
      <c r="F115" s="173" t="n"/>
      <c r="G115" s="172" t="n"/>
      <c r="H115" s="173" t="n"/>
      <c r="I115" s="170" t="n"/>
      <c r="J115" s="170" t="n"/>
      <c r="K115" s="170" t="n"/>
    </row>
    <row r="116" ht="54.75" customHeight="1" s="211">
      <c r="A116" s="164">
        <f>Accounts!A116</f>
        <v/>
      </c>
      <c r="B116" s="12" t="n"/>
      <c r="C116" s="65" t="n"/>
      <c r="D116" s="165">
        <f>Accounts!K116</f>
        <v/>
      </c>
      <c r="E116" s="172" t="n"/>
      <c r="F116" s="173" t="n"/>
      <c r="G116" s="172" t="n"/>
      <c r="H116" s="173" t="n"/>
      <c r="I116" s="170" t="n"/>
      <c r="J116" s="170" t="n"/>
      <c r="K116" s="170" t="n"/>
    </row>
    <row r="117" ht="54.75" customHeight="1" s="211">
      <c r="A117" s="164">
        <f>Accounts!A117</f>
        <v/>
      </c>
      <c r="B117" s="12" t="n"/>
      <c r="C117" s="65" t="n"/>
      <c r="D117" s="165">
        <f>Accounts!K117</f>
        <v/>
      </c>
      <c r="E117" s="172" t="n"/>
      <c r="F117" s="173" t="n"/>
      <c r="G117" s="172" t="n"/>
      <c r="H117" s="173" t="n"/>
      <c r="I117" s="170" t="n"/>
      <c r="J117" s="170" t="n"/>
      <c r="K117" s="170" t="n"/>
    </row>
    <row r="118" ht="54.75" customHeight="1" s="211">
      <c r="A118" s="164">
        <f>Accounts!A118</f>
        <v/>
      </c>
      <c r="B118" s="12" t="n"/>
      <c r="C118" s="65" t="n"/>
      <c r="D118" s="165">
        <f>Accounts!K118</f>
        <v/>
      </c>
      <c r="E118" s="172" t="n"/>
      <c r="F118" s="173" t="n"/>
      <c r="G118" s="172" t="n"/>
      <c r="H118" s="173" t="n"/>
      <c r="I118" s="170" t="n"/>
      <c r="J118" s="170" t="n"/>
      <c r="K118" s="170" t="n"/>
    </row>
    <row r="119" ht="54.75" customHeight="1" s="211">
      <c r="A119" s="164">
        <f>Accounts!A119</f>
        <v/>
      </c>
      <c r="B119" s="12" t="n"/>
      <c r="C119" s="65" t="n"/>
      <c r="D119" s="165">
        <f>Accounts!K119</f>
        <v/>
      </c>
      <c r="E119" s="172" t="n"/>
      <c r="F119" s="173" t="n"/>
      <c r="G119" s="172" t="n"/>
      <c r="H119" s="173" t="n"/>
      <c r="I119" s="170" t="n"/>
      <c r="J119" s="170" t="n"/>
      <c r="K119" s="170" t="n"/>
    </row>
    <row r="120" ht="54.75" customHeight="1" s="211">
      <c r="A120" s="164">
        <f>Accounts!A120</f>
        <v/>
      </c>
      <c r="B120" s="12" t="n"/>
      <c r="C120" s="65" t="n"/>
      <c r="D120" s="165">
        <f>Accounts!K120</f>
        <v/>
      </c>
      <c r="E120" s="172" t="n"/>
      <c r="F120" s="173" t="n"/>
      <c r="G120" s="172" t="n"/>
      <c r="H120" s="173" t="n"/>
      <c r="I120" s="170" t="n"/>
      <c r="J120" s="170" t="n"/>
      <c r="K120" s="170" t="n"/>
    </row>
    <row r="121" ht="54.75" customHeight="1" s="211">
      <c r="A121" s="164">
        <f>Accounts!A121</f>
        <v/>
      </c>
      <c r="B121" s="12" t="n"/>
      <c r="C121" s="65" t="n"/>
      <c r="D121" s="165">
        <f>Accounts!K121</f>
        <v/>
      </c>
      <c r="E121" s="172" t="n"/>
      <c r="F121" s="173" t="n"/>
      <c r="G121" s="172" t="n"/>
      <c r="H121" s="173" t="n"/>
      <c r="I121" s="170" t="n"/>
      <c r="J121" s="170" t="n"/>
      <c r="K121" s="170" t="n"/>
    </row>
    <row r="122" ht="54.75" customHeight="1" s="211">
      <c r="A122" s="164">
        <f>Accounts!A122</f>
        <v/>
      </c>
      <c r="B122" s="12" t="n"/>
      <c r="C122" s="65" t="n"/>
      <c r="D122" s="165">
        <f>Accounts!K122</f>
        <v/>
      </c>
      <c r="E122" s="172" t="n"/>
      <c r="F122" s="173" t="n"/>
      <c r="G122" s="172" t="n"/>
      <c r="H122" s="173" t="n"/>
      <c r="I122" s="170" t="n"/>
      <c r="J122" s="170" t="n"/>
      <c r="K122" s="170" t="n"/>
    </row>
    <row r="123" ht="54.75" customHeight="1" s="211">
      <c r="A123" s="164">
        <f>Accounts!A123</f>
        <v/>
      </c>
      <c r="B123" s="12" t="n"/>
      <c r="C123" s="65" t="n"/>
      <c r="D123" s="165">
        <f>Accounts!K123</f>
        <v/>
      </c>
      <c r="E123" s="172" t="n"/>
      <c r="F123" s="173" t="n"/>
      <c r="G123" s="172" t="n"/>
      <c r="H123" s="173" t="n"/>
      <c r="I123" s="170" t="n"/>
      <c r="J123" s="170" t="n"/>
      <c r="K123" s="170" t="n"/>
    </row>
    <row r="124" ht="54.75" customHeight="1" s="211">
      <c r="A124" s="164">
        <f>Accounts!A124</f>
        <v/>
      </c>
      <c r="B124" s="12" t="n"/>
      <c r="C124" s="65" t="n"/>
      <c r="D124" s="165">
        <f>Accounts!K124</f>
        <v/>
      </c>
      <c r="E124" s="172" t="n"/>
      <c r="F124" s="173" t="n"/>
      <c r="G124" s="172" t="n"/>
      <c r="H124" s="173" t="n"/>
      <c r="I124" s="170" t="n"/>
      <c r="J124" s="170" t="n"/>
      <c r="K124" s="170" t="n"/>
    </row>
    <row r="125" ht="54.75" customHeight="1" s="211">
      <c r="A125" s="164">
        <f>Accounts!A125</f>
        <v/>
      </c>
      <c r="B125" s="12" t="n"/>
      <c r="C125" s="65" t="n"/>
      <c r="D125" s="165">
        <f>Accounts!K125</f>
        <v/>
      </c>
      <c r="E125" s="172" t="n"/>
      <c r="F125" s="173" t="n"/>
      <c r="G125" s="172" t="n"/>
      <c r="H125" s="173" t="n"/>
      <c r="I125" s="170" t="n"/>
      <c r="J125" s="170" t="n"/>
      <c r="K125" s="170" t="n"/>
    </row>
    <row r="126" ht="54.75" customHeight="1" s="211">
      <c r="A126" s="164">
        <f>Accounts!A126</f>
        <v/>
      </c>
      <c r="B126" s="12" t="n"/>
      <c r="C126" s="65" t="n"/>
      <c r="D126" s="165">
        <f>Accounts!K126</f>
        <v/>
      </c>
      <c r="E126" s="172" t="n"/>
      <c r="F126" s="173" t="n"/>
      <c r="G126" s="172" t="n"/>
      <c r="H126" s="173" t="n"/>
      <c r="I126" s="170" t="n"/>
      <c r="J126" s="170" t="n"/>
      <c r="K126" s="170" t="n"/>
    </row>
    <row r="127" ht="54.75" customHeight="1" s="211">
      <c r="A127" s="164">
        <f>Accounts!A127</f>
        <v/>
      </c>
      <c r="B127" s="12" t="n"/>
      <c r="C127" s="65" t="n"/>
      <c r="D127" s="165">
        <f>Accounts!K127</f>
        <v/>
      </c>
      <c r="E127" s="172" t="n"/>
      <c r="F127" s="173" t="n"/>
      <c r="G127" s="172" t="n"/>
      <c r="H127" s="173" t="n"/>
      <c r="I127" s="170" t="n"/>
      <c r="J127" s="170" t="n"/>
      <c r="K127" s="170" t="n"/>
    </row>
    <row r="128" ht="54.75" customHeight="1" s="211">
      <c r="A128" s="164">
        <f>Accounts!A128</f>
        <v/>
      </c>
      <c r="B128" s="12" t="n"/>
      <c r="C128" s="65" t="n"/>
      <c r="D128" s="165">
        <f>Accounts!K128</f>
        <v/>
      </c>
      <c r="E128" s="172" t="n"/>
      <c r="F128" s="173" t="n"/>
      <c r="G128" s="172" t="n"/>
      <c r="H128" s="173" t="n"/>
      <c r="I128" s="170" t="n"/>
      <c r="J128" s="170" t="n"/>
      <c r="K128" s="170" t="n"/>
    </row>
    <row r="129" ht="54.75" customHeight="1" s="211">
      <c r="A129" s="164">
        <f>Accounts!A129</f>
        <v/>
      </c>
      <c r="B129" s="12" t="n"/>
      <c r="C129" s="65" t="n"/>
      <c r="D129" s="165">
        <f>Accounts!K129</f>
        <v/>
      </c>
      <c r="E129" s="172" t="n"/>
      <c r="F129" s="173" t="n"/>
      <c r="G129" s="172" t="n"/>
      <c r="H129" s="173" t="n"/>
      <c r="I129" s="170" t="n"/>
      <c r="J129" s="170" t="n"/>
      <c r="K129" s="170" t="n"/>
    </row>
    <row r="130" ht="54.75" customHeight="1" s="211">
      <c r="A130" s="164">
        <f>Accounts!A130</f>
        <v/>
      </c>
      <c r="B130" s="12" t="n"/>
      <c r="C130" s="65" t="n"/>
      <c r="D130" s="165">
        <f>Accounts!K130</f>
        <v/>
      </c>
      <c r="E130" s="172" t="n"/>
      <c r="F130" s="173" t="n"/>
      <c r="G130" s="172" t="n"/>
      <c r="H130" s="173" t="n"/>
      <c r="I130" s="170" t="n"/>
      <c r="J130" s="170" t="n"/>
      <c r="K130" s="170" t="n"/>
    </row>
    <row r="131" ht="54.75" customHeight="1" s="211">
      <c r="A131" s="164">
        <f>Accounts!A131</f>
        <v/>
      </c>
      <c r="B131" s="12" t="n"/>
      <c r="C131" s="65" t="n"/>
      <c r="D131" s="165">
        <f>Accounts!K131</f>
        <v/>
      </c>
      <c r="E131" s="172" t="n"/>
      <c r="F131" s="173" t="n"/>
      <c r="G131" s="172" t="n"/>
      <c r="H131" s="173" t="n"/>
      <c r="I131" s="170" t="n"/>
      <c r="J131" s="170" t="n"/>
      <c r="K131" s="170" t="n"/>
    </row>
    <row r="132" ht="54.75" customHeight="1" s="211">
      <c r="A132" s="164">
        <f>Accounts!A132</f>
        <v/>
      </c>
      <c r="B132" s="12" t="n"/>
      <c r="C132" s="65" t="n"/>
      <c r="D132" s="165">
        <f>Accounts!K132</f>
        <v/>
      </c>
      <c r="E132" s="172" t="n"/>
      <c r="F132" s="173" t="n"/>
      <c r="G132" s="172" t="n"/>
      <c r="H132" s="173" t="n"/>
      <c r="I132" s="170" t="n"/>
      <c r="J132" s="170" t="n"/>
      <c r="K132" s="170" t="n"/>
    </row>
    <row r="133" ht="54.75" customHeight="1" s="211">
      <c r="A133" s="164">
        <f>Accounts!A133</f>
        <v/>
      </c>
      <c r="B133" s="12" t="n"/>
      <c r="C133" s="65" t="n"/>
      <c r="D133" s="165">
        <f>Accounts!K133</f>
        <v/>
      </c>
      <c r="E133" s="172" t="n"/>
      <c r="F133" s="173" t="n"/>
      <c r="G133" s="172" t="n"/>
      <c r="H133" s="173" t="n"/>
      <c r="I133" s="170" t="n"/>
      <c r="J133" s="170" t="n"/>
      <c r="K133" s="170" t="n"/>
    </row>
    <row r="134" ht="54.75" customHeight="1" s="211">
      <c r="A134" s="164">
        <f>Accounts!A134</f>
        <v/>
      </c>
      <c r="B134" s="12" t="n"/>
      <c r="C134" s="65" t="n"/>
      <c r="D134" s="165">
        <f>Accounts!K134</f>
        <v/>
      </c>
      <c r="E134" s="172" t="n"/>
      <c r="F134" s="173" t="n"/>
      <c r="G134" s="172" t="n"/>
      <c r="H134" s="173" t="n"/>
      <c r="I134" s="170" t="n"/>
      <c r="J134" s="170" t="n"/>
      <c r="K134" s="170" t="n"/>
    </row>
    <row r="135" ht="54.75" customHeight="1" s="211">
      <c r="A135" s="164">
        <f>Accounts!A135</f>
        <v/>
      </c>
      <c r="B135" s="12" t="n"/>
      <c r="C135" s="65" t="n"/>
      <c r="D135" s="165">
        <f>Accounts!K135</f>
        <v/>
      </c>
      <c r="E135" s="172" t="n"/>
      <c r="F135" s="173" t="n"/>
      <c r="G135" s="172" t="n"/>
      <c r="H135" s="173" t="n"/>
      <c r="I135" s="170" t="n"/>
      <c r="J135" s="170" t="n"/>
      <c r="K135" s="170" t="n"/>
    </row>
    <row r="136" ht="54.75" customHeight="1" s="211">
      <c r="A136" s="164">
        <f>Accounts!A136</f>
        <v/>
      </c>
      <c r="B136" s="12" t="n"/>
      <c r="C136" s="65" t="n"/>
      <c r="D136" s="165">
        <f>Accounts!K136</f>
        <v/>
      </c>
      <c r="E136" s="172" t="n"/>
      <c r="F136" s="173" t="n"/>
      <c r="G136" s="172" t="n"/>
      <c r="H136" s="173" t="n"/>
      <c r="I136" s="170" t="n"/>
      <c r="J136" s="170" t="n"/>
      <c r="K136" s="170" t="n"/>
    </row>
    <row r="137" ht="54.75" customHeight="1" s="211">
      <c r="A137" s="164">
        <f>Accounts!A137</f>
        <v/>
      </c>
      <c r="B137" s="12" t="n"/>
      <c r="C137" s="65" t="n"/>
      <c r="D137" s="165">
        <f>Accounts!K137</f>
        <v/>
      </c>
      <c r="E137" s="172" t="n"/>
      <c r="F137" s="173" t="n"/>
      <c r="G137" s="172" t="n"/>
      <c r="H137" s="173" t="n"/>
      <c r="I137" s="170" t="n"/>
      <c r="J137" s="170" t="n"/>
      <c r="K137" s="170" t="n"/>
    </row>
    <row r="138" ht="54.75" customHeight="1" s="211">
      <c r="A138" s="164">
        <f>Accounts!A138</f>
        <v/>
      </c>
      <c r="B138" s="12" t="n"/>
      <c r="C138" s="65" t="n"/>
      <c r="D138" s="165">
        <f>Accounts!K138</f>
        <v/>
      </c>
      <c r="E138" s="172" t="n"/>
      <c r="F138" s="173" t="n"/>
      <c r="G138" s="172" t="n"/>
      <c r="H138" s="173" t="n"/>
      <c r="I138" s="170" t="n"/>
      <c r="J138" s="170" t="n"/>
      <c r="K138" s="170" t="n"/>
    </row>
    <row r="139" ht="54.75" customHeight="1" s="211">
      <c r="A139" s="164">
        <f>Accounts!A139</f>
        <v/>
      </c>
      <c r="B139" s="12" t="n"/>
      <c r="C139" s="65" t="n"/>
      <c r="D139" s="165">
        <f>Accounts!K139</f>
        <v/>
      </c>
      <c r="E139" s="172" t="n"/>
      <c r="F139" s="173" t="n"/>
      <c r="G139" s="172" t="n"/>
      <c r="H139" s="173" t="n"/>
      <c r="I139" s="170" t="n"/>
      <c r="J139" s="170" t="n"/>
      <c r="K139" s="170" t="n"/>
    </row>
    <row r="140" ht="54.75" customHeight="1" s="211">
      <c r="A140" s="164">
        <f>Accounts!A140</f>
        <v/>
      </c>
      <c r="B140" s="12" t="n"/>
      <c r="C140" s="65" t="n"/>
      <c r="D140" s="165">
        <f>Accounts!K140</f>
        <v/>
      </c>
      <c r="E140" s="172" t="n"/>
      <c r="F140" s="173" t="n"/>
      <c r="G140" s="172" t="n"/>
      <c r="H140" s="173" t="n"/>
      <c r="I140" s="170" t="n"/>
      <c r="J140" s="170" t="n"/>
      <c r="K140" s="170" t="n"/>
    </row>
    <row r="141" ht="54.75" customHeight="1" s="211">
      <c r="A141" s="164">
        <f>Accounts!A141</f>
        <v/>
      </c>
      <c r="B141" s="12" t="n"/>
      <c r="C141" s="65" t="n"/>
      <c r="D141" s="165">
        <f>Accounts!K141</f>
        <v/>
      </c>
      <c r="E141" s="172" t="n"/>
      <c r="F141" s="173" t="n"/>
      <c r="G141" s="172" t="n"/>
      <c r="H141" s="173" t="n"/>
      <c r="I141" s="170" t="n"/>
      <c r="J141" s="170" t="n"/>
      <c r="K141" s="170" t="n"/>
    </row>
    <row r="142" ht="54.75" customHeight="1" s="211">
      <c r="A142" s="164">
        <f>Accounts!A142</f>
        <v/>
      </c>
      <c r="B142" s="12" t="n"/>
      <c r="C142" s="65" t="n"/>
      <c r="D142" s="165">
        <f>Accounts!K142</f>
        <v/>
      </c>
      <c r="E142" s="172" t="n"/>
      <c r="F142" s="173" t="n"/>
      <c r="G142" s="172" t="n"/>
      <c r="H142" s="173" t="n"/>
      <c r="I142" s="170" t="n"/>
      <c r="J142" s="170" t="n"/>
      <c r="K142" s="170" t="n"/>
    </row>
    <row r="143" ht="54.75" customHeight="1" s="211">
      <c r="A143" s="164">
        <f>Accounts!A143</f>
        <v/>
      </c>
      <c r="B143" s="12" t="n"/>
      <c r="C143" s="65" t="n"/>
      <c r="D143" s="165">
        <f>Accounts!K143</f>
        <v/>
      </c>
      <c r="E143" s="172" t="n"/>
      <c r="F143" s="173" t="n"/>
      <c r="G143" s="172" t="n"/>
      <c r="H143" s="173" t="n"/>
      <c r="I143" s="170" t="n"/>
      <c r="J143" s="170" t="n"/>
      <c r="K143" s="170" t="n"/>
    </row>
    <row r="144" ht="54.75" customHeight="1" s="211">
      <c r="A144" s="164">
        <f>Accounts!A144</f>
        <v/>
      </c>
      <c r="B144" s="12" t="n"/>
      <c r="C144" s="65" t="n"/>
      <c r="D144" s="165">
        <f>Accounts!K144</f>
        <v/>
      </c>
      <c r="E144" s="172" t="n"/>
      <c r="F144" s="173" t="n"/>
      <c r="G144" s="172" t="n"/>
      <c r="H144" s="173" t="n"/>
      <c r="I144" s="170" t="n"/>
      <c r="J144" s="170" t="n"/>
      <c r="K144" s="170" t="n"/>
    </row>
    <row r="145" ht="54.75" customHeight="1" s="211">
      <c r="A145" s="164">
        <f>Accounts!A145</f>
        <v/>
      </c>
      <c r="B145" s="12" t="n"/>
      <c r="C145" s="65" t="n"/>
      <c r="D145" s="165">
        <f>Accounts!K145</f>
        <v/>
      </c>
      <c r="E145" s="172" t="n"/>
      <c r="F145" s="173" t="n"/>
      <c r="G145" s="172" t="n"/>
      <c r="H145" s="173" t="n"/>
      <c r="I145" s="170" t="n"/>
      <c r="J145" s="170" t="n"/>
      <c r="K145" s="170" t="n"/>
    </row>
    <row r="146" ht="54.75" customHeight="1" s="211">
      <c r="A146" s="164">
        <f>Accounts!A146</f>
        <v/>
      </c>
      <c r="B146" s="12" t="n"/>
      <c r="C146" s="65" t="n"/>
      <c r="D146" s="165">
        <f>Accounts!K146</f>
        <v/>
      </c>
      <c r="E146" s="172" t="n"/>
      <c r="F146" s="173" t="n"/>
      <c r="G146" s="172" t="n"/>
      <c r="H146" s="173" t="n"/>
      <c r="I146" s="170" t="n"/>
      <c r="J146" s="170" t="n"/>
      <c r="K146" s="170" t="n"/>
    </row>
    <row r="147" ht="54.75" customHeight="1" s="211">
      <c r="A147" s="164">
        <f>Accounts!A147</f>
        <v/>
      </c>
      <c r="B147" s="12" t="n"/>
      <c r="C147" s="65" t="n"/>
      <c r="D147" s="165">
        <f>Accounts!K147</f>
        <v/>
      </c>
      <c r="E147" s="172" t="n"/>
      <c r="F147" s="173" t="n"/>
      <c r="G147" s="172" t="n"/>
      <c r="H147" s="173" t="n"/>
      <c r="I147" s="170" t="n"/>
      <c r="J147" s="170" t="n"/>
      <c r="K147" s="170" t="n"/>
    </row>
    <row r="148" ht="54.75" customHeight="1" s="211">
      <c r="A148" s="164">
        <f>Accounts!A148</f>
        <v/>
      </c>
      <c r="B148" s="12" t="n"/>
      <c r="C148" s="65" t="n"/>
      <c r="D148" s="165">
        <f>Accounts!K148</f>
        <v/>
      </c>
      <c r="E148" s="172" t="n"/>
      <c r="F148" s="173" t="n"/>
      <c r="G148" s="172" t="n"/>
      <c r="H148" s="173" t="n"/>
      <c r="I148" s="170" t="n"/>
      <c r="J148" s="170" t="n"/>
      <c r="K148" s="170" t="n"/>
    </row>
    <row r="149" ht="54.75" customHeight="1" s="211">
      <c r="A149" s="164">
        <f>Accounts!A149</f>
        <v/>
      </c>
      <c r="B149" s="12" t="n"/>
      <c r="C149" s="65" t="n"/>
      <c r="D149" s="165">
        <f>Accounts!K149</f>
        <v/>
      </c>
      <c r="E149" s="172" t="n"/>
      <c r="F149" s="173" t="n"/>
      <c r="G149" s="172" t="n"/>
      <c r="H149" s="173" t="n"/>
      <c r="I149" s="170" t="n"/>
      <c r="J149" s="170" t="n"/>
      <c r="K149" s="170" t="n"/>
    </row>
    <row r="150" ht="54.75" customHeight="1" s="211">
      <c r="A150" s="164">
        <f>Accounts!A150</f>
        <v/>
      </c>
      <c r="B150" s="12" t="n"/>
      <c r="C150" s="65" t="n"/>
      <c r="D150" s="165">
        <f>Accounts!K150</f>
        <v/>
      </c>
      <c r="E150" s="172" t="n"/>
      <c r="F150" s="173" t="n"/>
      <c r="G150" s="172" t="n"/>
      <c r="H150" s="173" t="n"/>
      <c r="I150" s="170" t="n"/>
      <c r="J150" s="170" t="n"/>
      <c r="K150" s="170" t="n"/>
    </row>
    <row r="151" ht="54.75" customHeight="1" s="211">
      <c r="A151" s="164">
        <f>Accounts!A151</f>
        <v/>
      </c>
      <c r="B151" s="12" t="n"/>
      <c r="C151" s="65" t="n"/>
      <c r="D151" s="165">
        <f>Accounts!K151</f>
        <v/>
      </c>
      <c r="E151" s="172" t="n"/>
      <c r="F151" s="173" t="n"/>
      <c r="G151" s="172" t="n"/>
      <c r="H151" s="173" t="n"/>
      <c r="I151" s="170" t="n"/>
      <c r="J151" s="170" t="n"/>
      <c r="K151" s="170" t="n"/>
    </row>
    <row r="152" ht="54.75" customHeight="1" s="211">
      <c r="A152" s="164">
        <f>Accounts!A152</f>
        <v/>
      </c>
      <c r="B152" s="12" t="n"/>
      <c r="C152" s="65" t="n"/>
      <c r="D152" s="165">
        <f>Accounts!K152</f>
        <v/>
      </c>
      <c r="E152" s="172" t="n"/>
      <c r="F152" s="173" t="n"/>
      <c r="G152" s="172" t="n"/>
      <c r="H152" s="173" t="n"/>
      <c r="I152" s="170" t="n"/>
      <c r="J152" s="170" t="n"/>
      <c r="K152" s="170" t="n"/>
    </row>
    <row r="153" ht="54.75" customHeight="1" s="211">
      <c r="A153" s="164">
        <f>Accounts!A153</f>
        <v/>
      </c>
      <c r="B153" s="12" t="n"/>
      <c r="C153" s="65" t="n"/>
      <c r="D153" s="165">
        <f>Accounts!K153</f>
        <v/>
      </c>
      <c r="E153" s="172" t="n"/>
      <c r="F153" s="173" t="n"/>
      <c r="G153" s="172" t="n"/>
      <c r="H153" s="173" t="n"/>
      <c r="I153" s="170" t="n"/>
      <c r="J153" s="170" t="n"/>
      <c r="K153" s="170" t="n"/>
    </row>
    <row r="154" ht="54.75" customHeight="1" s="211">
      <c r="A154" s="164">
        <f>Accounts!A154</f>
        <v/>
      </c>
      <c r="B154" s="12" t="n"/>
      <c r="C154" s="65" t="n"/>
      <c r="D154" s="165">
        <f>Accounts!K154</f>
        <v/>
      </c>
      <c r="E154" s="172" t="n"/>
      <c r="F154" s="173" t="n"/>
      <c r="G154" s="172" t="n"/>
      <c r="H154" s="173" t="n"/>
      <c r="I154" s="170" t="n"/>
      <c r="J154" s="170" t="n"/>
      <c r="K154" s="170" t="n"/>
    </row>
    <row r="155" ht="54.75" customHeight="1" s="211">
      <c r="A155" s="164">
        <f>Accounts!A155</f>
        <v/>
      </c>
      <c r="B155" s="12" t="n"/>
      <c r="C155" s="65" t="n"/>
      <c r="D155" s="165">
        <f>Accounts!K155</f>
        <v/>
      </c>
      <c r="E155" s="172" t="n"/>
      <c r="F155" s="173" t="n"/>
      <c r="G155" s="172" t="n"/>
      <c r="H155" s="173" t="n"/>
      <c r="I155" s="170" t="n"/>
      <c r="J155" s="170" t="n"/>
      <c r="K155" s="170" t="n"/>
    </row>
    <row r="156" ht="54.75" customHeight="1" s="211">
      <c r="A156" s="164">
        <f>Accounts!A156</f>
        <v/>
      </c>
      <c r="B156" s="12" t="n"/>
      <c r="C156" s="65" t="n"/>
      <c r="D156" s="165">
        <f>Accounts!K156</f>
        <v/>
      </c>
      <c r="E156" s="172" t="n"/>
      <c r="F156" s="173" t="n"/>
      <c r="G156" s="172" t="n"/>
      <c r="H156" s="173" t="n"/>
      <c r="I156" s="170" t="n"/>
      <c r="J156" s="170" t="n"/>
      <c r="K156" s="170" t="n"/>
    </row>
    <row r="157" ht="54.75" customHeight="1" s="211">
      <c r="A157" s="164">
        <f>Accounts!A157</f>
        <v/>
      </c>
      <c r="B157" s="12" t="n"/>
      <c r="C157" s="65" t="n"/>
      <c r="D157" s="165">
        <f>Accounts!K157</f>
        <v/>
      </c>
      <c r="E157" s="172" t="n"/>
      <c r="F157" s="173" t="n"/>
      <c r="G157" s="172" t="n"/>
      <c r="H157" s="173" t="n"/>
      <c r="I157" s="170" t="n"/>
      <c r="J157" s="170" t="n"/>
      <c r="K157" s="170" t="n"/>
    </row>
    <row r="158" ht="54.75" customHeight="1" s="211">
      <c r="A158" s="164">
        <f>Accounts!A158</f>
        <v/>
      </c>
      <c r="B158" s="12" t="n"/>
      <c r="C158" s="65" t="n"/>
      <c r="D158" s="165">
        <f>Accounts!K158</f>
        <v/>
      </c>
      <c r="E158" s="172" t="n"/>
      <c r="F158" s="173" t="n"/>
      <c r="G158" s="172" t="n"/>
      <c r="H158" s="173" t="n"/>
      <c r="I158" s="170" t="n"/>
      <c r="J158" s="170" t="n"/>
      <c r="K158" s="170" t="n"/>
    </row>
    <row r="159" ht="54.75" customHeight="1" s="211">
      <c r="A159" s="164">
        <f>Accounts!A159</f>
        <v/>
      </c>
      <c r="B159" s="12" t="n"/>
      <c r="C159" s="65" t="n"/>
      <c r="D159" s="165">
        <f>Accounts!K159</f>
        <v/>
      </c>
      <c r="E159" s="172" t="n"/>
      <c r="F159" s="173" t="n"/>
      <c r="G159" s="172" t="n"/>
      <c r="H159" s="173" t="n"/>
      <c r="I159" s="170" t="n"/>
      <c r="J159" s="170" t="n"/>
      <c r="K159" s="170" t="n"/>
    </row>
    <row r="160" ht="54.75" customHeight="1" s="211">
      <c r="A160" s="164">
        <f>Accounts!A160</f>
        <v/>
      </c>
      <c r="B160" s="12" t="n"/>
      <c r="C160" s="65" t="n"/>
      <c r="D160" s="165">
        <f>Accounts!K160</f>
        <v/>
      </c>
      <c r="E160" s="172" t="n"/>
      <c r="F160" s="173" t="n"/>
      <c r="G160" s="172" t="n"/>
      <c r="H160" s="173" t="n"/>
      <c r="I160" s="170" t="n"/>
      <c r="J160" s="170" t="n"/>
      <c r="K160" s="170" t="n"/>
    </row>
    <row r="161" ht="54.75" customHeight="1" s="211">
      <c r="A161" s="164">
        <f>Accounts!A161</f>
        <v/>
      </c>
      <c r="B161" s="12" t="n"/>
      <c r="C161" s="65" t="n"/>
      <c r="D161" s="165">
        <f>Accounts!K161</f>
        <v/>
      </c>
      <c r="E161" s="172" t="n"/>
      <c r="F161" s="173" t="n"/>
      <c r="G161" s="172" t="n"/>
      <c r="H161" s="173" t="n"/>
      <c r="I161" s="170" t="n"/>
      <c r="J161" s="170" t="n"/>
      <c r="K161" s="170" t="n"/>
    </row>
    <row r="162" ht="54.75" customHeight="1" s="211">
      <c r="A162" s="164">
        <f>Accounts!A162</f>
        <v/>
      </c>
      <c r="B162" s="12" t="n"/>
      <c r="C162" s="65" t="n"/>
      <c r="D162" s="165">
        <f>Accounts!K162</f>
        <v/>
      </c>
      <c r="E162" s="172" t="n"/>
      <c r="F162" s="173" t="n"/>
      <c r="G162" s="172" t="n"/>
      <c r="H162" s="173" t="n"/>
      <c r="I162" s="170" t="n"/>
      <c r="J162" s="170" t="n"/>
      <c r="K162" s="170" t="n"/>
    </row>
    <row r="163" ht="54.75" customHeight="1" s="211">
      <c r="A163" s="164">
        <f>Accounts!A163</f>
        <v/>
      </c>
      <c r="B163" s="12" t="n"/>
      <c r="C163" s="65" t="n"/>
      <c r="D163" s="165">
        <f>Accounts!K163</f>
        <v/>
      </c>
      <c r="E163" s="172" t="n"/>
      <c r="F163" s="173" t="n"/>
      <c r="G163" s="172" t="n"/>
      <c r="H163" s="173" t="n"/>
      <c r="I163" s="170" t="n"/>
      <c r="J163" s="170" t="n"/>
      <c r="K163" s="170" t="n"/>
    </row>
    <row r="164" ht="54.75" customHeight="1" s="211">
      <c r="A164" s="164">
        <f>Accounts!A164</f>
        <v/>
      </c>
      <c r="B164" s="12" t="n"/>
      <c r="C164" s="65" t="n"/>
      <c r="D164" s="165">
        <f>Accounts!K164</f>
        <v/>
      </c>
      <c r="E164" s="172" t="n"/>
      <c r="F164" s="173" t="n"/>
      <c r="G164" s="172" t="n"/>
      <c r="H164" s="173" t="n"/>
      <c r="I164" s="170" t="n"/>
      <c r="J164" s="170" t="n"/>
      <c r="K164" s="170" t="n"/>
    </row>
    <row r="165" ht="54.75" customHeight="1" s="211">
      <c r="A165" s="164">
        <f>Accounts!A165</f>
        <v/>
      </c>
      <c r="B165" s="12" t="n"/>
      <c r="C165" s="65" t="n"/>
      <c r="D165" s="165">
        <f>Accounts!K165</f>
        <v/>
      </c>
      <c r="E165" s="172" t="n"/>
      <c r="F165" s="173" t="n"/>
      <c r="G165" s="172" t="n"/>
      <c r="H165" s="173" t="n"/>
      <c r="I165" s="170" t="n"/>
      <c r="J165" s="170" t="n"/>
      <c r="K165" s="170" t="n"/>
    </row>
    <row r="166" ht="54.75" customHeight="1" s="211">
      <c r="A166" s="164">
        <f>Accounts!A166</f>
        <v/>
      </c>
      <c r="B166" s="12" t="n"/>
      <c r="C166" s="65" t="n"/>
      <c r="D166" s="165">
        <f>Accounts!K166</f>
        <v/>
      </c>
      <c r="E166" s="172" t="n"/>
      <c r="F166" s="173" t="n"/>
      <c r="G166" s="172" t="n"/>
      <c r="H166" s="173" t="n"/>
      <c r="I166" s="170" t="n"/>
      <c r="J166" s="170" t="n"/>
      <c r="K166" s="170" t="n"/>
    </row>
    <row r="167" ht="54.75" customHeight="1" s="211">
      <c r="A167" s="164">
        <f>Accounts!A167</f>
        <v/>
      </c>
      <c r="B167" s="12" t="n"/>
      <c r="C167" s="65" t="n"/>
      <c r="D167" s="165">
        <f>Accounts!K167</f>
        <v/>
      </c>
      <c r="E167" s="172" t="n"/>
      <c r="F167" s="173" t="n"/>
      <c r="G167" s="172" t="n"/>
      <c r="H167" s="173" t="n"/>
      <c r="I167" s="170" t="n"/>
      <c r="J167" s="170" t="n"/>
      <c r="K167" s="170" t="n"/>
    </row>
    <row r="168" ht="54.75" customHeight="1" s="211">
      <c r="A168" s="164">
        <f>Accounts!A168</f>
        <v/>
      </c>
      <c r="B168" s="12" t="n"/>
      <c r="C168" s="65" t="n"/>
      <c r="D168" s="165">
        <f>Accounts!K168</f>
        <v/>
      </c>
      <c r="E168" s="172" t="n"/>
      <c r="F168" s="173" t="n"/>
      <c r="G168" s="172" t="n"/>
      <c r="H168" s="173" t="n"/>
      <c r="I168" s="170" t="n"/>
      <c r="J168" s="170" t="n"/>
      <c r="K168" s="170" t="n"/>
    </row>
    <row r="169" ht="54.75" customHeight="1" s="211">
      <c r="A169" s="164">
        <f>Accounts!A169</f>
        <v/>
      </c>
      <c r="B169" s="12" t="n"/>
      <c r="C169" s="65" t="n"/>
      <c r="D169" s="165">
        <f>Accounts!K169</f>
        <v/>
      </c>
      <c r="E169" s="172" t="n"/>
      <c r="F169" s="173" t="n"/>
      <c r="G169" s="172" t="n"/>
      <c r="H169" s="173" t="n"/>
      <c r="I169" s="170" t="n"/>
      <c r="J169" s="170" t="n"/>
      <c r="K169" s="170" t="n"/>
    </row>
    <row r="170" ht="54.75" customHeight="1" s="211">
      <c r="A170" s="164">
        <f>Accounts!A170</f>
        <v/>
      </c>
      <c r="B170" s="12" t="n"/>
      <c r="C170" s="65" t="n"/>
      <c r="D170" s="165">
        <f>Accounts!K170</f>
        <v/>
      </c>
      <c r="E170" s="172" t="n"/>
      <c r="F170" s="173" t="n"/>
      <c r="G170" s="172" t="n"/>
      <c r="H170" s="173" t="n"/>
      <c r="I170" s="170" t="n"/>
      <c r="J170" s="170" t="n"/>
      <c r="K170" s="170" t="n"/>
    </row>
    <row r="171" ht="54.75" customHeight="1" s="211">
      <c r="A171" s="164">
        <f>Accounts!A171</f>
        <v/>
      </c>
      <c r="B171" s="12" t="n"/>
      <c r="C171" s="65" t="n"/>
      <c r="D171" s="165">
        <f>Accounts!K171</f>
        <v/>
      </c>
      <c r="E171" s="172" t="n"/>
      <c r="F171" s="173" t="n"/>
      <c r="G171" s="172" t="n"/>
      <c r="H171" s="173" t="n"/>
      <c r="I171" s="170" t="n"/>
      <c r="J171" s="170" t="n"/>
      <c r="K171" s="170" t="n"/>
    </row>
    <row r="172" ht="54.75" customHeight="1" s="211">
      <c r="A172" s="164">
        <f>Accounts!A172</f>
        <v/>
      </c>
      <c r="B172" s="12" t="n"/>
      <c r="C172" s="65" t="n"/>
      <c r="D172" s="165">
        <f>Accounts!K172</f>
        <v/>
      </c>
      <c r="E172" s="172" t="n"/>
      <c r="F172" s="173" t="n"/>
      <c r="G172" s="172" t="n"/>
      <c r="H172" s="173" t="n"/>
      <c r="I172" s="170" t="n"/>
      <c r="J172" s="170" t="n"/>
      <c r="K172" s="170" t="n"/>
    </row>
    <row r="173" ht="54.75" customHeight="1" s="211">
      <c r="A173" s="164">
        <f>Accounts!A173</f>
        <v/>
      </c>
      <c r="B173" s="12" t="n"/>
      <c r="C173" s="65" t="n"/>
      <c r="D173" s="165">
        <f>Accounts!K173</f>
        <v/>
      </c>
      <c r="E173" s="172" t="n"/>
      <c r="F173" s="173" t="n"/>
      <c r="G173" s="172" t="n"/>
      <c r="H173" s="173" t="n"/>
      <c r="I173" s="170" t="n"/>
      <c r="J173" s="170" t="n"/>
      <c r="K173" s="170" t="n"/>
    </row>
    <row r="174" ht="54.75" customHeight="1" s="211">
      <c r="A174" s="164">
        <f>Accounts!A174</f>
        <v/>
      </c>
      <c r="B174" s="12" t="n"/>
      <c r="C174" s="65" t="n"/>
      <c r="D174" s="165">
        <f>Accounts!K174</f>
        <v/>
      </c>
      <c r="E174" s="172" t="n"/>
      <c r="F174" s="173" t="n"/>
      <c r="G174" s="172" t="n"/>
      <c r="H174" s="173" t="n"/>
      <c r="I174" s="170" t="n"/>
      <c r="J174" s="170" t="n"/>
      <c r="K174" s="170" t="n"/>
    </row>
    <row r="175" ht="54.75" customHeight="1" s="211">
      <c r="A175" s="164">
        <f>Accounts!A175</f>
        <v/>
      </c>
      <c r="B175" s="12" t="n"/>
      <c r="C175" s="65" t="n"/>
      <c r="D175" s="165">
        <f>Accounts!K175</f>
        <v/>
      </c>
      <c r="E175" s="172" t="n"/>
      <c r="F175" s="173" t="n"/>
      <c r="G175" s="172" t="n"/>
      <c r="H175" s="173" t="n"/>
      <c r="I175" s="170" t="n"/>
      <c r="J175" s="170" t="n"/>
      <c r="K175" s="170" t="n"/>
    </row>
    <row r="176" ht="54.75" customHeight="1" s="211">
      <c r="A176" s="164">
        <f>Accounts!A176</f>
        <v/>
      </c>
      <c r="B176" s="12" t="n"/>
      <c r="C176" s="65" t="n"/>
      <c r="D176" s="165">
        <f>Accounts!K176</f>
        <v/>
      </c>
      <c r="E176" s="172" t="n"/>
      <c r="F176" s="173" t="n"/>
      <c r="G176" s="172" t="n"/>
      <c r="H176" s="173" t="n"/>
      <c r="I176" s="170" t="n"/>
      <c r="J176" s="170" t="n"/>
      <c r="K176" s="170" t="n"/>
    </row>
    <row r="177" ht="54.75" customHeight="1" s="211">
      <c r="A177" s="164">
        <f>Accounts!A177</f>
        <v/>
      </c>
      <c r="B177" s="12" t="n"/>
      <c r="C177" s="65" t="n"/>
      <c r="D177" s="165">
        <f>Accounts!K177</f>
        <v/>
      </c>
      <c r="E177" s="172" t="n"/>
      <c r="F177" s="173" t="n"/>
      <c r="G177" s="172" t="n"/>
      <c r="H177" s="173" t="n"/>
      <c r="I177" s="170" t="n"/>
      <c r="J177" s="170" t="n"/>
      <c r="K177" s="170" t="n"/>
    </row>
    <row r="178" ht="54.75" customHeight="1" s="211">
      <c r="A178" s="164">
        <f>Accounts!A178</f>
        <v/>
      </c>
      <c r="B178" s="12" t="n"/>
      <c r="C178" s="65" t="n"/>
      <c r="D178" s="165">
        <f>Accounts!K178</f>
        <v/>
      </c>
      <c r="E178" s="172" t="n"/>
      <c r="F178" s="173" t="n"/>
      <c r="G178" s="172" t="n"/>
      <c r="H178" s="173" t="n"/>
      <c r="I178" s="170" t="n"/>
      <c r="J178" s="170" t="n"/>
      <c r="K178" s="170" t="n"/>
    </row>
    <row r="179" ht="54.75" customHeight="1" s="211">
      <c r="A179" s="164">
        <f>Accounts!A179</f>
        <v/>
      </c>
      <c r="B179" s="12" t="n"/>
      <c r="C179" s="65" t="n"/>
      <c r="D179" s="165">
        <f>Accounts!K179</f>
        <v/>
      </c>
      <c r="E179" s="172" t="n"/>
      <c r="F179" s="173" t="n"/>
      <c r="G179" s="172" t="n"/>
      <c r="H179" s="173" t="n"/>
      <c r="I179" s="170" t="n"/>
      <c r="J179" s="170" t="n"/>
      <c r="K179" s="170" t="n"/>
    </row>
    <row r="180" ht="54.75" customHeight="1" s="211">
      <c r="A180" s="164">
        <f>Accounts!A180</f>
        <v/>
      </c>
      <c r="B180" s="12" t="n"/>
      <c r="C180" s="65" t="n"/>
      <c r="D180" s="165">
        <f>Accounts!K180</f>
        <v/>
      </c>
      <c r="E180" s="172" t="n"/>
      <c r="F180" s="173" t="n"/>
      <c r="G180" s="172" t="n"/>
      <c r="H180" s="173" t="n"/>
      <c r="I180" s="170" t="n"/>
      <c r="J180" s="170" t="n"/>
      <c r="K180" s="170" t="n"/>
    </row>
    <row r="181" ht="54.75" customHeight="1" s="211">
      <c r="A181" s="164">
        <f>Accounts!A181</f>
        <v/>
      </c>
      <c r="B181" s="12" t="n"/>
      <c r="C181" s="65" t="n"/>
      <c r="D181" s="165">
        <f>Accounts!K181</f>
        <v/>
      </c>
      <c r="E181" s="172" t="n"/>
      <c r="F181" s="173" t="n"/>
      <c r="G181" s="172" t="n"/>
      <c r="H181" s="173" t="n"/>
      <c r="I181" s="170" t="n"/>
      <c r="J181" s="170" t="n"/>
      <c r="K181" s="170" t="n"/>
    </row>
    <row r="182" ht="54.75" customHeight="1" s="211">
      <c r="A182" s="164">
        <f>Accounts!A182</f>
        <v/>
      </c>
      <c r="B182" s="12" t="n"/>
      <c r="C182" s="65" t="n"/>
      <c r="D182" s="165">
        <f>Accounts!K182</f>
        <v/>
      </c>
      <c r="E182" s="172" t="n"/>
      <c r="F182" s="173" t="n"/>
      <c r="G182" s="172" t="n"/>
      <c r="H182" s="173" t="n"/>
      <c r="I182" s="170" t="n"/>
      <c r="J182" s="170" t="n"/>
      <c r="K182" s="170" t="n"/>
    </row>
    <row r="183" ht="54.75" customHeight="1" s="211">
      <c r="A183" s="164">
        <f>Accounts!A183</f>
        <v/>
      </c>
      <c r="B183" s="12" t="n"/>
      <c r="C183" s="65" t="n"/>
      <c r="D183" s="165">
        <f>Accounts!K183</f>
        <v/>
      </c>
      <c r="E183" s="172" t="n"/>
      <c r="F183" s="173" t="n"/>
      <c r="G183" s="172" t="n"/>
      <c r="H183" s="173" t="n"/>
      <c r="I183" s="170" t="n"/>
      <c r="J183" s="170" t="n"/>
      <c r="K183" s="170" t="n"/>
    </row>
    <row r="184" ht="54.75" customHeight="1" s="211">
      <c r="A184" s="164">
        <f>Accounts!A184</f>
        <v/>
      </c>
      <c r="B184" s="12" t="n"/>
      <c r="C184" s="65" t="n"/>
      <c r="D184" s="165">
        <f>Accounts!K184</f>
        <v/>
      </c>
      <c r="E184" s="172" t="n"/>
      <c r="F184" s="173" t="n"/>
      <c r="G184" s="172" t="n"/>
      <c r="H184" s="173" t="n"/>
      <c r="I184" s="170" t="n"/>
      <c r="J184" s="170" t="n"/>
      <c r="K184" s="170" t="n"/>
    </row>
    <row r="185" ht="54.75" customHeight="1" s="211">
      <c r="A185" s="164">
        <f>Accounts!A185</f>
        <v/>
      </c>
      <c r="B185" s="12" t="n"/>
      <c r="C185" s="65" t="n"/>
      <c r="D185" s="165">
        <f>Accounts!K185</f>
        <v/>
      </c>
      <c r="E185" s="172" t="n"/>
      <c r="F185" s="173" t="n"/>
      <c r="G185" s="172" t="n"/>
      <c r="H185" s="173" t="n"/>
      <c r="I185" s="170" t="n"/>
      <c r="J185" s="170" t="n"/>
      <c r="K185" s="170" t="n"/>
    </row>
    <row r="186" ht="54.75" customHeight="1" s="211">
      <c r="A186" s="164">
        <f>Accounts!A186</f>
        <v/>
      </c>
      <c r="B186" s="12" t="n"/>
      <c r="C186" s="65" t="n"/>
      <c r="D186" s="165">
        <f>Accounts!K186</f>
        <v/>
      </c>
      <c r="E186" s="172" t="n"/>
      <c r="F186" s="173" t="n"/>
      <c r="G186" s="172" t="n"/>
      <c r="H186" s="173" t="n"/>
      <c r="I186" s="170" t="n"/>
      <c r="J186" s="170" t="n"/>
      <c r="K186" s="170" t="n"/>
    </row>
    <row r="187" ht="54.75" customHeight="1" s="211">
      <c r="A187" s="164">
        <f>Accounts!A187</f>
        <v/>
      </c>
      <c r="B187" s="12" t="n"/>
      <c r="C187" s="65" t="n"/>
      <c r="D187" s="165">
        <f>Accounts!K187</f>
        <v/>
      </c>
      <c r="E187" s="172" t="n"/>
      <c r="F187" s="173" t="n"/>
      <c r="G187" s="172" t="n"/>
      <c r="H187" s="173" t="n"/>
      <c r="I187" s="170" t="n"/>
      <c r="J187" s="170" t="n"/>
      <c r="K187" s="170" t="n"/>
    </row>
    <row r="188" ht="54.75" customHeight="1" s="211">
      <c r="A188" s="164">
        <f>Accounts!A188</f>
        <v/>
      </c>
      <c r="B188" s="12" t="n"/>
      <c r="C188" s="65" t="n"/>
      <c r="D188" s="165">
        <f>Accounts!K188</f>
        <v/>
      </c>
      <c r="E188" s="172" t="n"/>
      <c r="F188" s="173" t="n"/>
      <c r="G188" s="172" t="n"/>
      <c r="H188" s="173" t="n"/>
      <c r="I188" s="170" t="n"/>
      <c r="J188" s="170" t="n"/>
      <c r="K188" s="170" t="n"/>
    </row>
    <row r="189" ht="54.75" customHeight="1" s="211">
      <c r="A189" s="164">
        <f>Accounts!A189</f>
        <v/>
      </c>
      <c r="B189" s="12" t="n"/>
      <c r="C189" s="65" t="n"/>
      <c r="D189" s="165">
        <f>Accounts!K189</f>
        <v/>
      </c>
      <c r="E189" s="172" t="n"/>
      <c r="F189" s="173" t="n"/>
      <c r="G189" s="172" t="n"/>
      <c r="H189" s="173" t="n"/>
      <c r="I189" s="170" t="n"/>
      <c r="J189" s="170" t="n"/>
      <c r="K189" s="170" t="n"/>
    </row>
    <row r="190" ht="54.75" customHeight="1" s="211">
      <c r="A190" s="164">
        <f>Accounts!A190</f>
        <v/>
      </c>
      <c r="B190" s="12" t="n"/>
      <c r="C190" s="65" t="n"/>
      <c r="D190" s="165">
        <f>Accounts!K190</f>
        <v/>
      </c>
      <c r="E190" s="172" t="n"/>
      <c r="F190" s="173" t="n"/>
      <c r="G190" s="172" t="n"/>
      <c r="H190" s="173" t="n"/>
      <c r="I190" s="170" t="n"/>
      <c r="J190" s="170" t="n"/>
      <c r="K190" s="170" t="n"/>
    </row>
    <row r="191" ht="54.75" customHeight="1" s="211">
      <c r="A191" s="164">
        <f>Accounts!A191</f>
        <v/>
      </c>
      <c r="B191" s="12" t="n"/>
      <c r="C191" s="65" t="n"/>
      <c r="D191" s="165">
        <f>Accounts!K191</f>
        <v/>
      </c>
      <c r="E191" s="172" t="n"/>
      <c r="F191" s="173" t="n"/>
      <c r="G191" s="172" t="n"/>
      <c r="H191" s="173" t="n"/>
      <c r="I191" s="170" t="n"/>
      <c r="J191" s="170" t="n"/>
      <c r="K191" s="170" t="n"/>
    </row>
    <row r="192" ht="54.75" customHeight="1" s="211">
      <c r="A192" s="164">
        <f>Accounts!A192</f>
        <v/>
      </c>
      <c r="B192" s="12" t="n"/>
      <c r="C192" s="65" t="n"/>
      <c r="D192" s="165">
        <f>Accounts!K192</f>
        <v/>
      </c>
      <c r="E192" s="172" t="n"/>
      <c r="F192" s="173" t="n"/>
      <c r="G192" s="172" t="n"/>
      <c r="H192" s="173" t="n"/>
      <c r="I192" s="170" t="n"/>
      <c r="J192" s="170" t="n"/>
      <c r="K192" s="170" t="n"/>
    </row>
    <row r="193" ht="54.75" customHeight="1" s="211">
      <c r="A193" s="164">
        <f>Accounts!A193</f>
        <v/>
      </c>
      <c r="B193" s="12" t="n"/>
      <c r="C193" s="65" t="n"/>
      <c r="D193" s="165">
        <f>Accounts!K193</f>
        <v/>
      </c>
      <c r="E193" s="172" t="n"/>
      <c r="F193" s="173" t="n"/>
      <c r="G193" s="172" t="n"/>
      <c r="H193" s="173" t="n"/>
      <c r="I193" s="170" t="n"/>
      <c r="J193" s="170" t="n"/>
      <c r="K193" s="170" t="n"/>
    </row>
    <row r="194" ht="54.75" customHeight="1" s="211">
      <c r="A194" s="164">
        <f>Accounts!A194</f>
        <v/>
      </c>
      <c r="B194" s="12" t="n"/>
      <c r="C194" s="65" t="n"/>
      <c r="D194" s="165">
        <f>Accounts!K194</f>
        <v/>
      </c>
      <c r="E194" s="172" t="n"/>
      <c r="F194" s="173" t="n"/>
      <c r="G194" s="172" t="n"/>
      <c r="H194" s="173" t="n"/>
      <c r="I194" s="170" t="n"/>
      <c r="J194" s="170" t="n"/>
      <c r="K194" s="170" t="n"/>
    </row>
    <row r="195" ht="54.75" customHeight="1" s="211">
      <c r="A195" s="164">
        <f>Accounts!A195</f>
        <v/>
      </c>
      <c r="B195" s="12" t="n"/>
      <c r="C195" s="65" t="n"/>
      <c r="D195" s="165">
        <f>Accounts!K195</f>
        <v/>
      </c>
      <c r="E195" s="172" t="n"/>
      <c r="F195" s="173" t="n"/>
      <c r="G195" s="172" t="n"/>
      <c r="H195" s="173" t="n"/>
      <c r="I195" s="170" t="n"/>
      <c r="J195" s="170" t="n"/>
      <c r="K195" s="170" t="n"/>
    </row>
    <row r="196" ht="54.75" customHeight="1" s="211">
      <c r="A196" s="164">
        <f>Accounts!A196</f>
        <v/>
      </c>
      <c r="B196" s="12" t="n"/>
      <c r="C196" s="65" t="n"/>
      <c r="D196" s="165">
        <f>Accounts!K196</f>
        <v/>
      </c>
      <c r="E196" s="172" t="n"/>
      <c r="F196" s="173" t="n"/>
      <c r="G196" s="172" t="n"/>
      <c r="H196" s="173" t="n"/>
      <c r="I196" s="170" t="n"/>
      <c r="J196" s="170" t="n"/>
      <c r="K196" s="170" t="n"/>
    </row>
    <row r="197" ht="54.75" customHeight="1" s="211">
      <c r="A197" s="164">
        <f>Accounts!A197</f>
        <v/>
      </c>
      <c r="B197" s="12" t="n"/>
      <c r="C197" s="65" t="n"/>
      <c r="D197" s="165">
        <f>Accounts!K197</f>
        <v/>
      </c>
      <c r="E197" s="172" t="n"/>
      <c r="F197" s="173" t="n"/>
      <c r="G197" s="172" t="n"/>
      <c r="H197" s="173" t="n"/>
      <c r="I197" s="170" t="n"/>
      <c r="J197" s="170" t="n"/>
      <c r="K197" s="170" t="n"/>
    </row>
    <row r="198" ht="54.75" customHeight="1" s="211">
      <c r="A198" s="164">
        <f>Accounts!A198</f>
        <v/>
      </c>
      <c r="B198" s="12" t="n"/>
      <c r="C198" s="65" t="n"/>
      <c r="D198" s="165">
        <f>Accounts!K198</f>
        <v/>
      </c>
      <c r="E198" s="172" t="n"/>
      <c r="F198" s="173" t="n"/>
      <c r="G198" s="172" t="n"/>
      <c r="H198" s="173" t="n"/>
      <c r="I198" s="170" t="n"/>
      <c r="J198" s="170" t="n"/>
      <c r="K198" s="170" t="n"/>
    </row>
    <row r="199" ht="54.75" customHeight="1" s="211">
      <c r="A199" s="164">
        <f>Accounts!A199</f>
        <v/>
      </c>
      <c r="B199" s="12" t="n"/>
      <c r="C199" s="65" t="n"/>
      <c r="D199" s="165">
        <f>Accounts!K199</f>
        <v/>
      </c>
      <c r="E199" s="172" t="n"/>
      <c r="F199" s="173" t="n"/>
      <c r="G199" s="172" t="n"/>
      <c r="H199" s="173" t="n"/>
      <c r="I199" s="170" t="n"/>
      <c r="J199" s="170" t="n"/>
      <c r="K199" s="170" t="n"/>
    </row>
    <row r="200" ht="54.75" customHeight="1" s="211">
      <c r="A200" s="164">
        <f>Accounts!A200</f>
        <v/>
      </c>
      <c r="B200" s="12" t="n"/>
      <c r="C200" s="65" t="n"/>
      <c r="D200" s="165">
        <f>Accounts!K200</f>
        <v/>
      </c>
      <c r="E200" s="172" t="n"/>
      <c r="F200" s="173" t="n"/>
      <c r="G200" s="172" t="n"/>
      <c r="H200" s="173" t="n"/>
      <c r="I200" s="170" t="n"/>
      <c r="J200" s="170" t="n"/>
      <c r="K200" s="170" t="n"/>
    </row>
    <row r="201" ht="54.75" customHeight="1" s="211">
      <c r="A201" s="164">
        <f>Accounts!A201</f>
        <v/>
      </c>
      <c r="B201" s="12" t="n"/>
      <c r="C201" s="65" t="n"/>
      <c r="D201" s="165">
        <f>Accounts!K201</f>
        <v/>
      </c>
      <c r="E201" s="172" t="n"/>
      <c r="F201" s="173" t="n"/>
      <c r="G201" s="172" t="n"/>
      <c r="H201" s="173" t="n"/>
      <c r="I201" s="170" t="n"/>
      <c r="J201" s="170" t="n"/>
      <c r="K201" s="170" t="n"/>
    </row>
    <row r="202" ht="54.75" customHeight="1" s="211">
      <c r="A202" s="164">
        <f>Accounts!A202</f>
        <v/>
      </c>
      <c r="B202" s="12" t="n"/>
      <c r="C202" s="65" t="n"/>
      <c r="D202" s="165">
        <f>Accounts!K202</f>
        <v/>
      </c>
      <c r="E202" s="172" t="n"/>
      <c r="F202" s="173" t="n"/>
      <c r="G202" s="172" t="n"/>
      <c r="H202" s="173" t="n"/>
      <c r="I202" s="170" t="n"/>
      <c r="J202" s="170" t="n"/>
      <c r="K202" s="170" t="n"/>
    </row>
    <row r="203" ht="54.75" customHeight="1" s="211">
      <c r="A203" s="164">
        <f>Accounts!A203</f>
        <v/>
      </c>
      <c r="B203" s="12" t="n"/>
      <c r="C203" s="65" t="n"/>
      <c r="D203" s="165">
        <f>Accounts!K203</f>
        <v/>
      </c>
      <c r="E203" s="172" t="n"/>
      <c r="F203" s="173" t="n"/>
      <c r="G203" s="172" t="n"/>
      <c r="H203" s="173" t="n"/>
      <c r="I203" s="170" t="n"/>
      <c r="J203" s="170" t="n"/>
      <c r="K203" s="170" t="n"/>
    </row>
    <row r="204" ht="54.75" customHeight="1" s="211">
      <c r="A204" s="164">
        <f>Accounts!A204</f>
        <v/>
      </c>
      <c r="B204" s="12" t="n"/>
      <c r="C204" s="65" t="n"/>
      <c r="D204" s="165">
        <f>Accounts!K204</f>
        <v/>
      </c>
      <c r="E204" s="172" t="n"/>
      <c r="F204" s="173" t="n"/>
      <c r="G204" s="172" t="n"/>
      <c r="H204" s="173" t="n"/>
      <c r="I204" s="170" t="n"/>
      <c r="J204" s="170" t="n"/>
      <c r="K204" s="170" t="n"/>
    </row>
    <row r="205" ht="54.75" customHeight="1" s="211">
      <c r="A205" s="164">
        <f>Accounts!A205</f>
        <v/>
      </c>
      <c r="B205" s="12" t="n"/>
      <c r="C205" s="65" t="n"/>
      <c r="D205" s="165">
        <f>Accounts!K205</f>
        <v/>
      </c>
      <c r="E205" s="172" t="n"/>
      <c r="F205" s="173" t="n"/>
      <c r="G205" s="172" t="n"/>
      <c r="H205" s="173" t="n"/>
      <c r="I205" s="170" t="n"/>
      <c r="J205" s="170" t="n"/>
      <c r="K205" s="170" t="n"/>
    </row>
    <row r="206" ht="54.75" customHeight="1" s="211">
      <c r="A206" s="164">
        <f>Accounts!A206</f>
        <v/>
      </c>
      <c r="B206" s="12" t="n"/>
      <c r="C206" s="65" t="n"/>
      <c r="D206" s="165">
        <f>Accounts!K206</f>
        <v/>
      </c>
      <c r="E206" s="172" t="n"/>
      <c r="F206" s="173" t="n"/>
      <c r="G206" s="172" t="n"/>
      <c r="H206" s="173" t="n"/>
      <c r="I206" s="170" t="n"/>
      <c r="J206" s="170" t="n"/>
      <c r="K206" s="170" t="n"/>
    </row>
    <row r="207" ht="54.75" customHeight="1" s="211">
      <c r="A207" s="164">
        <f>Accounts!A207</f>
        <v/>
      </c>
      <c r="B207" s="12" t="n"/>
      <c r="C207" s="65" t="n"/>
      <c r="D207" s="165">
        <f>Accounts!K207</f>
        <v/>
      </c>
      <c r="E207" s="172" t="n"/>
      <c r="F207" s="173" t="n"/>
      <c r="G207" s="172" t="n"/>
      <c r="H207" s="173" t="n"/>
      <c r="I207" s="170" t="n"/>
      <c r="J207" s="170" t="n"/>
      <c r="K207" s="170" t="n"/>
    </row>
    <row r="208" ht="54.75" customHeight="1" s="211">
      <c r="A208" s="164">
        <f>Accounts!A208</f>
        <v/>
      </c>
      <c r="B208" s="12" t="n"/>
      <c r="C208" s="65" t="n"/>
      <c r="D208" s="165">
        <f>Accounts!K208</f>
        <v/>
      </c>
      <c r="E208" s="172" t="n"/>
      <c r="F208" s="173" t="n"/>
      <c r="G208" s="172" t="n"/>
      <c r="H208" s="173" t="n"/>
      <c r="I208" s="170" t="n"/>
      <c r="J208" s="170" t="n"/>
      <c r="K208" s="170" t="n"/>
    </row>
    <row r="209" ht="54.75" customHeight="1" s="211">
      <c r="A209" s="164">
        <f>Accounts!A209</f>
        <v/>
      </c>
      <c r="B209" s="12" t="n"/>
      <c r="C209" s="65" t="n"/>
      <c r="D209" s="165">
        <f>Accounts!K209</f>
        <v/>
      </c>
      <c r="E209" s="172" t="n"/>
      <c r="F209" s="173" t="n"/>
      <c r="G209" s="172" t="n"/>
      <c r="H209" s="173" t="n"/>
      <c r="I209" s="170" t="n"/>
      <c r="J209" s="170" t="n"/>
      <c r="K209" s="170" t="n"/>
    </row>
    <row r="210" ht="54.75" customHeight="1" s="211">
      <c r="A210" s="164">
        <f>Accounts!A210</f>
        <v/>
      </c>
      <c r="B210" s="12" t="n"/>
      <c r="C210" s="65" t="n"/>
      <c r="D210" s="165">
        <f>Accounts!K210</f>
        <v/>
      </c>
      <c r="E210" s="172" t="n"/>
      <c r="F210" s="173" t="n"/>
      <c r="G210" s="172" t="n"/>
      <c r="H210" s="173" t="n"/>
      <c r="I210" s="170" t="n"/>
      <c r="J210" s="170" t="n"/>
      <c r="K210" s="170" t="n"/>
    </row>
    <row r="211" ht="54.75" customHeight="1" s="211">
      <c r="A211" s="164">
        <f>Accounts!A211</f>
        <v/>
      </c>
      <c r="B211" s="12" t="n"/>
      <c r="C211" s="65" t="n"/>
      <c r="D211" s="165">
        <f>Accounts!K211</f>
        <v/>
      </c>
      <c r="E211" s="172" t="n"/>
      <c r="F211" s="173" t="n"/>
      <c r="G211" s="172" t="n"/>
      <c r="H211" s="173" t="n"/>
      <c r="I211" s="170" t="n"/>
      <c r="J211" s="170" t="n"/>
      <c r="K211" s="170" t="n"/>
    </row>
    <row r="212" ht="54.75" customHeight="1" s="211">
      <c r="A212" s="164">
        <f>Accounts!A212</f>
        <v/>
      </c>
      <c r="B212" s="12" t="n"/>
      <c r="C212" s="65" t="n"/>
      <c r="D212" s="165">
        <f>Accounts!K212</f>
        <v/>
      </c>
      <c r="E212" s="172" t="n"/>
      <c r="F212" s="173" t="n"/>
      <c r="G212" s="172" t="n"/>
      <c r="H212" s="173" t="n"/>
      <c r="I212" s="170" t="n"/>
      <c r="J212" s="170" t="n"/>
      <c r="K212" s="170" t="n"/>
    </row>
    <row r="213" ht="54.75" customHeight="1" s="211">
      <c r="A213" s="164">
        <f>Accounts!A213</f>
        <v/>
      </c>
      <c r="B213" s="12" t="n"/>
      <c r="C213" s="65" t="n"/>
      <c r="D213" s="165">
        <f>Accounts!K213</f>
        <v/>
      </c>
      <c r="E213" s="172" t="n"/>
      <c r="F213" s="173" t="n"/>
      <c r="G213" s="172" t="n"/>
      <c r="H213" s="173" t="n"/>
      <c r="I213" s="170" t="n"/>
      <c r="J213" s="170" t="n"/>
      <c r="K213" s="170" t="n"/>
    </row>
    <row r="214" ht="54.75" customHeight="1" s="211">
      <c r="A214" s="164">
        <f>Accounts!A214</f>
        <v/>
      </c>
      <c r="B214" s="12" t="n"/>
      <c r="C214" s="65" t="n"/>
      <c r="D214" s="165">
        <f>Accounts!K214</f>
        <v/>
      </c>
      <c r="E214" s="172" t="n"/>
      <c r="F214" s="173" t="n"/>
      <c r="G214" s="172" t="n"/>
      <c r="H214" s="173" t="n"/>
      <c r="I214" s="170" t="n"/>
      <c r="J214" s="170" t="n"/>
      <c r="K214" s="170" t="n"/>
    </row>
    <row r="215" ht="54.75" customHeight="1" s="211">
      <c r="A215" s="164">
        <f>Accounts!A215</f>
        <v/>
      </c>
      <c r="B215" s="12" t="n"/>
      <c r="C215" s="65" t="n"/>
      <c r="D215" s="165">
        <f>Accounts!K215</f>
        <v/>
      </c>
      <c r="E215" s="172" t="n"/>
      <c r="F215" s="173" t="n"/>
      <c r="G215" s="172" t="n"/>
      <c r="H215" s="173" t="n"/>
      <c r="I215" s="170" t="n"/>
      <c r="J215" s="170" t="n"/>
      <c r="K215" s="170" t="n"/>
    </row>
    <row r="216" ht="54.75" customHeight="1" s="211">
      <c r="A216" s="164">
        <f>Accounts!A216</f>
        <v/>
      </c>
      <c r="B216" s="12" t="n"/>
      <c r="C216" s="65" t="n"/>
      <c r="D216" s="165">
        <f>Accounts!K216</f>
        <v/>
      </c>
      <c r="E216" s="172" t="n"/>
      <c r="F216" s="173" t="n"/>
      <c r="G216" s="172" t="n"/>
      <c r="H216" s="173" t="n"/>
      <c r="I216" s="170" t="n"/>
      <c r="J216" s="170" t="n"/>
      <c r="K216" s="170" t="n"/>
    </row>
    <row r="217" ht="54.75" customHeight="1" s="211">
      <c r="A217" s="164">
        <f>Accounts!A217</f>
        <v/>
      </c>
      <c r="B217" s="12" t="n"/>
      <c r="C217" s="65" t="n"/>
      <c r="D217" s="165">
        <f>Accounts!K217</f>
        <v/>
      </c>
      <c r="E217" s="172" t="n"/>
      <c r="F217" s="173" t="n"/>
      <c r="G217" s="172" t="n"/>
      <c r="H217" s="173" t="n"/>
      <c r="I217" s="170" t="n"/>
      <c r="J217" s="170" t="n"/>
      <c r="K217" s="170" t="n"/>
    </row>
    <row r="218" ht="54.75" customHeight="1" s="211">
      <c r="A218" s="164">
        <f>Accounts!A218</f>
        <v/>
      </c>
      <c r="B218" s="12" t="n"/>
      <c r="C218" s="65" t="n"/>
      <c r="D218" s="165">
        <f>Accounts!K218</f>
        <v/>
      </c>
      <c r="E218" s="172" t="n"/>
      <c r="F218" s="173" t="n"/>
      <c r="G218" s="172" t="n"/>
      <c r="H218" s="173" t="n"/>
      <c r="I218" s="170" t="n"/>
      <c r="J218" s="170" t="n"/>
      <c r="K218" s="170" t="n"/>
    </row>
    <row r="219" ht="54.75" customHeight="1" s="211">
      <c r="A219" s="164">
        <f>Accounts!A219</f>
        <v/>
      </c>
      <c r="B219" s="12" t="n"/>
      <c r="C219" s="65" t="n"/>
      <c r="D219" s="165">
        <f>Accounts!K219</f>
        <v/>
      </c>
      <c r="E219" s="172" t="n"/>
      <c r="F219" s="173" t="n"/>
      <c r="G219" s="172" t="n"/>
      <c r="H219" s="173" t="n"/>
      <c r="I219" s="170" t="n"/>
      <c r="J219" s="170" t="n"/>
      <c r="K219" s="170" t="n"/>
    </row>
    <row r="220" ht="54.75" customHeight="1" s="211">
      <c r="A220" s="164">
        <f>Accounts!A220</f>
        <v/>
      </c>
      <c r="B220" s="12" t="n"/>
      <c r="C220" s="65" t="n"/>
      <c r="D220" s="165">
        <f>Accounts!K220</f>
        <v/>
      </c>
      <c r="E220" s="172" t="n"/>
      <c r="F220" s="173" t="n"/>
      <c r="G220" s="172" t="n"/>
      <c r="H220" s="173" t="n"/>
      <c r="I220" s="170" t="n"/>
      <c r="J220" s="170" t="n"/>
      <c r="K220" s="170" t="n"/>
    </row>
    <row r="221" ht="54.75" customHeight="1" s="211">
      <c r="A221" s="164">
        <f>Accounts!A221</f>
        <v/>
      </c>
      <c r="B221" s="12" t="n"/>
      <c r="C221" s="65" t="n"/>
      <c r="D221" s="165">
        <f>Accounts!K221</f>
        <v/>
      </c>
      <c r="E221" s="172" t="n"/>
      <c r="F221" s="173" t="n"/>
      <c r="G221" s="172" t="n"/>
      <c r="H221" s="173" t="n"/>
      <c r="I221" s="170" t="n"/>
      <c r="J221" s="170" t="n"/>
      <c r="K221" s="170" t="n"/>
    </row>
    <row r="222" ht="54.75" customHeight="1" s="211">
      <c r="A222" s="164">
        <f>Accounts!A222</f>
        <v/>
      </c>
      <c r="B222" s="12" t="n"/>
      <c r="C222" s="65" t="n"/>
      <c r="D222" s="165">
        <f>Accounts!K222</f>
        <v/>
      </c>
      <c r="E222" s="172" t="n"/>
      <c r="F222" s="173" t="n"/>
      <c r="G222" s="172" t="n"/>
      <c r="H222" s="173" t="n"/>
      <c r="I222" s="170" t="n"/>
      <c r="J222" s="170" t="n"/>
      <c r="K222" s="170" t="n"/>
    </row>
    <row r="223" ht="54.75" customHeight="1" s="211">
      <c r="A223" s="164">
        <f>Accounts!A223</f>
        <v/>
      </c>
      <c r="B223" s="12" t="n"/>
      <c r="C223" s="65" t="n"/>
      <c r="D223" s="165">
        <f>Accounts!K223</f>
        <v/>
      </c>
      <c r="E223" s="172" t="n"/>
      <c r="F223" s="173" t="n"/>
      <c r="G223" s="172" t="n"/>
      <c r="H223" s="173" t="n"/>
      <c r="I223" s="170" t="n"/>
      <c r="J223" s="170" t="n"/>
      <c r="K223" s="170" t="n"/>
    </row>
    <row r="224" ht="54.75" customHeight="1" s="211">
      <c r="A224" s="164">
        <f>Accounts!A224</f>
        <v/>
      </c>
      <c r="B224" s="12" t="n"/>
      <c r="C224" s="65" t="n"/>
      <c r="D224" s="165">
        <f>Accounts!K224</f>
        <v/>
      </c>
      <c r="E224" s="172" t="n"/>
      <c r="F224" s="173" t="n"/>
      <c r="G224" s="172" t="n"/>
      <c r="H224" s="173" t="n"/>
      <c r="I224" s="170" t="n"/>
      <c r="J224" s="170" t="n"/>
      <c r="K224" s="170" t="n"/>
    </row>
    <row r="225" ht="54.75" customHeight="1" s="211">
      <c r="A225" s="164">
        <f>Accounts!A225</f>
        <v/>
      </c>
      <c r="B225" s="12" t="n"/>
      <c r="C225" s="65" t="n"/>
      <c r="D225" s="165">
        <f>Accounts!K225</f>
        <v/>
      </c>
      <c r="E225" s="172" t="n"/>
      <c r="F225" s="173" t="n"/>
      <c r="G225" s="172" t="n"/>
      <c r="H225" s="173" t="n"/>
      <c r="I225" s="170" t="n"/>
      <c r="J225" s="170" t="n"/>
      <c r="K225" s="170" t="n"/>
    </row>
    <row r="226" ht="54.75" customHeight="1" s="211">
      <c r="A226" s="164">
        <f>Accounts!A226</f>
        <v/>
      </c>
      <c r="B226" s="12" t="n"/>
      <c r="C226" s="65" t="n"/>
      <c r="D226" s="165">
        <f>Accounts!K226</f>
        <v/>
      </c>
      <c r="E226" s="172" t="n"/>
      <c r="F226" s="173" t="n"/>
      <c r="G226" s="172" t="n"/>
      <c r="H226" s="173" t="n"/>
      <c r="I226" s="170" t="n"/>
      <c r="J226" s="170" t="n"/>
      <c r="K226" s="170" t="n"/>
    </row>
    <row r="227" ht="54.75" customHeight="1" s="211">
      <c r="A227" s="164">
        <f>Accounts!A227</f>
        <v/>
      </c>
      <c r="B227" s="12" t="n"/>
      <c r="C227" s="65" t="n"/>
      <c r="D227" s="165">
        <f>Accounts!K227</f>
        <v/>
      </c>
      <c r="E227" s="172" t="n"/>
      <c r="F227" s="173" t="n"/>
      <c r="G227" s="172" t="n"/>
      <c r="H227" s="173" t="n"/>
      <c r="I227" s="170" t="n"/>
      <c r="J227" s="170" t="n"/>
      <c r="K227" s="170" t="n"/>
    </row>
    <row r="228" ht="54.75" customHeight="1" s="211">
      <c r="A228" s="164">
        <f>Accounts!A228</f>
        <v/>
      </c>
      <c r="B228" s="12" t="n"/>
      <c r="C228" s="65" t="n"/>
      <c r="D228" s="165">
        <f>Accounts!K228</f>
        <v/>
      </c>
      <c r="E228" s="172" t="n"/>
      <c r="F228" s="173" t="n"/>
      <c r="G228" s="172" t="n"/>
      <c r="H228" s="173" t="n"/>
      <c r="I228" s="170" t="n"/>
      <c r="J228" s="170" t="n"/>
      <c r="K228" s="170" t="n"/>
    </row>
    <row r="229" ht="54.75" customHeight="1" s="211">
      <c r="A229" s="164">
        <f>Accounts!A229</f>
        <v/>
      </c>
      <c r="B229" s="12" t="n"/>
      <c r="C229" s="65" t="n"/>
      <c r="D229" s="165">
        <f>Accounts!K229</f>
        <v/>
      </c>
      <c r="E229" s="172" t="n"/>
      <c r="F229" s="173" t="n"/>
      <c r="G229" s="172" t="n"/>
      <c r="H229" s="173" t="n"/>
      <c r="I229" s="170" t="n"/>
      <c r="J229" s="170" t="n"/>
      <c r="K229" s="170" t="n"/>
    </row>
    <row r="230" ht="54.75" customHeight="1" s="211">
      <c r="A230" s="164">
        <f>Accounts!A230</f>
        <v/>
      </c>
      <c r="B230" s="12" t="n"/>
      <c r="C230" s="65" t="n"/>
      <c r="D230" s="165">
        <f>Accounts!K230</f>
        <v/>
      </c>
      <c r="E230" s="172" t="n"/>
      <c r="F230" s="173" t="n"/>
      <c r="G230" s="172" t="n"/>
      <c r="H230" s="173" t="n"/>
      <c r="I230" s="170" t="n"/>
      <c r="J230" s="170" t="n"/>
      <c r="K230" s="170" t="n"/>
    </row>
    <row r="231" ht="54.75" customHeight="1" s="211">
      <c r="A231" s="164">
        <f>Accounts!A231</f>
        <v/>
      </c>
      <c r="B231" s="12" t="n"/>
      <c r="C231" s="65" t="n"/>
      <c r="D231" s="165">
        <f>Accounts!K231</f>
        <v/>
      </c>
      <c r="E231" s="172" t="n"/>
      <c r="F231" s="173" t="n"/>
      <c r="G231" s="172" t="n"/>
      <c r="H231" s="173" t="n"/>
      <c r="I231" s="170" t="n"/>
      <c r="J231" s="170" t="n"/>
      <c r="K231" s="170" t="n"/>
    </row>
    <row r="232" ht="54.75" customHeight="1" s="211">
      <c r="A232" s="164">
        <f>Accounts!A232</f>
        <v/>
      </c>
      <c r="B232" s="12" t="n"/>
      <c r="C232" s="65" t="n"/>
      <c r="D232" s="165">
        <f>Accounts!K232</f>
        <v/>
      </c>
      <c r="E232" s="172" t="n"/>
      <c r="F232" s="173" t="n"/>
      <c r="G232" s="172" t="n"/>
      <c r="H232" s="173" t="n"/>
      <c r="I232" s="170" t="n"/>
      <c r="J232" s="170" t="n"/>
      <c r="K232" s="170" t="n"/>
    </row>
    <row r="233" ht="54.75" customHeight="1" s="211">
      <c r="A233" s="164">
        <f>Accounts!A233</f>
        <v/>
      </c>
      <c r="B233" s="12" t="n"/>
      <c r="C233" s="65" t="n"/>
      <c r="D233" s="165">
        <f>Accounts!K233</f>
        <v/>
      </c>
      <c r="E233" s="172" t="n"/>
      <c r="F233" s="173" t="n"/>
      <c r="G233" s="172" t="n"/>
      <c r="H233" s="173" t="n"/>
      <c r="I233" s="170" t="n"/>
      <c r="J233" s="170" t="n"/>
      <c r="K233" s="170" t="n"/>
    </row>
    <row r="234" ht="54.75" customHeight="1" s="211">
      <c r="A234" s="164">
        <f>Accounts!A234</f>
        <v/>
      </c>
      <c r="B234" s="12" t="n"/>
      <c r="C234" s="65" t="n"/>
      <c r="D234" s="165">
        <f>Accounts!K234</f>
        <v/>
      </c>
      <c r="E234" s="172" t="n"/>
      <c r="F234" s="173" t="n"/>
      <c r="G234" s="172" t="n"/>
      <c r="H234" s="173" t="n"/>
      <c r="I234" s="170" t="n"/>
      <c r="J234" s="170" t="n"/>
      <c r="K234" s="170" t="n"/>
    </row>
    <row r="235" ht="54.75" customHeight="1" s="211">
      <c r="A235" s="164">
        <f>Accounts!A235</f>
        <v/>
      </c>
      <c r="B235" s="12" t="n"/>
      <c r="C235" s="65" t="n"/>
      <c r="D235" s="165">
        <f>Accounts!K235</f>
        <v/>
      </c>
      <c r="E235" s="172" t="n"/>
      <c r="F235" s="173" t="n"/>
      <c r="G235" s="172" t="n"/>
      <c r="H235" s="173" t="n"/>
      <c r="I235" s="170" t="n"/>
      <c r="J235" s="170" t="n"/>
      <c r="K235" s="170" t="n"/>
    </row>
    <row r="236" ht="54.75" customHeight="1" s="211">
      <c r="A236" s="164">
        <f>Accounts!A236</f>
        <v/>
      </c>
      <c r="B236" s="12" t="n"/>
      <c r="C236" s="65" t="n"/>
      <c r="D236" s="165">
        <f>Accounts!K236</f>
        <v/>
      </c>
      <c r="E236" s="172" t="n"/>
      <c r="F236" s="173" t="n"/>
      <c r="G236" s="172" t="n"/>
      <c r="H236" s="173" t="n"/>
      <c r="I236" s="170" t="n"/>
      <c r="J236" s="170" t="n"/>
      <c r="K236" s="170" t="n"/>
    </row>
    <row r="237" ht="54.75" customHeight="1" s="211">
      <c r="A237" s="164">
        <f>Accounts!A237</f>
        <v/>
      </c>
      <c r="B237" s="12" t="n"/>
      <c r="C237" s="65" t="n"/>
      <c r="D237" s="165">
        <f>Accounts!K237</f>
        <v/>
      </c>
      <c r="E237" s="172" t="n"/>
      <c r="F237" s="173" t="n"/>
      <c r="G237" s="172" t="n"/>
      <c r="H237" s="173" t="n"/>
      <c r="I237" s="170" t="n"/>
      <c r="J237" s="170" t="n"/>
      <c r="K237" s="170" t="n"/>
    </row>
    <row r="238" ht="54.75" customHeight="1" s="211">
      <c r="A238" s="164">
        <f>Accounts!A238</f>
        <v/>
      </c>
      <c r="B238" s="12" t="n"/>
      <c r="C238" s="65" t="n"/>
      <c r="D238" s="165">
        <f>Accounts!K238</f>
        <v/>
      </c>
      <c r="E238" s="172" t="n"/>
      <c r="F238" s="173" t="n"/>
      <c r="G238" s="172" t="n"/>
      <c r="H238" s="173" t="n"/>
      <c r="I238" s="170" t="n"/>
      <c r="J238" s="170" t="n"/>
      <c r="K238" s="170" t="n"/>
    </row>
    <row r="239" ht="54.75" customHeight="1" s="211">
      <c r="A239" s="164">
        <f>Accounts!A239</f>
        <v/>
      </c>
      <c r="B239" s="12" t="n"/>
      <c r="C239" s="65" t="n"/>
      <c r="D239" s="165">
        <f>Accounts!K239</f>
        <v/>
      </c>
      <c r="E239" s="172" t="n"/>
      <c r="F239" s="173" t="n"/>
      <c r="G239" s="172" t="n"/>
      <c r="H239" s="173" t="n"/>
      <c r="I239" s="170" t="n"/>
      <c r="J239" s="170" t="n"/>
      <c r="K239" s="170" t="n"/>
    </row>
    <row r="240" ht="54.75" customHeight="1" s="211">
      <c r="A240" s="164">
        <f>Accounts!A240</f>
        <v/>
      </c>
      <c r="B240" s="12" t="n"/>
      <c r="C240" s="65" t="n"/>
      <c r="D240" s="165">
        <f>Accounts!K240</f>
        <v/>
      </c>
      <c r="E240" s="172" t="n"/>
      <c r="F240" s="173" t="n"/>
      <c r="G240" s="172" t="n"/>
      <c r="H240" s="173" t="n"/>
      <c r="I240" s="170" t="n"/>
      <c r="J240" s="170" t="n"/>
      <c r="K240" s="170" t="n"/>
    </row>
    <row r="241" ht="54.75" customHeight="1" s="211">
      <c r="A241" s="164">
        <f>Accounts!A241</f>
        <v/>
      </c>
      <c r="B241" s="12" t="n"/>
      <c r="C241" s="65" t="n"/>
      <c r="D241" s="165">
        <f>Accounts!K241</f>
        <v/>
      </c>
      <c r="E241" s="172" t="n"/>
      <c r="F241" s="173" t="n"/>
      <c r="G241" s="172" t="n"/>
      <c r="H241" s="173" t="n"/>
      <c r="I241" s="170" t="n"/>
      <c r="J241" s="170" t="n"/>
      <c r="K241" s="170" t="n"/>
    </row>
    <row r="242" ht="54.75" customHeight="1" s="211">
      <c r="A242" s="164">
        <f>Accounts!A242</f>
        <v/>
      </c>
      <c r="B242" s="12" t="n"/>
      <c r="C242" s="65" t="n"/>
      <c r="D242" s="165">
        <f>Accounts!K242</f>
        <v/>
      </c>
      <c r="E242" s="172" t="n"/>
      <c r="F242" s="173" t="n"/>
      <c r="G242" s="172" t="n"/>
      <c r="H242" s="173" t="n"/>
      <c r="I242" s="170" t="n"/>
      <c r="J242" s="170" t="n"/>
      <c r="K242" s="170" t="n"/>
    </row>
    <row r="243" ht="54.75" customHeight="1" s="211">
      <c r="A243" s="164">
        <f>Accounts!A243</f>
        <v/>
      </c>
      <c r="B243" s="12" t="n"/>
      <c r="C243" s="65" t="n"/>
      <c r="D243" s="165">
        <f>Accounts!K243</f>
        <v/>
      </c>
      <c r="E243" s="172" t="n"/>
      <c r="F243" s="173" t="n"/>
      <c r="G243" s="172" t="n"/>
      <c r="H243" s="173" t="n"/>
      <c r="I243" s="170" t="n"/>
      <c r="J243" s="170" t="n"/>
      <c r="K243" s="170" t="n"/>
    </row>
    <row r="244" ht="54.75" customHeight="1" s="211">
      <c r="A244" s="164">
        <f>Accounts!A244</f>
        <v/>
      </c>
      <c r="B244" s="12" t="n"/>
      <c r="C244" s="65" t="n"/>
      <c r="D244" s="165">
        <f>Accounts!K244</f>
        <v/>
      </c>
      <c r="E244" s="172" t="n"/>
      <c r="F244" s="173" t="n"/>
      <c r="G244" s="172" t="n"/>
      <c r="H244" s="173" t="n"/>
      <c r="I244" s="170" t="n"/>
      <c r="J244" s="170" t="n"/>
      <c r="K244" s="170" t="n"/>
    </row>
    <row r="245" ht="54.75" customHeight="1" s="211">
      <c r="A245" s="164">
        <f>Accounts!A245</f>
        <v/>
      </c>
      <c r="B245" s="12" t="n"/>
      <c r="C245" s="65" t="n"/>
      <c r="D245" s="165">
        <f>Accounts!K245</f>
        <v/>
      </c>
      <c r="E245" s="172" t="n"/>
      <c r="F245" s="173" t="n"/>
      <c r="G245" s="172" t="n"/>
      <c r="H245" s="173" t="n"/>
      <c r="I245" s="170" t="n"/>
      <c r="J245" s="170" t="n"/>
      <c r="K245" s="170" t="n"/>
    </row>
    <row r="246" ht="54.75" customHeight="1" s="211">
      <c r="A246" s="164">
        <f>Accounts!A246</f>
        <v/>
      </c>
      <c r="B246" s="12" t="n"/>
      <c r="C246" s="65" t="n"/>
      <c r="D246" s="165">
        <f>Accounts!K246</f>
        <v/>
      </c>
      <c r="E246" s="172" t="n"/>
      <c r="F246" s="173" t="n"/>
      <c r="G246" s="172" t="n"/>
      <c r="H246" s="173" t="n"/>
      <c r="I246" s="170" t="n"/>
      <c r="J246" s="170" t="n"/>
      <c r="K246" s="170" t="n"/>
    </row>
    <row r="247" ht="54.75" customHeight="1" s="211">
      <c r="A247" s="164">
        <f>Accounts!A247</f>
        <v/>
      </c>
      <c r="B247" s="12" t="n"/>
      <c r="C247" s="65" t="n"/>
      <c r="D247" s="165">
        <f>Accounts!K247</f>
        <v/>
      </c>
      <c r="E247" s="172" t="n"/>
      <c r="F247" s="173" t="n"/>
      <c r="G247" s="172" t="n"/>
      <c r="H247" s="173" t="n"/>
      <c r="I247" s="170" t="n"/>
      <c r="J247" s="170" t="n"/>
      <c r="K247" s="170" t="n"/>
    </row>
    <row r="248" ht="54.75" customHeight="1" s="211">
      <c r="A248" s="164">
        <f>Accounts!A248</f>
        <v/>
      </c>
      <c r="B248" s="12" t="n"/>
      <c r="C248" s="65" t="n"/>
      <c r="D248" s="165">
        <f>Accounts!K248</f>
        <v/>
      </c>
      <c r="E248" s="172" t="n"/>
      <c r="F248" s="173" t="n"/>
      <c r="G248" s="172" t="n"/>
      <c r="H248" s="173" t="n"/>
      <c r="I248" s="170" t="n"/>
      <c r="J248" s="170" t="n"/>
      <c r="K248" s="170" t="n"/>
    </row>
    <row r="249" ht="54.75" customHeight="1" s="211">
      <c r="A249" s="164">
        <f>Accounts!A249</f>
        <v/>
      </c>
      <c r="B249" s="12" t="n"/>
      <c r="C249" s="65" t="n"/>
      <c r="D249" s="165">
        <f>Accounts!K249</f>
        <v/>
      </c>
      <c r="E249" s="172" t="n"/>
      <c r="F249" s="173" t="n"/>
      <c r="G249" s="172" t="n"/>
      <c r="H249" s="173" t="n"/>
      <c r="I249" s="170" t="n"/>
      <c r="J249" s="170" t="n"/>
      <c r="K249" s="170" t="n"/>
    </row>
    <row r="250" ht="54.75" customHeight="1" s="211">
      <c r="A250" s="164">
        <f>Accounts!A250</f>
        <v/>
      </c>
      <c r="B250" s="12" t="n"/>
      <c r="C250" s="65" t="n"/>
      <c r="D250" s="165">
        <f>Accounts!K250</f>
        <v/>
      </c>
      <c r="E250" s="172" t="n"/>
      <c r="F250" s="173" t="n"/>
      <c r="G250" s="172" t="n"/>
      <c r="H250" s="173" t="n"/>
      <c r="I250" s="170" t="n"/>
      <c r="J250" s="170" t="n"/>
      <c r="K250" s="170" t="n"/>
    </row>
    <row r="251" ht="54.75" customHeight="1" s="211">
      <c r="A251" s="164">
        <f>Accounts!A251</f>
        <v/>
      </c>
      <c r="B251" s="12" t="n"/>
      <c r="C251" s="65" t="n"/>
      <c r="D251" s="165">
        <f>Accounts!K251</f>
        <v/>
      </c>
      <c r="E251" s="172" t="n"/>
      <c r="F251" s="173" t="n"/>
      <c r="G251" s="172" t="n"/>
      <c r="H251" s="173" t="n"/>
      <c r="I251" s="170" t="n"/>
      <c r="J251" s="170" t="n"/>
      <c r="K251" s="170" t="n"/>
    </row>
    <row r="252" ht="54.75" customHeight="1" s="211">
      <c r="A252" s="164">
        <f>Accounts!A252</f>
        <v/>
      </c>
      <c r="B252" s="12" t="n"/>
      <c r="C252" s="65" t="n"/>
      <c r="D252" s="165">
        <f>Accounts!K252</f>
        <v/>
      </c>
      <c r="E252" s="172" t="n"/>
      <c r="F252" s="173" t="n"/>
      <c r="G252" s="172" t="n"/>
      <c r="H252" s="173" t="n"/>
      <c r="I252" s="170" t="n"/>
      <c r="J252" s="170" t="n"/>
      <c r="K252" s="170" t="n"/>
    </row>
    <row r="253" ht="54.75" customHeight="1" s="211">
      <c r="A253" s="164">
        <f>Accounts!A253</f>
        <v/>
      </c>
      <c r="B253" s="12" t="n"/>
      <c r="C253" s="65" t="n"/>
      <c r="D253" s="165">
        <f>Accounts!K253</f>
        <v/>
      </c>
      <c r="E253" s="172" t="n"/>
      <c r="F253" s="173" t="n"/>
      <c r="G253" s="172" t="n"/>
      <c r="H253" s="173" t="n"/>
      <c r="I253" s="170" t="n"/>
      <c r="J253" s="170" t="n"/>
      <c r="K253" s="170" t="n"/>
    </row>
    <row r="254" ht="54.75" customHeight="1" s="211">
      <c r="A254" s="164">
        <f>Accounts!A254</f>
        <v/>
      </c>
      <c r="B254" s="12" t="n"/>
      <c r="C254" s="65" t="n"/>
      <c r="D254" s="165">
        <f>Accounts!K254</f>
        <v/>
      </c>
      <c r="E254" s="172" t="n"/>
      <c r="F254" s="173" t="n"/>
      <c r="G254" s="172" t="n"/>
      <c r="H254" s="173" t="n"/>
      <c r="I254" s="170" t="n"/>
      <c r="J254" s="170" t="n"/>
      <c r="K254" s="170" t="n"/>
    </row>
    <row r="255" ht="54.75" customHeight="1" s="211">
      <c r="A255" s="164">
        <f>Accounts!A255</f>
        <v/>
      </c>
      <c r="B255" s="12" t="n"/>
      <c r="C255" s="65" t="n"/>
      <c r="D255" s="165">
        <f>Accounts!K255</f>
        <v/>
      </c>
      <c r="E255" s="172" t="n"/>
      <c r="F255" s="173" t="n"/>
      <c r="G255" s="172" t="n"/>
      <c r="H255" s="173" t="n"/>
      <c r="I255" s="170" t="n"/>
      <c r="J255" s="170" t="n"/>
      <c r="K255" s="170" t="n"/>
    </row>
    <row r="256" ht="54.75" customHeight="1" s="211">
      <c r="A256" s="164">
        <f>Accounts!A256</f>
        <v/>
      </c>
      <c r="B256" s="12" t="n"/>
      <c r="C256" s="65" t="n"/>
      <c r="D256" s="165">
        <f>Accounts!K256</f>
        <v/>
      </c>
      <c r="E256" s="172" t="n"/>
      <c r="F256" s="173" t="n"/>
      <c r="G256" s="172" t="n"/>
      <c r="H256" s="173" t="n"/>
      <c r="I256" s="170" t="n"/>
      <c r="J256" s="170" t="n"/>
      <c r="K256" s="170" t="n"/>
    </row>
    <row r="257" ht="54.75" customHeight="1" s="211">
      <c r="A257" s="164">
        <f>Accounts!A257</f>
        <v/>
      </c>
      <c r="B257" s="12" t="n"/>
      <c r="C257" s="65" t="n"/>
      <c r="D257" s="165">
        <f>Accounts!K257</f>
        <v/>
      </c>
      <c r="E257" s="172" t="n"/>
      <c r="F257" s="173" t="n"/>
      <c r="G257" s="172" t="n"/>
      <c r="H257" s="173" t="n"/>
      <c r="I257" s="170" t="n"/>
      <c r="J257" s="170" t="n"/>
      <c r="K257" s="170" t="n"/>
    </row>
    <row r="258" ht="54.75" customHeight="1" s="211">
      <c r="A258" s="164">
        <f>Accounts!A258</f>
        <v/>
      </c>
      <c r="B258" s="12" t="n"/>
      <c r="C258" s="65" t="n"/>
      <c r="D258" s="165">
        <f>Accounts!K258</f>
        <v/>
      </c>
      <c r="E258" s="172" t="n"/>
      <c r="F258" s="173" t="n"/>
      <c r="G258" s="172" t="n"/>
      <c r="H258" s="173" t="n"/>
      <c r="I258" s="170" t="n"/>
      <c r="J258" s="170" t="n"/>
      <c r="K258" s="170" t="n"/>
    </row>
    <row r="259" ht="54.75" customHeight="1" s="211">
      <c r="A259" s="164">
        <f>Accounts!A259</f>
        <v/>
      </c>
      <c r="B259" s="12" t="n"/>
      <c r="C259" s="65" t="n"/>
      <c r="D259" s="165">
        <f>Accounts!K259</f>
        <v/>
      </c>
      <c r="E259" s="172" t="n"/>
      <c r="F259" s="173" t="n"/>
      <c r="G259" s="172" t="n"/>
      <c r="H259" s="173" t="n"/>
      <c r="I259" s="170" t="n"/>
      <c r="J259" s="170" t="n"/>
      <c r="K259" s="170" t="n"/>
    </row>
    <row r="260" ht="54.75" customHeight="1" s="211">
      <c r="A260" s="164">
        <f>Accounts!A260</f>
        <v/>
      </c>
      <c r="B260" s="12" t="n"/>
      <c r="C260" s="65" t="n"/>
      <c r="D260" s="165">
        <f>Accounts!K260</f>
        <v/>
      </c>
      <c r="E260" s="172" t="n"/>
      <c r="F260" s="173" t="n"/>
      <c r="G260" s="172" t="n"/>
      <c r="H260" s="173" t="n"/>
      <c r="I260" s="170" t="n"/>
      <c r="J260" s="170" t="n"/>
      <c r="K260" s="170" t="n"/>
    </row>
    <row r="261" ht="54.75" customHeight="1" s="211">
      <c r="A261" s="164">
        <f>Accounts!A261</f>
        <v/>
      </c>
      <c r="B261" s="12" t="n"/>
      <c r="C261" s="65" t="n"/>
      <c r="D261" s="165">
        <f>Accounts!K261</f>
        <v/>
      </c>
      <c r="E261" s="172" t="n"/>
      <c r="F261" s="173" t="n"/>
      <c r="G261" s="172" t="n"/>
      <c r="H261" s="173" t="n"/>
      <c r="I261" s="170" t="n"/>
      <c r="J261" s="170" t="n"/>
      <c r="K261" s="170" t="n"/>
    </row>
    <row r="262" ht="54.75" customHeight="1" s="211">
      <c r="A262" s="164">
        <f>Accounts!A262</f>
        <v/>
      </c>
      <c r="B262" s="12" t="n"/>
      <c r="C262" s="65" t="n"/>
      <c r="D262" s="165">
        <f>Accounts!K262</f>
        <v/>
      </c>
      <c r="E262" s="172" t="n"/>
      <c r="F262" s="173" t="n"/>
      <c r="G262" s="172" t="n"/>
      <c r="H262" s="173" t="n"/>
      <c r="I262" s="170" t="n"/>
      <c r="J262" s="170" t="n"/>
      <c r="K262" s="170" t="n"/>
    </row>
    <row r="263" ht="54.75" customHeight="1" s="211">
      <c r="A263" s="164">
        <f>Accounts!A263</f>
        <v/>
      </c>
      <c r="B263" s="12" t="n"/>
      <c r="C263" s="65" t="n"/>
      <c r="D263" s="165">
        <f>Accounts!K263</f>
        <v/>
      </c>
      <c r="E263" s="172" t="n"/>
      <c r="F263" s="173" t="n"/>
      <c r="G263" s="172" t="n"/>
      <c r="H263" s="173" t="n"/>
      <c r="I263" s="170" t="n"/>
      <c r="J263" s="170" t="n"/>
      <c r="K263" s="170" t="n"/>
    </row>
    <row r="264" ht="54.75" customHeight="1" s="211">
      <c r="A264" s="164">
        <f>Accounts!A264</f>
        <v/>
      </c>
      <c r="B264" s="12" t="n"/>
      <c r="C264" s="65" t="n"/>
      <c r="D264" s="165">
        <f>Accounts!K264</f>
        <v/>
      </c>
      <c r="E264" s="172" t="n"/>
      <c r="F264" s="173" t="n"/>
      <c r="G264" s="172" t="n"/>
      <c r="H264" s="173" t="n"/>
      <c r="I264" s="170" t="n"/>
      <c r="J264" s="170" t="n"/>
      <c r="K264" s="170" t="n"/>
    </row>
    <row r="265" ht="54.75" customHeight="1" s="211">
      <c r="A265" s="164">
        <f>Accounts!A265</f>
        <v/>
      </c>
      <c r="B265" s="12" t="n"/>
      <c r="C265" s="65" t="n"/>
      <c r="D265" s="165">
        <f>Accounts!K265</f>
        <v/>
      </c>
      <c r="E265" s="172" t="n"/>
      <c r="F265" s="173" t="n"/>
      <c r="G265" s="172" t="n"/>
      <c r="H265" s="173" t="n"/>
      <c r="I265" s="170" t="n"/>
      <c r="J265" s="170" t="n"/>
      <c r="K265" s="170" t="n"/>
    </row>
    <row r="266" ht="54.75" customHeight="1" s="211">
      <c r="A266" s="164">
        <f>Accounts!A266</f>
        <v/>
      </c>
      <c r="B266" s="12" t="n"/>
      <c r="C266" s="65" t="n"/>
      <c r="D266" s="165">
        <f>Accounts!K266</f>
        <v/>
      </c>
      <c r="E266" s="172" t="n"/>
      <c r="F266" s="173" t="n"/>
      <c r="G266" s="172" t="n"/>
      <c r="H266" s="173" t="n"/>
      <c r="I266" s="170" t="n"/>
      <c r="J266" s="170" t="n"/>
      <c r="K266" s="170" t="n"/>
    </row>
    <row r="267" ht="54.75" customHeight="1" s="211">
      <c r="A267" s="164">
        <f>Accounts!A267</f>
        <v/>
      </c>
      <c r="B267" s="12" t="n"/>
      <c r="C267" s="65" t="n"/>
      <c r="D267" s="165">
        <f>Accounts!K267</f>
        <v/>
      </c>
      <c r="E267" s="172" t="n"/>
      <c r="F267" s="173" t="n"/>
      <c r="G267" s="172" t="n"/>
      <c r="H267" s="173" t="n"/>
      <c r="I267" s="170" t="n"/>
      <c r="J267" s="170" t="n"/>
      <c r="K267" s="170" t="n"/>
    </row>
    <row r="268" ht="54.75" customHeight="1" s="211">
      <c r="A268" s="164">
        <f>Accounts!A268</f>
        <v/>
      </c>
      <c r="B268" s="12" t="n"/>
      <c r="C268" s="65" t="n"/>
      <c r="D268" s="165">
        <f>Accounts!K268</f>
        <v/>
      </c>
      <c r="E268" s="166" t="n">
        <v>0.6</v>
      </c>
      <c r="F268" s="167">
        <f>Accounts!K268*E268</f>
        <v/>
      </c>
      <c r="G268" s="166" t="n">
        <v>0.4</v>
      </c>
      <c r="H268" s="167">
        <f>F268*G268</f>
        <v/>
      </c>
      <c r="I268" s="168">
        <f>if(or(eq(Accounts!J268,"No Valet"),eq(Accounts!J268,"Has Valet")), H268 * AVERAGE(Accounts!J$2:J$36),H268*Accounts!J268)</f>
        <v/>
      </c>
      <c r="J268" s="168">
        <f>iferror(I268*360,"")</f>
        <v/>
      </c>
      <c r="K268" s="168">
        <f>J268*0.1</f>
        <v/>
      </c>
    </row>
    <row r="269" ht="54.75" customHeight="1" s="211">
      <c r="A269" s="164">
        <f>Accounts!A269</f>
        <v/>
      </c>
      <c r="B269" s="12" t="n"/>
      <c r="C269" s="65" t="n"/>
      <c r="D269" s="165">
        <f>Accounts!K269</f>
        <v/>
      </c>
      <c r="E269" s="166" t="n">
        <v>0.6</v>
      </c>
      <c r="F269" s="167">
        <f>Accounts!K269*E269</f>
        <v/>
      </c>
      <c r="G269" s="166" t="n">
        <v>0.4</v>
      </c>
      <c r="H269" s="167">
        <f>F269*G269</f>
        <v/>
      </c>
      <c r="I269" s="168">
        <f>if(or(eq(Accounts!J269,"No Valet"),eq(Accounts!J269,"Has Valet")), H269 * AVERAGE(Accounts!J$2:J$36),H269*Accounts!J269)</f>
        <v/>
      </c>
      <c r="J269" s="168">
        <f>iferror(I269*360,"")</f>
        <v/>
      </c>
      <c r="K269" s="168">
        <f>J269*0.1</f>
        <v/>
      </c>
    </row>
    <row r="270" ht="54.75" customHeight="1" s="211">
      <c r="A270" s="164">
        <f>Accounts!A270</f>
        <v/>
      </c>
      <c r="B270" s="12" t="n"/>
      <c r="C270" s="65" t="n"/>
      <c r="D270" s="165">
        <f>Accounts!K270</f>
        <v/>
      </c>
      <c r="E270" s="166" t="n">
        <v>0.6</v>
      </c>
      <c r="F270" s="167">
        <f>Accounts!K270*E270</f>
        <v/>
      </c>
      <c r="G270" s="166" t="n">
        <v>0.4</v>
      </c>
      <c r="H270" s="167">
        <f>F270*G270</f>
        <v/>
      </c>
      <c r="I270" s="168">
        <f>if(or(eq(Accounts!J270,"No Valet"),eq(Accounts!J270,"Has Valet")), H270 * AVERAGE(Accounts!J$2:J$36),H270*Accounts!J270)</f>
        <v/>
      </c>
      <c r="J270" s="168">
        <f>iferror(I270*360,"")</f>
        <v/>
      </c>
      <c r="K270" s="168">
        <f>J270*0.1</f>
        <v/>
      </c>
    </row>
    <row r="271" ht="54.75" customHeight="1" s="211">
      <c r="A271" s="164">
        <f>Accounts!A271</f>
        <v/>
      </c>
      <c r="B271" s="12" t="n"/>
      <c r="C271" s="65" t="n"/>
      <c r="D271" s="165">
        <f>Accounts!K271</f>
        <v/>
      </c>
      <c r="E271" s="166" t="n">
        <v>0.6</v>
      </c>
      <c r="F271" s="167">
        <f>Accounts!K271*E271</f>
        <v/>
      </c>
      <c r="G271" s="166" t="n">
        <v>0.4</v>
      </c>
      <c r="H271" s="167">
        <f>F271*G271</f>
        <v/>
      </c>
      <c r="I271" s="168">
        <f>if(or(eq(Accounts!J271,"No Valet"),eq(Accounts!J271,"Has Valet")), H271 * AVERAGE(Accounts!J$2:J$36),H271*Accounts!J271)</f>
        <v/>
      </c>
      <c r="J271" s="168">
        <f>iferror(I271*360,"")</f>
        <v/>
      </c>
      <c r="K271" s="168">
        <f>J271*0.1</f>
        <v/>
      </c>
    </row>
    <row r="272" ht="54.75" customHeight="1" s="211">
      <c r="A272" s="164">
        <f>Accounts!A272</f>
        <v/>
      </c>
      <c r="B272" s="12" t="n"/>
      <c r="C272" s="65" t="n"/>
      <c r="D272" s="165">
        <f>Accounts!K272</f>
        <v/>
      </c>
      <c r="E272" s="166" t="n">
        <v>0.6</v>
      </c>
      <c r="F272" s="167">
        <f>Accounts!K272*E272</f>
        <v/>
      </c>
      <c r="G272" s="166" t="n">
        <v>0.4</v>
      </c>
      <c r="H272" s="167">
        <f>F272*G272</f>
        <v/>
      </c>
      <c r="I272" s="168">
        <f>if(or(eq(Accounts!J272,"No Valet"),eq(Accounts!J272,"Has Valet")), H272 * AVERAGE(Accounts!J$2:J$36),H272*Accounts!J272)</f>
        <v/>
      </c>
      <c r="J272" s="168">
        <f>iferror(I272*360,"")</f>
        <v/>
      </c>
      <c r="K272" s="168">
        <f>J272*0.1</f>
        <v/>
      </c>
    </row>
    <row r="273" ht="54.75" customHeight="1" s="211">
      <c r="A273" s="164">
        <f>Accounts!A273</f>
        <v/>
      </c>
      <c r="B273" s="12" t="n"/>
      <c r="C273" s="65" t="n"/>
      <c r="D273" s="165">
        <f>Accounts!K273</f>
        <v/>
      </c>
      <c r="E273" s="166" t="n">
        <v>0.6</v>
      </c>
      <c r="F273" s="167">
        <f>Accounts!K273*E273</f>
        <v/>
      </c>
      <c r="G273" s="166" t="n">
        <v>0.4</v>
      </c>
      <c r="H273" s="167">
        <f>F273*G273</f>
        <v/>
      </c>
      <c r="I273" s="168">
        <f>if(or(eq(Accounts!J273,"No Valet"),eq(Accounts!J273,"Has Valet")), H273 * AVERAGE(Accounts!J$2:J$36),H273*Accounts!J273)</f>
        <v/>
      </c>
      <c r="J273" s="168">
        <f>iferror(I273*360,"")</f>
        <v/>
      </c>
      <c r="K273" s="168">
        <f>J273*0.1</f>
        <v/>
      </c>
    </row>
    <row r="274" ht="54.75" customHeight="1" s="211">
      <c r="A274" s="164">
        <f>Accounts!A274</f>
        <v/>
      </c>
      <c r="B274" s="12" t="n"/>
      <c r="C274" s="65" t="n"/>
      <c r="D274" s="165">
        <f>Accounts!K274</f>
        <v/>
      </c>
      <c r="E274" s="166" t="n">
        <v>0.6</v>
      </c>
      <c r="F274" s="167">
        <f>Accounts!K274*E274</f>
        <v/>
      </c>
      <c r="G274" s="166" t="n">
        <v>0.4</v>
      </c>
      <c r="H274" s="167">
        <f>F274*G274</f>
        <v/>
      </c>
      <c r="I274" s="168">
        <f>if(or(eq(Accounts!J274,"No Valet"),eq(Accounts!J274,"Has Valet")), H274 * AVERAGE(Accounts!J$2:J$36),H274*Accounts!J274)</f>
        <v/>
      </c>
      <c r="J274" s="168">
        <f>iferror(I274*360,"")</f>
        <v/>
      </c>
      <c r="K274" s="168">
        <f>J274*0.1</f>
        <v/>
      </c>
    </row>
    <row r="275" ht="54.75" customHeight="1" s="211">
      <c r="A275" s="164">
        <f>Accounts!A275</f>
        <v/>
      </c>
      <c r="B275" s="12" t="n"/>
      <c r="C275" s="65" t="n"/>
      <c r="D275" s="165">
        <f>Accounts!K275</f>
        <v/>
      </c>
      <c r="E275" s="166" t="n">
        <v>0.6</v>
      </c>
      <c r="F275" s="167">
        <f>Accounts!K275*E275</f>
        <v/>
      </c>
      <c r="G275" s="166" t="n">
        <v>0.4</v>
      </c>
      <c r="H275" s="167">
        <f>F275*G275</f>
        <v/>
      </c>
      <c r="I275" s="168">
        <f>if(or(eq(Accounts!J275,"No Valet"),eq(Accounts!J275,"Has Valet")), H275 * AVERAGE(Accounts!J$2:J$36),H275*Accounts!J275)</f>
        <v/>
      </c>
      <c r="J275" s="168">
        <f>iferror(I275*360,"")</f>
        <v/>
      </c>
      <c r="K275" s="168">
        <f>J275*0.1</f>
        <v/>
      </c>
    </row>
    <row r="276" ht="54.75" customHeight="1" s="211">
      <c r="A276" s="164">
        <f>Accounts!A276</f>
        <v/>
      </c>
      <c r="B276" s="12" t="n"/>
      <c r="C276" s="65" t="n"/>
      <c r="D276" s="165">
        <f>Accounts!K276</f>
        <v/>
      </c>
      <c r="E276" s="166" t="n">
        <v>0.6</v>
      </c>
      <c r="F276" s="167">
        <f>Accounts!K276*E276</f>
        <v/>
      </c>
      <c r="G276" s="166" t="n">
        <v>0.4</v>
      </c>
      <c r="H276" s="167">
        <f>F276*G276</f>
        <v/>
      </c>
      <c r="I276" s="168">
        <f>if(or(eq(Accounts!J276,"No Valet"),eq(Accounts!J276,"Has Valet")), H276 * AVERAGE(Accounts!J$2:J$36),H276*Accounts!J276)</f>
        <v/>
      </c>
      <c r="J276" s="168">
        <f>iferror(I276*360,"")</f>
        <v/>
      </c>
      <c r="K276" s="168">
        <f>J276*0.1</f>
        <v/>
      </c>
    </row>
    <row r="277" ht="54.75" customHeight="1" s="211">
      <c r="A277" s="164">
        <f>Accounts!A277</f>
        <v/>
      </c>
      <c r="B277" s="12" t="n"/>
      <c r="C277" s="65" t="n"/>
      <c r="D277" s="165">
        <f>Accounts!K277</f>
        <v/>
      </c>
      <c r="E277" s="166" t="n">
        <v>0.6</v>
      </c>
      <c r="F277" s="167">
        <f>Accounts!K277*E277</f>
        <v/>
      </c>
      <c r="G277" s="166" t="n">
        <v>0.4</v>
      </c>
      <c r="H277" s="167">
        <f>F277*G277</f>
        <v/>
      </c>
      <c r="I277" s="168">
        <f>if(or(eq(Accounts!J277,"No Valet"),eq(Accounts!J277,"Has Valet")), H277 * AVERAGE(Accounts!J$2:J$36),H277*Accounts!J277)</f>
        <v/>
      </c>
      <c r="J277" s="168">
        <f>iferror(I277*360,"")</f>
        <v/>
      </c>
      <c r="K277" s="168">
        <f>J277*0.1</f>
        <v/>
      </c>
    </row>
    <row r="278" ht="54.75" customHeight="1" s="211">
      <c r="A278" s="164">
        <f>Accounts!A278</f>
        <v/>
      </c>
      <c r="B278" s="12" t="n"/>
      <c r="C278" s="65" t="n"/>
      <c r="D278" s="165">
        <f>Accounts!K278</f>
        <v/>
      </c>
      <c r="E278" s="166" t="n">
        <v>0.6</v>
      </c>
      <c r="F278" s="167">
        <f>Accounts!K278*E278</f>
        <v/>
      </c>
      <c r="G278" s="166" t="n">
        <v>0.4</v>
      </c>
      <c r="H278" s="167">
        <f>F278*G278</f>
        <v/>
      </c>
      <c r="I278" s="168">
        <f>if(or(eq(Accounts!J278,"No Valet"),eq(Accounts!J278,"Has Valet")), H278 * AVERAGE(Accounts!J$2:J$36),H278*Accounts!J278)</f>
        <v/>
      </c>
      <c r="J278" s="168">
        <f>iferror(I278*360,"")</f>
        <v/>
      </c>
      <c r="K278" s="168">
        <f>J278*0.1</f>
        <v/>
      </c>
    </row>
    <row r="279" ht="54.75" customHeight="1" s="211">
      <c r="A279" s="164">
        <f>Accounts!A279</f>
        <v/>
      </c>
      <c r="B279" s="12" t="n"/>
      <c r="C279" s="65" t="n"/>
      <c r="D279" s="165">
        <f>Accounts!K279</f>
        <v/>
      </c>
      <c r="E279" s="166" t="n">
        <v>0.6</v>
      </c>
      <c r="F279" s="167">
        <f>Accounts!K279*E279</f>
        <v/>
      </c>
      <c r="G279" s="166" t="n">
        <v>0.4</v>
      </c>
      <c r="H279" s="167">
        <f>F279*G279</f>
        <v/>
      </c>
      <c r="I279" s="168">
        <f>if(or(eq(Accounts!J279,"No Valet"),eq(Accounts!J279,"Has Valet")), H279 * AVERAGE(Accounts!J$2:J$36),H279*Accounts!J279)</f>
        <v/>
      </c>
      <c r="J279" s="168">
        <f>iferror(I279*360,"")</f>
        <v/>
      </c>
      <c r="K279" s="168">
        <f>J279*0.1</f>
        <v/>
      </c>
    </row>
    <row r="280" ht="54.75" customHeight="1" s="211">
      <c r="A280" s="164">
        <f>Accounts!A280</f>
        <v/>
      </c>
      <c r="B280" s="12" t="n"/>
      <c r="C280" s="65" t="n"/>
      <c r="D280" s="165">
        <f>Accounts!K280</f>
        <v/>
      </c>
      <c r="E280" s="166" t="n">
        <v>0.6</v>
      </c>
      <c r="F280" s="167">
        <f>Accounts!K280*E280</f>
        <v/>
      </c>
      <c r="G280" s="166" t="n">
        <v>0.4</v>
      </c>
      <c r="H280" s="167">
        <f>F280*G280</f>
        <v/>
      </c>
      <c r="I280" s="168">
        <f>if(or(eq(Accounts!J280,"No Valet"),eq(Accounts!J280,"Has Valet")), H280 * AVERAGE(Accounts!J$2:J$36),H280*Accounts!J280)</f>
        <v/>
      </c>
      <c r="J280" s="168">
        <f>iferror(I280*360,"")</f>
        <v/>
      </c>
      <c r="K280" s="168">
        <f>J280*0.1</f>
        <v/>
      </c>
    </row>
    <row r="281" ht="54.75" customHeight="1" s="211">
      <c r="A281" s="164">
        <f>Accounts!A281</f>
        <v/>
      </c>
      <c r="B281" s="12" t="n"/>
      <c r="C281" s="65" t="n"/>
      <c r="D281" s="165">
        <f>Accounts!K281</f>
        <v/>
      </c>
      <c r="E281" s="166" t="n">
        <v>0.6</v>
      </c>
      <c r="F281" s="167">
        <f>Accounts!K281*E281</f>
        <v/>
      </c>
      <c r="G281" s="166" t="n">
        <v>0.4</v>
      </c>
      <c r="H281" s="167">
        <f>F281*G281</f>
        <v/>
      </c>
      <c r="I281" s="168">
        <f>if(or(eq(Accounts!J281,"No Valet"),eq(Accounts!J281,"Has Valet")), H281 * AVERAGE(Accounts!J$2:J$36),H281*Accounts!J281)</f>
        <v/>
      </c>
      <c r="J281" s="168">
        <f>iferror(I281*360,"")</f>
        <v/>
      </c>
      <c r="K281" s="168">
        <f>J281*0.1</f>
        <v/>
      </c>
    </row>
    <row r="282" ht="54.75" customHeight="1" s="211">
      <c r="A282" s="164">
        <f>Accounts!A282</f>
        <v/>
      </c>
      <c r="B282" s="12" t="n"/>
      <c r="C282" s="65" t="n"/>
      <c r="D282" s="165">
        <f>Accounts!K282</f>
        <v/>
      </c>
      <c r="E282" s="166" t="n">
        <v>0.6</v>
      </c>
      <c r="F282" s="167">
        <f>Accounts!K282*E282</f>
        <v/>
      </c>
      <c r="G282" s="166" t="n">
        <v>0.4</v>
      </c>
      <c r="H282" s="167">
        <f>F282*G282</f>
        <v/>
      </c>
      <c r="I282" s="168">
        <f>if(or(eq(Accounts!J282,"No Valet"),eq(Accounts!J282,"Has Valet")), H282 * AVERAGE(Accounts!J$2:J$36),H282*Accounts!J282)</f>
        <v/>
      </c>
      <c r="J282" s="168">
        <f>iferror(I282*360,"")</f>
        <v/>
      </c>
      <c r="K282" s="168">
        <f>J282*0.1</f>
        <v/>
      </c>
    </row>
    <row r="283" ht="54.75" customHeight="1" s="211">
      <c r="A283" s="164">
        <f>Accounts!A283</f>
        <v/>
      </c>
      <c r="B283" s="12" t="n"/>
      <c r="C283" s="65" t="n"/>
      <c r="D283" s="165">
        <f>Accounts!K283</f>
        <v/>
      </c>
      <c r="E283" s="166" t="n">
        <v>0.6</v>
      </c>
      <c r="F283" s="167">
        <f>Accounts!K283*E283</f>
        <v/>
      </c>
      <c r="G283" s="166" t="n">
        <v>0.4</v>
      </c>
      <c r="H283" s="167">
        <f>F283*G283</f>
        <v/>
      </c>
      <c r="I283" s="168">
        <f>if(or(eq(Accounts!J283,"No Valet"),eq(Accounts!J283,"Has Valet")), H283 * AVERAGE(Accounts!J$2:J$36),H283*Accounts!J283)</f>
        <v/>
      </c>
      <c r="J283" s="168">
        <f>iferror(I283*360,"")</f>
        <v/>
      </c>
      <c r="K283" s="168">
        <f>J283*0.1</f>
        <v/>
      </c>
    </row>
    <row r="284" ht="54.75" customHeight="1" s="211">
      <c r="A284" s="164">
        <f>Accounts!A284</f>
        <v/>
      </c>
      <c r="B284" s="12" t="n"/>
      <c r="C284" s="65" t="n"/>
      <c r="D284" s="165">
        <f>Accounts!K284</f>
        <v/>
      </c>
      <c r="E284" s="166" t="n">
        <v>0.6</v>
      </c>
      <c r="F284" s="167">
        <f>Accounts!K284*E284</f>
        <v/>
      </c>
      <c r="G284" s="166" t="n">
        <v>0.4</v>
      </c>
      <c r="H284" s="167">
        <f>F284*G284</f>
        <v/>
      </c>
      <c r="I284" s="168">
        <f>if(or(eq(Accounts!J284,"No Valet"),eq(Accounts!J284,"Has Valet")), H284 * AVERAGE(Accounts!J$2:J$36),H284*Accounts!J284)</f>
        <v/>
      </c>
      <c r="J284" s="168">
        <f>iferror(I284*360,"")</f>
        <v/>
      </c>
      <c r="K284" s="168">
        <f>J284*0.1</f>
        <v/>
      </c>
    </row>
    <row r="285" ht="54.75" customHeight="1" s="211">
      <c r="A285" s="164">
        <f>Accounts!A285</f>
        <v/>
      </c>
      <c r="B285" s="12" t="n"/>
      <c r="C285" s="65" t="n"/>
      <c r="D285" s="165">
        <f>Accounts!K285</f>
        <v/>
      </c>
      <c r="E285" s="166" t="n">
        <v>0.6</v>
      </c>
      <c r="F285" s="167">
        <f>Accounts!K285*E285</f>
        <v/>
      </c>
      <c r="G285" s="166" t="n">
        <v>0.4</v>
      </c>
      <c r="H285" s="167">
        <f>F285*G285</f>
        <v/>
      </c>
      <c r="I285" s="168">
        <f>if(or(eq(Accounts!J285,"No Valet"),eq(Accounts!J285,"Has Valet")), H285 * AVERAGE(Accounts!J$2:J$36),H285*Accounts!J285)</f>
        <v/>
      </c>
      <c r="J285" s="168">
        <f>iferror(I285*360,"")</f>
        <v/>
      </c>
      <c r="K285" s="168">
        <f>J285*0.1</f>
        <v/>
      </c>
    </row>
    <row r="286" ht="54.75" customHeight="1" s="211">
      <c r="A286" s="164">
        <f>Accounts!A286</f>
        <v/>
      </c>
      <c r="B286" s="12" t="n"/>
      <c r="C286" s="65" t="n"/>
      <c r="D286" s="165">
        <f>Accounts!K286</f>
        <v/>
      </c>
      <c r="E286" s="166" t="n">
        <v>0.6</v>
      </c>
      <c r="F286" s="167">
        <f>Accounts!K286*E286</f>
        <v/>
      </c>
      <c r="G286" s="166" t="n">
        <v>0.4</v>
      </c>
      <c r="H286" s="167">
        <f>F286*G286</f>
        <v/>
      </c>
      <c r="I286" s="168">
        <f>if(or(eq(Accounts!J286,"No Valet"),eq(Accounts!J286,"Has Valet")), H286 * AVERAGE(Accounts!J$2:J$36),H286*Accounts!J286)</f>
        <v/>
      </c>
      <c r="J286" s="168">
        <f>iferror(I286*360,"")</f>
        <v/>
      </c>
      <c r="K286" s="168">
        <f>J286*0.1</f>
        <v/>
      </c>
    </row>
    <row r="287" ht="54.75" customHeight="1" s="211">
      <c r="A287" s="164">
        <f>Accounts!A287</f>
        <v/>
      </c>
      <c r="B287" s="12" t="n"/>
      <c r="C287" s="65" t="n"/>
      <c r="D287" s="165">
        <f>Accounts!K287</f>
        <v/>
      </c>
      <c r="E287" s="166" t="n">
        <v>0.6</v>
      </c>
      <c r="F287" s="167">
        <f>Accounts!K287*E287</f>
        <v/>
      </c>
      <c r="G287" s="166" t="n">
        <v>0.4</v>
      </c>
      <c r="H287" s="167">
        <f>F287*G287</f>
        <v/>
      </c>
      <c r="I287" s="168">
        <f>if(or(eq(Accounts!J287,"No Valet"),eq(Accounts!J287,"Has Valet")), H287 * AVERAGE(Accounts!J$2:J$36),H287*Accounts!J287)</f>
        <v/>
      </c>
      <c r="J287" s="168">
        <f>iferror(I287*360,"")</f>
        <v/>
      </c>
      <c r="K287" s="168">
        <f>J287*0.1</f>
        <v/>
      </c>
    </row>
    <row r="288" ht="54.75" customHeight="1" s="211">
      <c r="A288" s="164">
        <f>Accounts!A288</f>
        <v/>
      </c>
      <c r="B288" s="12" t="n"/>
      <c r="C288" s="65" t="n"/>
      <c r="D288" s="165">
        <f>Accounts!K288</f>
        <v/>
      </c>
      <c r="E288" s="166" t="n">
        <v>0.6</v>
      </c>
      <c r="F288" s="167">
        <f>Accounts!K288*E288</f>
        <v/>
      </c>
      <c r="G288" s="166" t="n">
        <v>0.4</v>
      </c>
      <c r="H288" s="167">
        <f>F288*G288</f>
        <v/>
      </c>
      <c r="I288" s="168">
        <f>if(or(eq(Accounts!J288,"No Valet"),eq(Accounts!J288,"Has Valet")), H288 * AVERAGE(Accounts!J$2:J$36),H288*Accounts!J288)</f>
        <v/>
      </c>
      <c r="J288" s="168">
        <f>iferror(I288*360,"")</f>
        <v/>
      </c>
      <c r="K288" s="168">
        <f>J288*0.1</f>
        <v/>
      </c>
    </row>
    <row r="289" ht="54.75" customHeight="1" s="211">
      <c r="A289" s="164">
        <f>Accounts!A289</f>
        <v/>
      </c>
      <c r="B289" s="12" t="n"/>
      <c r="C289" s="65" t="n"/>
      <c r="D289" s="165">
        <f>Accounts!K289</f>
        <v/>
      </c>
      <c r="E289" s="166" t="n">
        <v>0.6</v>
      </c>
      <c r="F289" s="167">
        <f>Accounts!K289*E289</f>
        <v/>
      </c>
      <c r="G289" s="166" t="n">
        <v>0.4</v>
      </c>
      <c r="H289" s="167">
        <f>F289*G289</f>
        <v/>
      </c>
      <c r="I289" s="168">
        <f>if(or(eq(Accounts!J289,"No Valet"),eq(Accounts!J289,"Has Valet")), H289 * AVERAGE(Accounts!J$2:J$36),H289*Accounts!J289)</f>
        <v/>
      </c>
      <c r="J289" s="168">
        <f>iferror(I289*360,"")</f>
        <v/>
      </c>
      <c r="K289" s="168">
        <f>J289*0.1</f>
        <v/>
      </c>
    </row>
    <row r="290" ht="54.75" customHeight="1" s="211">
      <c r="A290" s="164">
        <f>Accounts!A290</f>
        <v/>
      </c>
      <c r="B290" s="12" t="n"/>
      <c r="C290" s="65" t="n"/>
      <c r="D290" s="165">
        <f>Accounts!K290</f>
        <v/>
      </c>
      <c r="E290" s="166" t="n">
        <v>0.6</v>
      </c>
      <c r="F290" s="167">
        <f>Accounts!K290*E290</f>
        <v/>
      </c>
      <c r="G290" s="166" t="n">
        <v>0.4</v>
      </c>
      <c r="H290" s="167">
        <f>F290*G290</f>
        <v/>
      </c>
      <c r="I290" s="168">
        <f>if(or(eq(Accounts!J290,"No Valet"),eq(Accounts!J290,"Has Valet")), H290 * AVERAGE(Accounts!J$2:J$36),H290*Accounts!J290)</f>
        <v/>
      </c>
      <c r="J290" s="168">
        <f>iferror(I290*360,"")</f>
        <v/>
      </c>
      <c r="K290" s="168">
        <f>J290*0.1</f>
        <v/>
      </c>
    </row>
    <row r="291" ht="54.75" customHeight="1" s="211">
      <c r="A291" s="164">
        <f>Accounts!A291</f>
        <v/>
      </c>
      <c r="B291" s="12" t="n"/>
      <c r="C291" s="65" t="n"/>
      <c r="D291" s="165">
        <f>Accounts!K291</f>
        <v/>
      </c>
      <c r="E291" s="166" t="n">
        <v>0.6</v>
      </c>
      <c r="F291" s="167">
        <f>Accounts!K291*E291</f>
        <v/>
      </c>
      <c r="G291" s="166" t="n">
        <v>0.4</v>
      </c>
      <c r="H291" s="167">
        <f>F291*G291</f>
        <v/>
      </c>
      <c r="I291" s="168">
        <f>if(or(eq(Accounts!J291,"No Valet"),eq(Accounts!J291,"Has Valet")), H291 * AVERAGE(Accounts!J$2:J$36),H291*Accounts!J291)</f>
        <v/>
      </c>
      <c r="J291" s="168">
        <f>iferror(I291*360,"")</f>
        <v/>
      </c>
      <c r="K291" s="168">
        <f>J291*0.1</f>
        <v/>
      </c>
    </row>
    <row r="292" ht="54.75" customHeight="1" s="211">
      <c r="A292" s="164">
        <f>Accounts!A292</f>
        <v/>
      </c>
      <c r="B292" s="12" t="n"/>
      <c r="C292" s="65" t="n"/>
      <c r="D292" s="165">
        <f>Accounts!K292</f>
        <v/>
      </c>
      <c r="E292" s="166" t="n">
        <v>0.6</v>
      </c>
      <c r="F292" s="167">
        <f>Accounts!K292*E292</f>
        <v/>
      </c>
      <c r="G292" s="166" t="n">
        <v>0.4</v>
      </c>
      <c r="H292" s="167">
        <f>F292*G292</f>
        <v/>
      </c>
      <c r="I292" s="168">
        <f>if(or(eq(Accounts!J292,"No Valet"),eq(Accounts!J292,"Has Valet")), H292 * AVERAGE(Accounts!J$2:J$36),H292*Accounts!J292)</f>
        <v/>
      </c>
      <c r="J292" s="168">
        <f>iferror(I292*360,"")</f>
        <v/>
      </c>
      <c r="K292" s="168">
        <f>J292*0.1</f>
        <v/>
      </c>
    </row>
    <row r="293" ht="54.75" customHeight="1" s="211">
      <c r="A293" s="164">
        <f>Accounts!A293</f>
        <v/>
      </c>
      <c r="B293" s="12" t="n"/>
      <c r="C293" s="65" t="n"/>
      <c r="D293" s="165">
        <f>Accounts!K293</f>
        <v/>
      </c>
      <c r="E293" s="166" t="n">
        <v>0.6</v>
      </c>
      <c r="F293" s="167">
        <f>Accounts!K293*E293</f>
        <v/>
      </c>
      <c r="G293" s="166" t="n">
        <v>0.4</v>
      </c>
      <c r="H293" s="167">
        <f>F293*G293</f>
        <v/>
      </c>
      <c r="I293" s="168">
        <f>if(or(eq(Accounts!J293,"No Valet"),eq(Accounts!J293,"Has Valet")), H293 * AVERAGE(Accounts!J$2:J$36),H293*Accounts!J293)</f>
        <v/>
      </c>
      <c r="J293" s="168">
        <f>iferror(I293*360,"")</f>
        <v/>
      </c>
      <c r="K293" s="168">
        <f>J293*0.1</f>
        <v/>
      </c>
    </row>
    <row r="294" ht="54.75" customHeight="1" s="211">
      <c r="A294" s="164">
        <f>Accounts!A294</f>
        <v/>
      </c>
      <c r="B294" s="12" t="n"/>
      <c r="C294" s="65" t="n"/>
      <c r="D294" s="165">
        <f>Accounts!K294</f>
        <v/>
      </c>
      <c r="E294" s="166" t="n">
        <v>0.6</v>
      </c>
      <c r="F294" s="167">
        <f>Accounts!K294*E294</f>
        <v/>
      </c>
      <c r="G294" s="166" t="n">
        <v>0.4</v>
      </c>
      <c r="H294" s="167">
        <f>F294*G294</f>
        <v/>
      </c>
      <c r="I294" s="168">
        <f>if(or(eq(Accounts!J294,"No Valet"),eq(Accounts!J294,"Has Valet")), H294 * AVERAGE(Accounts!J$2:J$36),H294*Accounts!J294)</f>
        <v/>
      </c>
      <c r="J294" s="168">
        <f>iferror(I294*360,"")</f>
        <v/>
      </c>
      <c r="K294" s="168">
        <f>J294*0.1</f>
        <v/>
      </c>
    </row>
    <row r="295" ht="54.75" customHeight="1" s="211">
      <c r="A295" s="164">
        <f>Accounts!A295</f>
        <v/>
      </c>
      <c r="B295" s="12" t="n"/>
      <c r="C295" s="65" t="n"/>
      <c r="D295" s="165">
        <f>Accounts!K295</f>
        <v/>
      </c>
      <c r="E295" s="166" t="n">
        <v>0.6</v>
      </c>
      <c r="F295" s="167">
        <f>Accounts!K295*E295</f>
        <v/>
      </c>
      <c r="G295" s="166" t="n">
        <v>0.4</v>
      </c>
      <c r="H295" s="167">
        <f>F295*G295</f>
        <v/>
      </c>
      <c r="I295" s="168">
        <f>if(or(eq(Accounts!J295,"No Valet"),eq(Accounts!J295,"Has Valet")), H295 * AVERAGE(Accounts!J$2:J$36),H295*Accounts!J295)</f>
        <v/>
      </c>
      <c r="J295" s="168">
        <f>iferror(I295*360,"")</f>
        <v/>
      </c>
      <c r="K295" s="168">
        <f>J295*0.1</f>
        <v/>
      </c>
    </row>
    <row r="296" ht="54.75" customHeight="1" s="211">
      <c r="A296" s="164">
        <f>Accounts!A296</f>
        <v/>
      </c>
      <c r="B296" s="12" t="n"/>
      <c r="C296" s="65" t="n"/>
      <c r="D296" s="165">
        <f>Accounts!K296</f>
        <v/>
      </c>
      <c r="E296" s="166" t="n">
        <v>0.6</v>
      </c>
      <c r="F296" s="167">
        <f>Accounts!K296*E296</f>
        <v/>
      </c>
      <c r="G296" s="166" t="n">
        <v>0.4</v>
      </c>
      <c r="H296" s="167">
        <f>F296*G296</f>
        <v/>
      </c>
      <c r="I296" s="168">
        <f>if(or(eq(Accounts!J296,"No Valet"),eq(Accounts!J296,"Has Valet")), H296 * AVERAGE(Accounts!J$2:J$36),H296*Accounts!J296)</f>
        <v/>
      </c>
      <c r="J296" s="168">
        <f>iferror(I296*360,"")</f>
        <v/>
      </c>
      <c r="K296" s="168">
        <f>J296*0.1</f>
        <v/>
      </c>
    </row>
    <row r="297" ht="54.75" customHeight="1" s="211">
      <c r="A297" s="164">
        <f>Accounts!A297</f>
        <v/>
      </c>
      <c r="B297" s="12" t="n"/>
      <c r="C297" s="65" t="n"/>
      <c r="D297" s="165">
        <f>Accounts!K297</f>
        <v/>
      </c>
      <c r="E297" s="166" t="n">
        <v>0.6</v>
      </c>
      <c r="F297" s="167">
        <f>Accounts!K297*E297</f>
        <v/>
      </c>
      <c r="G297" s="166" t="n">
        <v>0.4</v>
      </c>
      <c r="H297" s="167">
        <f>F297*G297</f>
        <v/>
      </c>
      <c r="I297" s="168">
        <f>if(or(eq(Accounts!J297,"No Valet"),eq(Accounts!J297,"Has Valet")), H297 * AVERAGE(Accounts!J$2:J$36),H297*Accounts!J297)</f>
        <v/>
      </c>
      <c r="J297" s="168">
        <f>iferror(I297*360,"")</f>
        <v/>
      </c>
      <c r="K297" s="168">
        <f>J297*0.1</f>
        <v/>
      </c>
    </row>
    <row r="298" ht="54.75" customHeight="1" s="211">
      <c r="A298" s="164">
        <f>Accounts!A298</f>
        <v/>
      </c>
      <c r="B298" s="12" t="n"/>
      <c r="C298" s="65" t="n"/>
      <c r="D298" s="165">
        <f>Accounts!K298</f>
        <v/>
      </c>
      <c r="E298" s="166" t="n">
        <v>0.6</v>
      </c>
      <c r="F298" s="167">
        <f>Accounts!K298*E298</f>
        <v/>
      </c>
      <c r="G298" s="166" t="n">
        <v>0.4</v>
      </c>
      <c r="H298" s="167">
        <f>F298*G298</f>
        <v/>
      </c>
      <c r="I298" s="168">
        <f>if(or(eq(Accounts!J298,"No Valet"),eq(Accounts!J298,"Has Valet")), H298 * AVERAGE(Accounts!J$2:J$36),H298*Accounts!J298)</f>
        <v/>
      </c>
      <c r="J298" s="168">
        <f>iferror(I298*360,"")</f>
        <v/>
      </c>
      <c r="K298" s="168">
        <f>J298*0.1</f>
        <v/>
      </c>
    </row>
    <row r="299" ht="54.75" customHeight="1" s="211">
      <c r="A299" s="164">
        <f>Accounts!A299</f>
        <v/>
      </c>
      <c r="B299" s="12" t="n"/>
      <c r="C299" s="65" t="n"/>
      <c r="D299" s="165">
        <f>Accounts!K299</f>
        <v/>
      </c>
      <c r="E299" s="166" t="n">
        <v>0.6</v>
      </c>
      <c r="F299" s="167">
        <f>Accounts!K299*E299</f>
        <v/>
      </c>
      <c r="G299" s="166" t="n">
        <v>0.4</v>
      </c>
      <c r="H299" s="167">
        <f>F299*G299</f>
        <v/>
      </c>
      <c r="I299" s="168">
        <f>if(or(eq(Accounts!J299,"No Valet"),eq(Accounts!J299,"Has Valet")), H299 * AVERAGE(Accounts!J$2:J$36),H299*Accounts!J299)</f>
        <v/>
      </c>
      <c r="J299" s="168">
        <f>iferror(I299*360,"")</f>
        <v/>
      </c>
      <c r="K299" s="168">
        <f>J299*0.1</f>
        <v/>
      </c>
    </row>
    <row r="300" ht="54.75" customHeight="1" s="211">
      <c r="A300" s="164">
        <f>Accounts!A300</f>
        <v/>
      </c>
      <c r="B300" s="12" t="n"/>
      <c r="C300" s="65" t="n"/>
      <c r="D300" s="165">
        <f>Accounts!K300</f>
        <v/>
      </c>
      <c r="E300" s="166" t="n">
        <v>0.6</v>
      </c>
      <c r="F300" s="167">
        <f>Accounts!K300*E300</f>
        <v/>
      </c>
      <c r="G300" s="166" t="n">
        <v>0.4</v>
      </c>
      <c r="H300" s="167">
        <f>F300*G300</f>
        <v/>
      </c>
      <c r="I300" s="168">
        <f>if(or(eq(Accounts!J300,"No Valet"),eq(Accounts!J300,"Has Valet")), H300 * AVERAGE(Accounts!J$2:J$36),H300*Accounts!J300)</f>
        <v/>
      </c>
      <c r="J300" s="168">
        <f>iferror(I300*360,"")</f>
        <v/>
      </c>
      <c r="K300" s="168">
        <f>J300*0.1</f>
        <v/>
      </c>
    </row>
    <row r="301" ht="54.75" customHeight="1" s="211">
      <c r="A301" s="164">
        <f>Accounts!A301</f>
        <v/>
      </c>
      <c r="B301" s="12" t="n"/>
      <c r="C301" s="65" t="n"/>
      <c r="D301" s="165">
        <f>Accounts!K301</f>
        <v/>
      </c>
      <c r="E301" s="166" t="n">
        <v>0.6</v>
      </c>
      <c r="F301" s="167">
        <f>Accounts!K301*E301</f>
        <v/>
      </c>
      <c r="G301" s="166" t="n">
        <v>0.4</v>
      </c>
      <c r="H301" s="167">
        <f>F301*G301</f>
        <v/>
      </c>
      <c r="I301" s="168">
        <f>if(or(eq(Accounts!J301,"No Valet"),eq(Accounts!J301,"Has Valet")), H301 * AVERAGE(Accounts!J$2:J$36),H301*Accounts!J301)</f>
        <v/>
      </c>
      <c r="J301" s="168">
        <f>iferror(I301*360,"")</f>
        <v/>
      </c>
      <c r="K301" s="168">
        <f>J301*0.1</f>
        <v/>
      </c>
    </row>
    <row r="302" ht="54.75" customHeight="1" s="211">
      <c r="A302" s="164">
        <f>Accounts!A302</f>
        <v/>
      </c>
      <c r="B302" s="12" t="n"/>
      <c r="C302" s="65" t="n"/>
      <c r="D302" s="165">
        <f>Accounts!K302</f>
        <v/>
      </c>
      <c r="E302" s="166" t="n">
        <v>0.6</v>
      </c>
      <c r="F302" s="167">
        <f>Accounts!K302*E302</f>
        <v/>
      </c>
      <c r="G302" s="166" t="n">
        <v>0.4</v>
      </c>
      <c r="H302" s="167">
        <f>F302*G302</f>
        <v/>
      </c>
      <c r="I302" s="168">
        <f>if(or(eq(Accounts!J302,"No Valet"),eq(Accounts!J302,"Has Valet")), H302 * AVERAGE(Accounts!J$2:J$36),H302*Accounts!J302)</f>
        <v/>
      </c>
      <c r="J302" s="168">
        <f>iferror(I302*360,"")</f>
        <v/>
      </c>
      <c r="K302" s="168">
        <f>J302*0.1</f>
        <v/>
      </c>
    </row>
    <row r="303" ht="54.75" customHeight="1" s="211">
      <c r="A303" s="164">
        <f>Accounts!A303</f>
        <v/>
      </c>
      <c r="B303" s="12" t="n"/>
      <c r="C303" s="65" t="n"/>
      <c r="D303" s="165">
        <f>Accounts!K303</f>
        <v/>
      </c>
      <c r="E303" s="166" t="n">
        <v>0.6</v>
      </c>
      <c r="F303" s="167">
        <f>Accounts!K303*E303</f>
        <v/>
      </c>
      <c r="G303" s="166" t="n">
        <v>0.4</v>
      </c>
      <c r="H303" s="167">
        <f>F303*G303</f>
        <v/>
      </c>
      <c r="I303" s="168">
        <f>if(or(eq(Accounts!J303,"No Valet"),eq(Accounts!J303,"Has Valet")), H303 * AVERAGE(Accounts!J$2:J$36),H303*Accounts!J303)</f>
        <v/>
      </c>
      <c r="J303" s="168">
        <f>iferror(I303*360,"")</f>
        <v/>
      </c>
      <c r="K303" s="168">
        <f>J303*0.1</f>
        <v/>
      </c>
    </row>
    <row r="304" ht="54.75" customHeight="1" s="211">
      <c r="A304" s="164">
        <f>Accounts!A304</f>
        <v/>
      </c>
      <c r="B304" s="12" t="n"/>
      <c r="C304" s="65" t="n"/>
      <c r="D304" s="165">
        <f>Accounts!K304</f>
        <v/>
      </c>
      <c r="E304" s="166" t="n">
        <v>0.6</v>
      </c>
      <c r="F304" s="167">
        <f>Accounts!K304*E304</f>
        <v/>
      </c>
      <c r="G304" s="166" t="n">
        <v>0.4</v>
      </c>
      <c r="H304" s="167">
        <f>F304*G304</f>
        <v/>
      </c>
      <c r="I304" s="168">
        <f>if(or(eq(Accounts!J304,"No Valet"),eq(Accounts!J304,"Has Valet")), H304 * AVERAGE(Accounts!J$2:J$36),H304*Accounts!J304)</f>
        <v/>
      </c>
      <c r="J304" s="168">
        <f>iferror(I304*360,"")</f>
        <v/>
      </c>
      <c r="K304" s="168">
        <f>J304*0.1</f>
        <v/>
      </c>
    </row>
    <row r="305" ht="54.75" customHeight="1" s="211">
      <c r="A305" s="164">
        <f>Accounts!A305</f>
        <v/>
      </c>
      <c r="B305" s="12" t="n"/>
      <c r="C305" s="65" t="n"/>
      <c r="D305" s="165">
        <f>Accounts!K305</f>
        <v/>
      </c>
      <c r="E305" s="166" t="n">
        <v>0.6</v>
      </c>
      <c r="F305" s="167">
        <f>Accounts!K305*E305</f>
        <v/>
      </c>
      <c r="G305" s="166" t="n">
        <v>0.4</v>
      </c>
      <c r="H305" s="167">
        <f>F305*G305</f>
        <v/>
      </c>
      <c r="I305" s="168">
        <f>if(or(eq(Accounts!J305,"No Valet"),eq(Accounts!J305,"Has Valet")), H305 * AVERAGE(Accounts!J$2:J$36),H305*Accounts!J305)</f>
        <v/>
      </c>
      <c r="J305" s="168">
        <f>iferror(I305*360,"")</f>
        <v/>
      </c>
      <c r="K305" s="168">
        <f>J305*0.1</f>
        <v/>
      </c>
    </row>
    <row r="306" ht="54.75" customHeight="1" s="211">
      <c r="A306" s="164">
        <f>Accounts!A306</f>
        <v/>
      </c>
      <c r="B306" s="12" t="n"/>
      <c r="C306" s="65" t="n"/>
      <c r="D306" s="165">
        <f>Accounts!K306</f>
        <v/>
      </c>
      <c r="E306" s="166" t="n">
        <v>0.6</v>
      </c>
      <c r="F306" s="167">
        <f>Accounts!K306*E306</f>
        <v/>
      </c>
      <c r="G306" s="166" t="n">
        <v>0.4</v>
      </c>
      <c r="H306" s="167">
        <f>F306*G306</f>
        <v/>
      </c>
      <c r="I306" s="168">
        <f>if(or(eq(Accounts!J306,"No Valet"),eq(Accounts!J306,"Has Valet")), H306 * AVERAGE(Accounts!J$2:J$36),H306*Accounts!J306)</f>
        <v/>
      </c>
      <c r="J306" s="168">
        <f>iferror(I306*360,"")</f>
        <v/>
      </c>
      <c r="K306" s="168">
        <f>J306*0.1</f>
        <v/>
      </c>
    </row>
    <row r="307" ht="54.75" customHeight="1" s="211">
      <c r="A307" s="164">
        <f>Accounts!A307</f>
        <v/>
      </c>
      <c r="B307" s="12" t="n"/>
      <c r="C307" s="65" t="n"/>
      <c r="D307" s="165">
        <f>Accounts!K307</f>
        <v/>
      </c>
      <c r="E307" s="166" t="n">
        <v>0.6</v>
      </c>
      <c r="F307" s="167">
        <f>Accounts!K307*E307</f>
        <v/>
      </c>
      <c r="G307" s="166" t="n">
        <v>0.4</v>
      </c>
      <c r="H307" s="167">
        <f>F307*G307</f>
        <v/>
      </c>
      <c r="I307" s="168">
        <f>if(or(eq(Accounts!J307,"No Valet"),eq(Accounts!J307,"Has Valet")), H307 * AVERAGE(Accounts!J$2:J$36),H307*Accounts!J307)</f>
        <v/>
      </c>
      <c r="J307" s="168">
        <f>iferror(I307*360,"")</f>
        <v/>
      </c>
      <c r="K307" s="168">
        <f>J307*0.1</f>
        <v/>
      </c>
    </row>
    <row r="308" ht="54.75" customHeight="1" s="211">
      <c r="A308" s="164">
        <f>Accounts!A308</f>
        <v/>
      </c>
      <c r="B308" s="12" t="n"/>
      <c r="C308" s="65" t="n"/>
      <c r="D308" s="165">
        <f>Accounts!K308</f>
        <v/>
      </c>
      <c r="E308" s="166" t="n">
        <v>0.6</v>
      </c>
      <c r="F308" s="167">
        <f>Accounts!K308*E308</f>
        <v/>
      </c>
      <c r="G308" s="166" t="n">
        <v>0.4</v>
      </c>
      <c r="H308" s="167">
        <f>F308*G308</f>
        <v/>
      </c>
      <c r="I308" s="168">
        <f>if(or(eq(Accounts!J308,"No Valet"),eq(Accounts!J308,"Has Valet")), H308 * AVERAGE(Accounts!J$2:J$36),H308*Accounts!J308)</f>
        <v/>
      </c>
      <c r="J308" s="168">
        <f>iferror(I308*360,"")</f>
        <v/>
      </c>
      <c r="K308" s="168">
        <f>J308*0.1</f>
        <v/>
      </c>
    </row>
    <row r="309" ht="54.75" customHeight="1" s="211">
      <c r="A309" s="164">
        <f>Accounts!A309</f>
        <v/>
      </c>
      <c r="B309" s="12" t="n"/>
      <c r="C309" s="65" t="n"/>
      <c r="D309" s="165">
        <f>Accounts!K309</f>
        <v/>
      </c>
      <c r="E309" s="166" t="n">
        <v>0.6</v>
      </c>
      <c r="F309" s="167">
        <f>Accounts!K309*E309</f>
        <v/>
      </c>
      <c r="G309" s="166" t="n">
        <v>0.4</v>
      </c>
      <c r="H309" s="167">
        <f>F309*G309</f>
        <v/>
      </c>
      <c r="I309" s="168">
        <f>if(or(eq(Accounts!J309,"No Valet"),eq(Accounts!J309,"Has Valet")), H309 * AVERAGE(Accounts!J$2:J$36),H309*Accounts!J309)</f>
        <v/>
      </c>
      <c r="J309" s="168">
        <f>iferror(I309*360,"")</f>
        <v/>
      </c>
      <c r="K309" s="168">
        <f>J309*0.1</f>
        <v/>
      </c>
    </row>
    <row r="310" ht="54.75" customHeight="1" s="211">
      <c r="A310" s="164">
        <f>Accounts!A310</f>
        <v/>
      </c>
      <c r="B310" s="12" t="n"/>
      <c r="C310" s="65" t="n"/>
      <c r="D310" s="165">
        <f>Accounts!K310</f>
        <v/>
      </c>
      <c r="E310" s="166" t="n">
        <v>0.6</v>
      </c>
      <c r="F310" s="167">
        <f>Accounts!K310*E310</f>
        <v/>
      </c>
      <c r="G310" s="166" t="n">
        <v>0.4</v>
      </c>
      <c r="H310" s="167">
        <f>F310*G310</f>
        <v/>
      </c>
      <c r="I310" s="168">
        <f>if(or(eq(Accounts!J310,"No Valet"),eq(Accounts!J310,"Has Valet")), H310 * AVERAGE(Accounts!J$2:J$36),H310*Accounts!J310)</f>
        <v/>
      </c>
      <c r="J310" s="168">
        <f>iferror(I310*360,"")</f>
        <v/>
      </c>
      <c r="K310" s="168">
        <f>J310*0.1</f>
        <v/>
      </c>
    </row>
    <row r="311" ht="54.75" customHeight="1" s="211">
      <c r="A311" s="164">
        <f>Accounts!A311</f>
        <v/>
      </c>
      <c r="B311" s="12" t="n"/>
      <c r="C311" s="65" t="n"/>
      <c r="D311" s="165">
        <f>Accounts!K311</f>
        <v/>
      </c>
      <c r="E311" s="166" t="n">
        <v>0.6</v>
      </c>
      <c r="F311" s="167">
        <f>Accounts!K311*E311</f>
        <v/>
      </c>
      <c r="G311" s="166" t="n">
        <v>0.4</v>
      </c>
      <c r="H311" s="167">
        <f>F311*G311</f>
        <v/>
      </c>
      <c r="I311" s="168">
        <f>if(or(eq(Accounts!J311,"No Valet"),eq(Accounts!J311,"Has Valet")), H311 * AVERAGE(Accounts!J$2:J$36),H311*Accounts!J311)</f>
        <v/>
      </c>
      <c r="J311" s="168">
        <f>iferror(I311*360,"")</f>
        <v/>
      </c>
      <c r="K311" s="168">
        <f>J311*0.1</f>
        <v/>
      </c>
    </row>
    <row r="312" ht="54.75" customHeight="1" s="211">
      <c r="A312" s="164">
        <f>Accounts!A312</f>
        <v/>
      </c>
      <c r="B312" s="12" t="n"/>
      <c r="C312" s="65" t="n"/>
      <c r="D312" s="165">
        <f>Accounts!K312</f>
        <v/>
      </c>
      <c r="E312" s="166" t="n">
        <v>0.6</v>
      </c>
      <c r="F312" s="167">
        <f>Accounts!K312*E312</f>
        <v/>
      </c>
      <c r="G312" s="166" t="n">
        <v>0.4</v>
      </c>
      <c r="H312" s="167">
        <f>F312*G312</f>
        <v/>
      </c>
      <c r="I312" s="168">
        <f>if(or(eq(Accounts!J312,"No Valet"),eq(Accounts!J312,"Has Valet")), H312 * AVERAGE(Accounts!J$2:J$36),H312*Accounts!J312)</f>
        <v/>
      </c>
      <c r="J312" s="168">
        <f>iferror(I312*360,"")</f>
        <v/>
      </c>
      <c r="K312" s="168">
        <f>J312*0.1</f>
        <v/>
      </c>
    </row>
    <row r="313" ht="54.75" customHeight="1" s="211">
      <c r="A313" s="164">
        <f>Accounts!A313</f>
        <v/>
      </c>
      <c r="B313" s="12" t="n"/>
      <c r="C313" s="65" t="n"/>
      <c r="D313" s="165">
        <f>Accounts!K313</f>
        <v/>
      </c>
      <c r="E313" s="166" t="n">
        <v>0.6</v>
      </c>
      <c r="F313" s="167">
        <f>Accounts!K313*E313</f>
        <v/>
      </c>
      <c r="G313" s="166" t="n">
        <v>0.4</v>
      </c>
      <c r="H313" s="167">
        <f>F313*G313</f>
        <v/>
      </c>
      <c r="I313" s="168">
        <f>if(or(eq(Accounts!J313,"No Valet"),eq(Accounts!J313,"Has Valet")), H313 * AVERAGE(Accounts!J$2:J$36),H313*Accounts!J313)</f>
        <v/>
      </c>
      <c r="J313" s="168">
        <f>iferror(I313*360,"")</f>
        <v/>
      </c>
      <c r="K313" s="168">
        <f>J313*0.1</f>
        <v/>
      </c>
    </row>
    <row r="314" ht="54.75" customHeight="1" s="211">
      <c r="A314" s="164">
        <f>Accounts!A314</f>
        <v/>
      </c>
      <c r="B314" s="12" t="n"/>
      <c r="C314" s="65" t="n"/>
      <c r="D314" s="165">
        <f>Accounts!K314</f>
        <v/>
      </c>
      <c r="E314" s="166" t="n">
        <v>0.6</v>
      </c>
      <c r="F314" s="167">
        <f>Accounts!K314*E314</f>
        <v/>
      </c>
      <c r="G314" s="166" t="n">
        <v>0.4</v>
      </c>
      <c r="H314" s="167">
        <f>F314*G314</f>
        <v/>
      </c>
      <c r="I314" s="168">
        <f>if(or(eq(Accounts!J314,"No Valet"),eq(Accounts!J314,"Has Valet")), H314 * AVERAGE(Accounts!J$2:J$36),H314*Accounts!J314)</f>
        <v/>
      </c>
      <c r="J314" s="168">
        <f>iferror(I314*360,"")</f>
        <v/>
      </c>
      <c r="K314" s="168">
        <f>J314*0.1</f>
        <v/>
      </c>
    </row>
    <row r="315" ht="54.75" customHeight="1" s="211">
      <c r="A315" s="164">
        <f>Accounts!A315</f>
        <v/>
      </c>
      <c r="B315" s="12" t="n"/>
      <c r="C315" s="65" t="n"/>
      <c r="D315" s="165">
        <f>Accounts!K315</f>
        <v/>
      </c>
      <c r="E315" s="166" t="n">
        <v>0.6</v>
      </c>
      <c r="F315" s="167">
        <f>Accounts!K315*E315</f>
        <v/>
      </c>
      <c r="G315" s="166" t="n">
        <v>0.4</v>
      </c>
      <c r="H315" s="167">
        <f>F315*G315</f>
        <v/>
      </c>
      <c r="I315" s="168">
        <f>if(or(eq(Accounts!J315,"No Valet"),eq(Accounts!J315,"Has Valet")), H315 * AVERAGE(Accounts!J$2:J$36),H315*Accounts!J315)</f>
        <v/>
      </c>
      <c r="J315" s="168">
        <f>iferror(I315*360,"")</f>
        <v/>
      </c>
      <c r="K315" s="168">
        <f>J315*0.1</f>
        <v/>
      </c>
    </row>
    <row r="316" ht="54.75" customHeight="1" s="211">
      <c r="A316" s="164">
        <f>Accounts!A316</f>
        <v/>
      </c>
      <c r="B316" s="12" t="n"/>
      <c r="C316" s="65" t="n"/>
      <c r="D316" s="165">
        <f>Accounts!K316</f>
        <v/>
      </c>
      <c r="E316" s="166" t="n">
        <v>0.6</v>
      </c>
      <c r="F316" s="167">
        <f>Accounts!K316*E316</f>
        <v/>
      </c>
      <c r="G316" s="166" t="n">
        <v>0.4</v>
      </c>
      <c r="H316" s="167">
        <f>F316*G316</f>
        <v/>
      </c>
      <c r="I316" s="168">
        <f>if(or(eq(Accounts!J316,"No Valet"),eq(Accounts!J316,"Has Valet")), H316 * AVERAGE(Accounts!J$2:J$36),H316*Accounts!J316)</f>
        <v/>
      </c>
      <c r="J316" s="168">
        <f>iferror(I316*360,"")</f>
        <v/>
      </c>
      <c r="K316" s="168">
        <f>J316*0.1</f>
        <v/>
      </c>
    </row>
    <row r="317" ht="54.75" customHeight="1" s="211">
      <c r="A317" s="164">
        <f>Accounts!A317</f>
        <v/>
      </c>
      <c r="B317" s="12" t="n"/>
      <c r="C317" s="65" t="n"/>
      <c r="D317" s="165">
        <f>Accounts!K317</f>
        <v/>
      </c>
      <c r="E317" s="166" t="n">
        <v>0.6</v>
      </c>
      <c r="F317" s="167">
        <f>Accounts!K317*E317</f>
        <v/>
      </c>
      <c r="G317" s="166" t="n">
        <v>0.4</v>
      </c>
      <c r="H317" s="167">
        <f>F317*G317</f>
        <v/>
      </c>
      <c r="I317" s="168">
        <f>if(or(eq(Accounts!J317,"No Valet"),eq(Accounts!J317,"Has Valet")), H317 * AVERAGE(Accounts!J$2:J$36),H317*Accounts!J317)</f>
        <v/>
      </c>
      <c r="J317" s="168">
        <f>iferror(I317*360,"")</f>
        <v/>
      </c>
      <c r="K317" s="168">
        <f>J317*0.1</f>
        <v/>
      </c>
    </row>
    <row r="318" ht="54.75" customHeight="1" s="211">
      <c r="A318" s="164">
        <f>Accounts!A318</f>
        <v/>
      </c>
      <c r="B318" s="12" t="n"/>
      <c r="C318" s="65" t="n"/>
      <c r="D318" s="165">
        <f>Accounts!K318</f>
        <v/>
      </c>
      <c r="E318" s="166" t="n">
        <v>0.6</v>
      </c>
      <c r="F318" s="167">
        <f>Accounts!K318*E318</f>
        <v/>
      </c>
      <c r="G318" s="166" t="n">
        <v>0.4</v>
      </c>
      <c r="H318" s="167">
        <f>F318*G318</f>
        <v/>
      </c>
      <c r="I318" s="168">
        <f>if(or(eq(Accounts!J318,"No Valet"),eq(Accounts!J318,"Has Valet")), H318 * AVERAGE(Accounts!J$2:J$36),H318*Accounts!J318)</f>
        <v/>
      </c>
      <c r="J318" s="168">
        <f>iferror(I318*360,"")</f>
        <v/>
      </c>
      <c r="K318" s="168">
        <f>J318*0.1</f>
        <v/>
      </c>
    </row>
    <row r="319" ht="54.75" customHeight="1" s="211">
      <c r="A319" s="164">
        <f>Accounts!A319</f>
        <v/>
      </c>
      <c r="B319" s="12" t="n"/>
      <c r="C319" s="65" t="n"/>
      <c r="D319" s="165">
        <f>Accounts!K319</f>
        <v/>
      </c>
      <c r="E319" s="166" t="n">
        <v>0.6</v>
      </c>
      <c r="F319" s="167">
        <f>Accounts!K319*E319</f>
        <v/>
      </c>
      <c r="G319" s="166" t="n">
        <v>0.4</v>
      </c>
      <c r="H319" s="167">
        <f>F319*G319</f>
        <v/>
      </c>
      <c r="I319" s="168">
        <f>if(or(eq(Accounts!J319,"No Valet"),eq(Accounts!J319,"Has Valet")), H319 * AVERAGE(Accounts!J$2:J$36),H319*Accounts!J319)</f>
        <v/>
      </c>
      <c r="J319" s="168">
        <f>iferror(I319*360,"")</f>
        <v/>
      </c>
      <c r="K319" s="168">
        <f>J319*0.1</f>
        <v/>
      </c>
    </row>
    <row r="320" ht="54.75" customHeight="1" s="211">
      <c r="A320" s="164">
        <f>Accounts!A320</f>
        <v/>
      </c>
      <c r="B320" s="12" t="n"/>
      <c r="C320" s="65" t="n"/>
      <c r="D320" s="165">
        <f>Accounts!K320</f>
        <v/>
      </c>
      <c r="E320" s="166" t="n">
        <v>0.6</v>
      </c>
      <c r="F320" s="167">
        <f>Accounts!K320*E320</f>
        <v/>
      </c>
      <c r="G320" s="166" t="n">
        <v>0.4</v>
      </c>
      <c r="H320" s="167">
        <f>F320*G320</f>
        <v/>
      </c>
      <c r="I320" s="168">
        <f>if(or(eq(Accounts!J320,"No Valet"),eq(Accounts!J320,"Has Valet")), H320 * AVERAGE(Accounts!J$2:J$36),H320*Accounts!J320)</f>
        <v/>
      </c>
      <c r="J320" s="168">
        <f>iferror(I320*360,"")</f>
        <v/>
      </c>
      <c r="K320" s="168">
        <f>J320*0.1</f>
        <v/>
      </c>
    </row>
    <row r="321" ht="54.75" customHeight="1" s="211">
      <c r="A321" s="164">
        <f>Accounts!A321</f>
        <v/>
      </c>
      <c r="B321" s="12" t="n"/>
      <c r="C321" s="65" t="n"/>
      <c r="D321" s="165">
        <f>Accounts!K321</f>
        <v/>
      </c>
      <c r="E321" s="166" t="n">
        <v>0.6</v>
      </c>
      <c r="F321" s="167">
        <f>Accounts!K321*E321</f>
        <v/>
      </c>
      <c r="G321" s="166" t="n">
        <v>0.4</v>
      </c>
      <c r="H321" s="167">
        <f>F321*G321</f>
        <v/>
      </c>
      <c r="I321" s="168">
        <f>if(or(eq(Accounts!J321,"No Valet"),eq(Accounts!J321,"Has Valet")), H321 * AVERAGE(Accounts!J$2:J$36),H321*Accounts!J321)</f>
        <v/>
      </c>
      <c r="J321" s="168">
        <f>iferror(I321*360,"")</f>
        <v/>
      </c>
      <c r="K321" s="168">
        <f>J321*0.1</f>
        <v/>
      </c>
    </row>
    <row r="322" ht="54.75" customHeight="1" s="211">
      <c r="A322" s="164">
        <f>Accounts!A322</f>
        <v/>
      </c>
      <c r="B322" s="12" t="n"/>
      <c r="C322" s="65" t="n"/>
      <c r="D322" s="165">
        <f>Accounts!K322</f>
        <v/>
      </c>
      <c r="E322" s="166" t="n">
        <v>0.6</v>
      </c>
      <c r="F322" s="167">
        <f>Accounts!K322*E322</f>
        <v/>
      </c>
      <c r="G322" s="166" t="n">
        <v>0.4</v>
      </c>
      <c r="H322" s="167">
        <f>F322*G322</f>
        <v/>
      </c>
      <c r="I322" s="168">
        <f>if(or(eq(Accounts!J322,"No Valet"),eq(Accounts!J322,"Has Valet")), H322 * AVERAGE(Accounts!J$2:J$36),H322*Accounts!J322)</f>
        <v/>
      </c>
      <c r="J322" s="168">
        <f>iferror(I322*360,"")</f>
        <v/>
      </c>
      <c r="K322" s="168">
        <f>J322*0.1</f>
        <v/>
      </c>
    </row>
    <row r="323" ht="54.75" customHeight="1" s="211">
      <c r="A323" s="164">
        <f>Accounts!A323</f>
        <v/>
      </c>
      <c r="B323" s="12" t="n"/>
      <c r="C323" s="65" t="n"/>
      <c r="D323" s="165">
        <f>Accounts!K323</f>
        <v/>
      </c>
      <c r="E323" s="166" t="n">
        <v>0.6</v>
      </c>
      <c r="F323" s="167">
        <f>Accounts!K323*E323</f>
        <v/>
      </c>
      <c r="G323" s="166" t="n">
        <v>0.4</v>
      </c>
      <c r="H323" s="167">
        <f>F323*G323</f>
        <v/>
      </c>
      <c r="I323" s="168">
        <f>if(or(eq(Accounts!J323,"No Valet"),eq(Accounts!J323,"Has Valet")), H323 * AVERAGE(Accounts!J$2:J$36),H323*Accounts!J323)</f>
        <v/>
      </c>
      <c r="J323" s="168">
        <f>iferror(I323*360,"")</f>
        <v/>
      </c>
      <c r="K323" s="168">
        <f>J323*0.1</f>
        <v/>
      </c>
    </row>
    <row r="324" ht="54.75" customHeight="1" s="211">
      <c r="A324" s="164">
        <f>Accounts!A324</f>
        <v/>
      </c>
      <c r="B324" s="12" t="n"/>
      <c r="C324" s="65" t="n"/>
      <c r="D324" s="165">
        <f>Accounts!K324</f>
        <v/>
      </c>
      <c r="E324" s="166" t="n">
        <v>0.6</v>
      </c>
      <c r="F324" s="167">
        <f>Accounts!K324*E324</f>
        <v/>
      </c>
      <c r="G324" s="166" t="n">
        <v>0.4</v>
      </c>
      <c r="H324" s="167">
        <f>F324*G324</f>
        <v/>
      </c>
      <c r="I324" s="168">
        <f>if(or(eq(Accounts!J324,"No Valet"),eq(Accounts!J324,"Has Valet")), H324 * AVERAGE(Accounts!J$2:J$36),H324*Accounts!J324)</f>
        <v/>
      </c>
      <c r="J324" s="168">
        <f>iferror(I324*360,"")</f>
        <v/>
      </c>
      <c r="K324" s="168">
        <f>J324*0.1</f>
        <v/>
      </c>
    </row>
    <row r="325" ht="54.75" customHeight="1" s="211">
      <c r="A325" s="164">
        <f>Accounts!A325</f>
        <v/>
      </c>
      <c r="B325" s="12" t="n"/>
      <c r="C325" s="65" t="n"/>
      <c r="D325" s="165">
        <f>Accounts!K325</f>
        <v/>
      </c>
      <c r="E325" s="166" t="n">
        <v>0.6</v>
      </c>
      <c r="F325" s="167">
        <f>Accounts!K325*E325</f>
        <v/>
      </c>
      <c r="G325" s="166" t="n">
        <v>0.4</v>
      </c>
      <c r="H325" s="167">
        <f>F325*G325</f>
        <v/>
      </c>
      <c r="I325" s="168">
        <f>if(or(eq(Accounts!J325,"No Valet"),eq(Accounts!J325,"Has Valet")), H325 * AVERAGE(Accounts!J$2:J$36),H325*Accounts!J325)</f>
        <v/>
      </c>
      <c r="J325" s="168">
        <f>iferror(I325*360,"")</f>
        <v/>
      </c>
      <c r="K325" s="168">
        <f>J325*0.1</f>
        <v/>
      </c>
    </row>
    <row r="326" ht="54.75" customHeight="1" s="211">
      <c r="A326" s="164">
        <f>Accounts!A326</f>
        <v/>
      </c>
      <c r="B326" s="12" t="n"/>
      <c r="C326" s="65" t="n"/>
      <c r="D326" s="165">
        <f>Accounts!K326</f>
        <v/>
      </c>
      <c r="E326" s="166" t="n">
        <v>0.6</v>
      </c>
      <c r="F326" s="167">
        <f>Accounts!K326*E326</f>
        <v/>
      </c>
      <c r="G326" s="166" t="n">
        <v>0.4</v>
      </c>
      <c r="H326" s="167">
        <f>F326*G326</f>
        <v/>
      </c>
      <c r="I326" s="168">
        <f>if(or(eq(Accounts!J326,"No Valet"),eq(Accounts!J326,"Has Valet")), H326 * AVERAGE(Accounts!J$2:J$36),H326*Accounts!J326)</f>
        <v/>
      </c>
      <c r="J326" s="168">
        <f>iferror(I326*360,"")</f>
        <v/>
      </c>
      <c r="K326" s="168">
        <f>J326*0.1</f>
        <v/>
      </c>
    </row>
    <row r="327" ht="54.75" customHeight="1" s="211">
      <c r="A327" s="164">
        <f>Accounts!A327</f>
        <v/>
      </c>
      <c r="B327" s="12" t="n"/>
      <c r="C327" s="65" t="n"/>
      <c r="D327" s="165">
        <f>Accounts!K327</f>
        <v/>
      </c>
      <c r="E327" s="166" t="n">
        <v>0.6</v>
      </c>
      <c r="F327" s="167">
        <f>Accounts!K327*E327</f>
        <v/>
      </c>
      <c r="G327" s="166" t="n">
        <v>0.4</v>
      </c>
      <c r="H327" s="167">
        <f>F327*G327</f>
        <v/>
      </c>
      <c r="I327" s="168">
        <f>if(or(eq(Accounts!J327,"No Valet"),eq(Accounts!J327,"Has Valet")), H327 * AVERAGE(Accounts!J$2:J$36),H327*Accounts!J327)</f>
        <v/>
      </c>
      <c r="J327" s="168">
        <f>iferror(I327*360,"")</f>
        <v/>
      </c>
      <c r="K327" s="168">
        <f>J327*0.1</f>
        <v/>
      </c>
    </row>
    <row r="328" ht="54.75" customHeight="1" s="211">
      <c r="A328" s="164">
        <f>Accounts!A328</f>
        <v/>
      </c>
      <c r="B328" s="12" t="n"/>
      <c r="C328" s="65" t="n"/>
      <c r="D328" s="165">
        <f>Accounts!K328</f>
        <v/>
      </c>
      <c r="E328" s="166" t="n">
        <v>0.6</v>
      </c>
      <c r="F328" s="167">
        <f>Accounts!K328*E328</f>
        <v/>
      </c>
      <c r="G328" s="166" t="n">
        <v>0.4</v>
      </c>
      <c r="H328" s="167">
        <f>F328*G328</f>
        <v/>
      </c>
      <c r="I328" s="168">
        <f>if(or(eq(Accounts!J328,"No Valet"),eq(Accounts!J328,"Has Valet")), H328 * AVERAGE(Accounts!J$2:J$36),H328*Accounts!J328)</f>
        <v/>
      </c>
      <c r="J328" s="168">
        <f>iferror(I328*360,"")</f>
        <v/>
      </c>
      <c r="K328" s="168">
        <f>J328*0.1</f>
        <v/>
      </c>
    </row>
    <row r="329" ht="54.75" customHeight="1" s="211">
      <c r="A329" s="164">
        <f>Accounts!A329</f>
        <v/>
      </c>
      <c r="B329" s="12" t="n"/>
      <c r="C329" s="65" t="n"/>
      <c r="D329" s="165">
        <f>Accounts!K329</f>
        <v/>
      </c>
      <c r="E329" s="166" t="n">
        <v>0.6</v>
      </c>
      <c r="F329" s="167">
        <f>Accounts!K329*E329</f>
        <v/>
      </c>
      <c r="G329" s="166" t="n">
        <v>0.4</v>
      </c>
      <c r="H329" s="167">
        <f>F329*G329</f>
        <v/>
      </c>
      <c r="I329" s="168">
        <f>if(or(eq(Accounts!J329,"No Valet"),eq(Accounts!J329,"Has Valet")), H329 * AVERAGE(Accounts!J$2:J$36),H329*Accounts!J329)</f>
        <v/>
      </c>
      <c r="J329" s="168">
        <f>iferror(I329*360,"")</f>
        <v/>
      </c>
      <c r="K329" s="168">
        <f>J329*0.1</f>
        <v/>
      </c>
    </row>
    <row r="330" ht="54.75" customHeight="1" s="211">
      <c r="A330" s="164">
        <f>Accounts!A330</f>
        <v/>
      </c>
      <c r="B330" s="12" t="n"/>
      <c r="C330" s="65" t="n"/>
      <c r="D330" s="165">
        <f>Accounts!K330</f>
        <v/>
      </c>
      <c r="E330" s="166" t="n">
        <v>0.6</v>
      </c>
      <c r="F330" s="167">
        <f>Accounts!K330*E330</f>
        <v/>
      </c>
      <c r="G330" s="166" t="n">
        <v>0.4</v>
      </c>
      <c r="H330" s="167">
        <f>F330*G330</f>
        <v/>
      </c>
      <c r="I330" s="168">
        <f>if(or(eq(Accounts!J330,"No Valet"),eq(Accounts!J330,"Has Valet")), H330 * AVERAGE(Accounts!J$2:J$36),H330*Accounts!J330)</f>
        <v/>
      </c>
      <c r="J330" s="168">
        <f>iferror(I330*360,"")</f>
        <v/>
      </c>
      <c r="K330" s="168">
        <f>J330*0.1</f>
        <v/>
      </c>
    </row>
    <row r="331" ht="54.75" customHeight="1" s="211">
      <c r="A331" s="164">
        <f>Accounts!A331</f>
        <v/>
      </c>
      <c r="B331" s="12" t="n"/>
      <c r="C331" s="65" t="n"/>
      <c r="D331" s="165">
        <f>Accounts!K331</f>
        <v/>
      </c>
      <c r="E331" s="166" t="n">
        <v>0.6</v>
      </c>
      <c r="F331" s="167">
        <f>Accounts!K331*E331</f>
        <v/>
      </c>
      <c r="G331" s="166" t="n">
        <v>0.4</v>
      </c>
      <c r="H331" s="167">
        <f>F331*G331</f>
        <v/>
      </c>
      <c r="I331" s="168">
        <f>if(or(eq(Accounts!J331,"No Valet"),eq(Accounts!J331,"Has Valet")), H331 * AVERAGE(Accounts!J$2:J$36),H331*Accounts!J331)</f>
        <v/>
      </c>
      <c r="J331" s="168">
        <f>iferror(I331*360,"")</f>
        <v/>
      </c>
      <c r="K331" s="168">
        <f>J331*0.1</f>
        <v/>
      </c>
    </row>
    <row r="332" ht="54.75" customHeight="1" s="211">
      <c r="A332" s="164">
        <f>Accounts!A332</f>
        <v/>
      </c>
      <c r="B332" s="12" t="n"/>
      <c r="C332" s="65" t="n"/>
      <c r="D332" s="165">
        <f>Accounts!K332</f>
        <v/>
      </c>
      <c r="E332" s="166" t="n">
        <v>0.6</v>
      </c>
      <c r="F332" s="167">
        <f>Accounts!K332*E332</f>
        <v/>
      </c>
      <c r="G332" s="166" t="n">
        <v>0.4</v>
      </c>
      <c r="H332" s="167">
        <f>F332*G332</f>
        <v/>
      </c>
      <c r="I332" s="168">
        <f>if(or(eq(Accounts!J332,"No Valet"),eq(Accounts!J332,"Has Valet")), H332 * AVERAGE(Accounts!J$2:J$36),H332*Accounts!J332)</f>
        <v/>
      </c>
      <c r="J332" s="168">
        <f>iferror(I332*360,"")</f>
        <v/>
      </c>
      <c r="K332" s="168">
        <f>J332*0.1</f>
        <v/>
      </c>
    </row>
    <row r="333" ht="54.75" customHeight="1" s="211">
      <c r="A333" s="164">
        <f>Accounts!A333</f>
        <v/>
      </c>
      <c r="B333" s="12" t="n"/>
      <c r="C333" s="65" t="n"/>
      <c r="D333" s="165">
        <f>Accounts!K333</f>
        <v/>
      </c>
      <c r="E333" s="166" t="n">
        <v>0.6</v>
      </c>
      <c r="F333" s="167">
        <f>Accounts!K333*E333</f>
        <v/>
      </c>
      <c r="G333" s="166" t="n">
        <v>0.4</v>
      </c>
      <c r="H333" s="167">
        <f>F333*G333</f>
        <v/>
      </c>
      <c r="I333" s="168">
        <f>if(or(eq(Accounts!J333,"No Valet"),eq(Accounts!J333,"Has Valet")), H333 * AVERAGE(Accounts!J$2:J$36),H333*Accounts!J333)</f>
        <v/>
      </c>
      <c r="J333" s="168">
        <f>iferror(I333*360,"")</f>
        <v/>
      </c>
      <c r="K333" s="168">
        <f>J333*0.1</f>
        <v/>
      </c>
    </row>
    <row r="334" ht="54.75" customHeight="1" s="211">
      <c r="A334" s="164">
        <f>Accounts!A334</f>
        <v/>
      </c>
      <c r="B334" s="12" t="n"/>
      <c r="C334" s="65" t="n"/>
      <c r="D334" s="165">
        <f>Accounts!K334</f>
        <v/>
      </c>
      <c r="E334" s="166" t="n">
        <v>0.6</v>
      </c>
      <c r="F334" s="167">
        <f>Accounts!K334*E334</f>
        <v/>
      </c>
      <c r="G334" s="166" t="n">
        <v>0.4</v>
      </c>
      <c r="H334" s="167">
        <f>F334*G334</f>
        <v/>
      </c>
      <c r="I334" s="168">
        <f>if(or(eq(Accounts!J334,"No Valet"),eq(Accounts!J334,"Has Valet")), H334 * AVERAGE(Accounts!J$2:J$36),H334*Accounts!J334)</f>
        <v/>
      </c>
      <c r="J334" s="168">
        <f>iferror(I334*360,"")</f>
        <v/>
      </c>
      <c r="K334" s="168">
        <f>J334*0.1</f>
        <v/>
      </c>
    </row>
    <row r="335" ht="54.75" customHeight="1" s="211">
      <c r="A335" s="164">
        <f>Accounts!A335</f>
        <v/>
      </c>
      <c r="B335" s="12" t="n"/>
      <c r="C335" s="65" t="n"/>
      <c r="D335" s="165">
        <f>Accounts!K335</f>
        <v/>
      </c>
      <c r="E335" s="166" t="n">
        <v>0.6</v>
      </c>
      <c r="F335" s="167">
        <f>Accounts!K335*E335</f>
        <v/>
      </c>
      <c r="G335" s="166" t="n">
        <v>0.4</v>
      </c>
      <c r="H335" s="167">
        <f>F335*G335</f>
        <v/>
      </c>
      <c r="I335" s="168">
        <f>if(or(eq(Accounts!J335,"No Valet"),eq(Accounts!J335,"Has Valet")), H335 * AVERAGE(Accounts!J$2:J$36),H335*Accounts!J335)</f>
        <v/>
      </c>
      <c r="J335" s="168">
        <f>iferror(I335*360,"")</f>
        <v/>
      </c>
      <c r="K335" s="168">
        <f>J335*0.1</f>
        <v/>
      </c>
    </row>
    <row r="336" ht="54.75" customHeight="1" s="211">
      <c r="A336" s="164">
        <f>Accounts!A336</f>
        <v/>
      </c>
      <c r="B336" s="12" t="n"/>
      <c r="C336" s="65" t="n"/>
      <c r="D336" s="165">
        <f>Accounts!K336</f>
        <v/>
      </c>
      <c r="E336" s="166" t="n">
        <v>0.6</v>
      </c>
      <c r="F336" s="167">
        <f>Accounts!K336*E336</f>
        <v/>
      </c>
      <c r="G336" s="166" t="n">
        <v>0.4</v>
      </c>
      <c r="H336" s="167">
        <f>F336*G336</f>
        <v/>
      </c>
      <c r="I336" s="168">
        <f>if(or(eq(Accounts!J336,"No Valet"),eq(Accounts!J336,"Has Valet")), H336 * AVERAGE(Accounts!J$2:J$36),H336*Accounts!J336)</f>
        <v/>
      </c>
      <c r="J336" s="168">
        <f>iferror(I336*360,"")</f>
        <v/>
      </c>
      <c r="K336" s="168">
        <f>J336*0.1</f>
        <v/>
      </c>
    </row>
    <row r="337" ht="54.75" customHeight="1" s="211">
      <c r="A337" s="164">
        <f>Accounts!A337</f>
        <v/>
      </c>
      <c r="B337" s="12" t="n"/>
      <c r="C337" s="65" t="n"/>
      <c r="D337" s="165">
        <f>Accounts!K337</f>
        <v/>
      </c>
      <c r="E337" s="166" t="n">
        <v>0.6</v>
      </c>
      <c r="F337" s="167">
        <f>Accounts!K337*E337</f>
        <v/>
      </c>
      <c r="G337" s="166" t="n">
        <v>0.4</v>
      </c>
      <c r="H337" s="167">
        <f>F337*G337</f>
        <v/>
      </c>
      <c r="I337" s="168">
        <f>if(or(eq(Accounts!J337,"No Valet"),eq(Accounts!J337,"Has Valet")), H337 * AVERAGE(Accounts!J$2:J$36),H337*Accounts!J337)</f>
        <v/>
      </c>
      <c r="J337" s="168">
        <f>iferror(I337*360,"")</f>
        <v/>
      </c>
      <c r="K337" s="168">
        <f>J337*0.1</f>
        <v/>
      </c>
    </row>
    <row r="338" ht="54.75" customHeight="1" s="211">
      <c r="A338" s="164">
        <f>Accounts!A338</f>
        <v/>
      </c>
      <c r="B338" s="12" t="n"/>
      <c r="C338" s="65" t="n"/>
      <c r="D338" s="165">
        <f>Accounts!K338</f>
        <v/>
      </c>
      <c r="E338" s="166" t="n">
        <v>0.6</v>
      </c>
      <c r="F338" s="167">
        <f>Accounts!K338*E338</f>
        <v/>
      </c>
      <c r="G338" s="166" t="n">
        <v>0.4</v>
      </c>
      <c r="H338" s="167">
        <f>F338*G338</f>
        <v/>
      </c>
      <c r="I338" s="168">
        <f>if(or(eq(Accounts!J338,"No Valet"),eq(Accounts!J338,"Has Valet")), H338 * AVERAGE(Accounts!J$2:J$36),H338*Accounts!J338)</f>
        <v/>
      </c>
      <c r="J338" s="168">
        <f>iferror(I338*360,"")</f>
        <v/>
      </c>
      <c r="K338" s="168">
        <f>J338*0.1</f>
        <v/>
      </c>
    </row>
    <row r="339" ht="54.75" customHeight="1" s="211">
      <c r="A339" s="164">
        <f>Accounts!A339</f>
        <v/>
      </c>
      <c r="B339" s="12" t="n"/>
      <c r="C339" s="65" t="n"/>
      <c r="D339" s="165">
        <f>Accounts!K339</f>
        <v/>
      </c>
      <c r="E339" s="166" t="n">
        <v>0.6</v>
      </c>
      <c r="F339" s="167">
        <f>Accounts!K339*E339</f>
        <v/>
      </c>
      <c r="G339" s="166" t="n">
        <v>0.4</v>
      </c>
      <c r="H339" s="167">
        <f>F339*G339</f>
        <v/>
      </c>
      <c r="I339" s="168">
        <f>if(or(eq(Accounts!J339,"No Valet"),eq(Accounts!J339,"Has Valet")), H339 * AVERAGE(Accounts!J$2:J$36),H339*Accounts!J339)</f>
        <v/>
      </c>
      <c r="J339" s="168">
        <f>iferror(I339*360,"")</f>
        <v/>
      </c>
      <c r="K339" s="168">
        <f>J339*0.1</f>
        <v/>
      </c>
    </row>
    <row r="340" ht="54.75" customHeight="1" s="211">
      <c r="A340" s="164">
        <f>Accounts!A340</f>
        <v/>
      </c>
      <c r="B340" s="12" t="n"/>
      <c r="C340" s="65" t="n"/>
      <c r="D340" s="165">
        <f>Accounts!K340</f>
        <v/>
      </c>
      <c r="E340" s="166" t="n">
        <v>0.6</v>
      </c>
      <c r="F340" s="167">
        <f>Accounts!K340*E340</f>
        <v/>
      </c>
      <c r="G340" s="166" t="n">
        <v>0.4</v>
      </c>
      <c r="H340" s="167">
        <f>F340*G340</f>
        <v/>
      </c>
      <c r="I340" s="168">
        <f>if(or(eq(Accounts!J340,"No Valet"),eq(Accounts!J340,"Has Valet")), H340 * AVERAGE(Accounts!J$2:J$36),H340*Accounts!J340)</f>
        <v/>
      </c>
      <c r="J340" s="168">
        <f>iferror(I340*360,"")</f>
        <v/>
      </c>
      <c r="K340" s="168">
        <f>J340*0.1</f>
        <v/>
      </c>
    </row>
    <row r="341" ht="54.75" customHeight="1" s="211">
      <c r="A341" s="164">
        <f>Accounts!A341</f>
        <v/>
      </c>
      <c r="B341" s="12" t="n"/>
      <c r="C341" s="65" t="n"/>
      <c r="D341" s="165">
        <f>Accounts!K341</f>
        <v/>
      </c>
      <c r="E341" s="166" t="n">
        <v>0.6</v>
      </c>
      <c r="F341" s="167">
        <f>Accounts!K341*E341</f>
        <v/>
      </c>
      <c r="G341" s="166" t="n">
        <v>0.4</v>
      </c>
      <c r="H341" s="167">
        <f>F341*G341</f>
        <v/>
      </c>
      <c r="I341" s="168">
        <f>if(or(eq(Accounts!J341,"No Valet"),eq(Accounts!J341,"Has Valet")), H341 * AVERAGE(Accounts!J$2:J$36),H341*Accounts!J341)</f>
        <v/>
      </c>
      <c r="J341" s="168">
        <f>iferror(I341*360,"")</f>
        <v/>
      </c>
      <c r="K341" s="168">
        <f>J341*0.1</f>
        <v/>
      </c>
    </row>
    <row r="342" ht="54.75" customHeight="1" s="211">
      <c r="A342" s="164">
        <f>Accounts!A342</f>
        <v/>
      </c>
      <c r="B342" s="12" t="n"/>
      <c r="C342" s="65" t="n"/>
      <c r="D342" s="165">
        <f>Accounts!K342</f>
        <v/>
      </c>
      <c r="E342" s="166" t="n">
        <v>0.6</v>
      </c>
      <c r="F342" s="167">
        <f>Accounts!K342*E342</f>
        <v/>
      </c>
      <c r="G342" s="166" t="n">
        <v>0.4</v>
      </c>
      <c r="H342" s="167">
        <f>F342*G342</f>
        <v/>
      </c>
      <c r="I342" s="168">
        <f>if(or(eq(Accounts!J342,"No Valet"),eq(Accounts!J342,"Has Valet")), H342 * AVERAGE(Accounts!J$2:J$36),H342*Accounts!J342)</f>
        <v/>
      </c>
      <c r="J342" s="168">
        <f>iferror(I342*360,"")</f>
        <v/>
      </c>
      <c r="K342" s="168">
        <f>J342*0.1</f>
        <v/>
      </c>
    </row>
    <row r="343" ht="54.75" customHeight="1" s="211">
      <c r="A343" s="164">
        <f>Accounts!A343</f>
        <v/>
      </c>
      <c r="B343" s="12" t="n"/>
      <c r="C343" s="65" t="n"/>
      <c r="D343" s="165">
        <f>Accounts!K343</f>
        <v/>
      </c>
      <c r="E343" s="166" t="n">
        <v>0.6</v>
      </c>
      <c r="F343" s="167">
        <f>Accounts!K343*E343</f>
        <v/>
      </c>
      <c r="G343" s="166" t="n">
        <v>0.4</v>
      </c>
      <c r="H343" s="167">
        <f>F343*G343</f>
        <v/>
      </c>
      <c r="I343" s="168">
        <f>if(or(eq(Accounts!J343,"No Valet"),eq(Accounts!J343,"Has Valet")), H343 * AVERAGE(Accounts!J$2:J$36),H343*Accounts!J343)</f>
        <v/>
      </c>
      <c r="J343" s="168">
        <f>iferror(I343*360,"")</f>
        <v/>
      </c>
      <c r="K343" s="168">
        <f>J343*0.1</f>
        <v/>
      </c>
    </row>
    <row r="344" ht="54.75" customHeight="1" s="211">
      <c r="A344" s="164">
        <f>Accounts!A344</f>
        <v/>
      </c>
      <c r="B344" s="12" t="n"/>
      <c r="C344" s="65" t="n"/>
      <c r="D344" s="165">
        <f>Accounts!K344</f>
        <v/>
      </c>
      <c r="E344" s="166" t="n">
        <v>0.6</v>
      </c>
      <c r="F344" s="167">
        <f>Accounts!K344*E344</f>
        <v/>
      </c>
      <c r="G344" s="166" t="n">
        <v>0.4</v>
      </c>
      <c r="H344" s="167">
        <f>F344*G344</f>
        <v/>
      </c>
      <c r="I344" s="168">
        <f>if(or(eq(Accounts!J344,"No Valet"),eq(Accounts!J344,"Has Valet")), H344 * AVERAGE(Accounts!J$2:J$36),H344*Accounts!J344)</f>
        <v/>
      </c>
      <c r="J344" s="168">
        <f>iferror(I344*360,"")</f>
        <v/>
      </c>
      <c r="K344" s="168">
        <f>J344*0.1</f>
        <v/>
      </c>
    </row>
    <row r="345" ht="54.75" customHeight="1" s="211">
      <c r="A345" s="164">
        <f>Accounts!A345</f>
        <v/>
      </c>
      <c r="B345" s="12" t="n"/>
      <c r="C345" s="65" t="n"/>
      <c r="D345" s="165">
        <f>Accounts!K345</f>
        <v/>
      </c>
      <c r="E345" s="166" t="n">
        <v>0.6</v>
      </c>
      <c r="F345" s="167">
        <f>Accounts!K345*E345</f>
        <v/>
      </c>
      <c r="G345" s="166" t="n">
        <v>0.4</v>
      </c>
      <c r="H345" s="167">
        <f>F345*G345</f>
        <v/>
      </c>
      <c r="I345" s="168">
        <f>if(or(eq(Accounts!J345,"No Valet"),eq(Accounts!J345,"Has Valet")), H345 * AVERAGE(Accounts!J$2:J$36),H345*Accounts!J345)</f>
        <v/>
      </c>
      <c r="J345" s="168">
        <f>iferror(I345*360,"")</f>
        <v/>
      </c>
      <c r="K345" s="168">
        <f>J345*0.1</f>
        <v/>
      </c>
    </row>
    <row r="346" ht="54.75" customHeight="1" s="211">
      <c r="A346" s="164">
        <f>Accounts!A346</f>
        <v/>
      </c>
      <c r="B346" s="12" t="n"/>
      <c r="C346" s="65" t="n"/>
      <c r="D346" s="165">
        <f>Accounts!K346</f>
        <v/>
      </c>
      <c r="E346" s="166" t="n">
        <v>0.6</v>
      </c>
      <c r="F346" s="167">
        <f>Accounts!K346*E346</f>
        <v/>
      </c>
      <c r="G346" s="166" t="n">
        <v>0.4</v>
      </c>
      <c r="H346" s="167">
        <f>F346*G346</f>
        <v/>
      </c>
      <c r="I346" s="168">
        <f>if(or(eq(Accounts!J346,"No Valet"),eq(Accounts!J346,"Has Valet")), H346 * AVERAGE(Accounts!J$2:J$36),H346*Accounts!J346)</f>
        <v/>
      </c>
      <c r="J346" s="168">
        <f>iferror(I346*360,"")</f>
        <v/>
      </c>
      <c r="K346" s="168">
        <f>J346*0.1</f>
        <v/>
      </c>
    </row>
    <row r="347" ht="54.75" customHeight="1" s="211">
      <c r="A347" s="164">
        <f>Accounts!A347</f>
        <v/>
      </c>
      <c r="B347" s="12" t="n"/>
      <c r="C347" s="65" t="n"/>
      <c r="D347" s="165">
        <f>Accounts!K347</f>
        <v/>
      </c>
      <c r="E347" s="166" t="n">
        <v>0.6</v>
      </c>
      <c r="F347" s="167">
        <f>Accounts!K347*E347</f>
        <v/>
      </c>
      <c r="G347" s="166" t="n">
        <v>0.4</v>
      </c>
      <c r="H347" s="167">
        <f>F347*G347</f>
        <v/>
      </c>
      <c r="I347" s="168">
        <f>if(or(eq(Accounts!J347,"No Valet"),eq(Accounts!J347,"Has Valet")), H347 * AVERAGE(Accounts!J$2:J$36),H347*Accounts!J347)</f>
        <v/>
      </c>
      <c r="J347" s="168">
        <f>iferror(I347*360,"")</f>
        <v/>
      </c>
      <c r="K347" s="168">
        <f>J347*0.1</f>
        <v/>
      </c>
    </row>
    <row r="348" ht="54.75" customHeight="1" s="211">
      <c r="A348" s="164">
        <f>Accounts!A348</f>
        <v/>
      </c>
      <c r="B348" s="12" t="n"/>
      <c r="C348" s="65" t="n"/>
      <c r="D348" s="165">
        <f>Accounts!K348</f>
        <v/>
      </c>
      <c r="E348" s="166" t="n">
        <v>0.6</v>
      </c>
      <c r="F348" s="167">
        <f>Accounts!K348*E348</f>
        <v/>
      </c>
      <c r="G348" s="166" t="n">
        <v>0.4</v>
      </c>
      <c r="H348" s="167">
        <f>F348*G348</f>
        <v/>
      </c>
      <c r="I348" s="168">
        <f>if(or(eq(Accounts!J348,"No Valet"),eq(Accounts!J348,"Has Valet")), H348 * AVERAGE(Accounts!J$2:J$36),H348*Accounts!J348)</f>
        <v/>
      </c>
      <c r="J348" s="168">
        <f>iferror(I348*360,"")</f>
        <v/>
      </c>
      <c r="K348" s="168">
        <f>J348*0.1</f>
        <v/>
      </c>
    </row>
    <row r="349" ht="54.75" customHeight="1" s="211">
      <c r="A349" s="164">
        <f>Accounts!A349</f>
        <v/>
      </c>
      <c r="B349" s="12" t="n"/>
      <c r="C349" s="65" t="n"/>
      <c r="D349" s="165">
        <f>Accounts!K349</f>
        <v/>
      </c>
      <c r="E349" s="166" t="n">
        <v>0.6</v>
      </c>
      <c r="F349" s="167">
        <f>Accounts!K349*E349</f>
        <v/>
      </c>
      <c r="G349" s="166" t="n">
        <v>0.4</v>
      </c>
      <c r="H349" s="167">
        <f>F349*G349</f>
        <v/>
      </c>
      <c r="I349" s="168">
        <f>if(or(eq(Accounts!J349,"No Valet"),eq(Accounts!J349,"Has Valet")), H349 * AVERAGE(Accounts!J$2:J$36),H349*Accounts!J349)</f>
        <v/>
      </c>
      <c r="J349" s="168">
        <f>iferror(I349*360,"")</f>
        <v/>
      </c>
      <c r="K349" s="168">
        <f>J349*0.1</f>
        <v/>
      </c>
    </row>
    <row r="350" ht="54.75" customHeight="1" s="211">
      <c r="A350" s="164">
        <f>Accounts!A350</f>
        <v/>
      </c>
      <c r="B350" s="12" t="n"/>
      <c r="C350" s="65" t="n"/>
      <c r="D350" s="165">
        <f>Accounts!K350</f>
        <v/>
      </c>
      <c r="E350" s="166" t="n">
        <v>0.6</v>
      </c>
      <c r="F350" s="167">
        <f>Accounts!K350*E350</f>
        <v/>
      </c>
      <c r="G350" s="166" t="n">
        <v>0.4</v>
      </c>
      <c r="H350" s="167">
        <f>F350*G350</f>
        <v/>
      </c>
      <c r="I350" s="168">
        <f>if(or(eq(Accounts!J350,"No Valet"),eq(Accounts!J350,"Has Valet")), H350 * AVERAGE(Accounts!J$2:J$36),H350*Accounts!J350)</f>
        <v/>
      </c>
      <c r="J350" s="168">
        <f>iferror(I350*360,"")</f>
        <v/>
      </c>
      <c r="K350" s="168">
        <f>J350*0.1</f>
        <v/>
      </c>
    </row>
    <row r="351" ht="54.75" customHeight="1" s="211">
      <c r="A351" s="164">
        <f>Accounts!A351</f>
        <v/>
      </c>
      <c r="B351" s="12" t="n"/>
      <c r="C351" s="65" t="n"/>
      <c r="D351" s="165">
        <f>Accounts!K351</f>
        <v/>
      </c>
      <c r="E351" s="166" t="n">
        <v>0.6</v>
      </c>
      <c r="F351" s="167">
        <f>Accounts!K351*E351</f>
        <v/>
      </c>
      <c r="G351" s="166" t="n">
        <v>0.4</v>
      </c>
      <c r="H351" s="167">
        <f>F351*G351</f>
        <v/>
      </c>
      <c r="I351" s="168">
        <f>if(or(eq(Accounts!J351,"No Valet"),eq(Accounts!J351,"Has Valet")), H351 * AVERAGE(Accounts!J$2:J$36),H351*Accounts!J351)</f>
        <v/>
      </c>
      <c r="J351" s="168">
        <f>iferror(I351*360,"")</f>
        <v/>
      </c>
      <c r="K351" s="168">
        <f>J351*0.1</f>
        <v/>
      </c>
    </row>
    <row r="352" ht="54.75" customHeight="1" s="211">
      <c r="A352" s="164">
        <f>Accounts!A352</f>
        <v/>
      </c>
      <c r="B352" s="12" t="n"/>
      <c r="C352" s="65" t="n"/>
      <c r="D352" s="165">
        <f>Accounts!K352</f>
        <v/>
      </c>
      <c r="E352" s="166" t="n">
        <v>0.6</v>
      </c>
      <c r="F352" s="167">
        <f>Accounts!K352*E352</f>
        <v/>
      </c>
      <c r="G352" s="166" t="n">
        <v>0.4</v>
      </c>
      <c r="H352" s="167">
        <f>F352*G352</f>
        <v/>
      </c>
      <c r="I352" s="168">
        <f>if(or(eq(Accounts!J352,"No Valet"),eq(Accounts!J352,"Has Valet")), H352 * AVERAGE(Accounts!J$2:J$36),H352*Accounts!J352)</f>
        <v/>
      </c>
      <c r="J352" s="168">
        <f>iferror(I352*360,"")</f>
        <v/>
      </c>
      <c r="K352" s="168">
        <f>J352*0.1</f>
        <v/>
      </c>
    </row>
    <row r="353" ht="54.75" customHeight="1" s="211">
      <c r="A353" s="164">
        <f>Accounts!A353</f>
        <v/>
      </c>
      <c r="B353" s="12" t="n"/>
      <c r="C353" s="65" t="n"/>
      <c r="D353" s="165">
        <f>Accounts!K353</f>
        <v/>
      </c>
      <c r="E353" s="166" t="n">
        <v>0.6</v>
      </c>
      <c r="F353" s="167">
        <f>Accounts!K353*E353</f>
        <v/>
      </c>
      <c r="G353" s="166" t="n">
        <v>0.4</v>
      </c>
      <c r="H353" s="167">
        <f>F353*G353</f>
        <v/>
      </c>
      <c r="I353" s="168">
        <f>if(or(eq(Accounts!J353,"No Valet"),eq(Accounts!J353,"Has Valet")), H353 * AVERAGE(Accounts!J$2:J$36),H353*Accounts!J353)</f>
        <v/>
      </c>
      <c r="J353" s="168">
        <f>iferror(I353*360,"")</f>
        <v/>
      </c>
      <c r="K353" s="168">
        <f>J353*0.1</f>
        <v/>
      </c>
    </row>
    <row r="354" ht="54.75" customHeight="1" s="211">
      <c r="A354" s="164">
        <f>Accounts!A354</f>
        <v/>
      </c>
      <c r="B354" s="12" t="n"/>
      <c r="C354" s="65" t="n"/>
      <c r="D354" s="165">
        <f>Accounts!K354</f>
        <v/>
      </c>
      <c r="E354" s="166" t="n">
        <v>0.6</v>
      </c>
      <c r="F354" s="167">
        <f>Accounts!K354*E354</f>
        <v/>
      </c>
      <c r="G354" s="166" t="n">
        <v>0.4</v>
      </c>
      <c r="H354" s="167">
        <f>F354*G354</f>
        <v/>
      </c>
      <c r="I354" s="168">
        <f>if(or(eq(Accounts!J354,"No Valet"),eq(Accounts!J354,"Has Valet")), H354 * AVERAGE(Accounts!J$2:J$36),H354*Accounts!J354)</f>
        <v/>
      </c>
      <c r="J354" s="168">
        <f>iferror(I354*360,"")</f>
        <v/>
      </c>
      <c r="K354" s="168">
        <f>J354*0.1</f>
        <v/>
      </c>
    </row>
    <row r="355" ht="54.75" customHeight="1" s="211">
      <c r="A355" s="164">
        <f>Accounts!A355</f>
        <v/>
      </c>
      <c r="B355" s="12" t="n"/>
      <c r="C355" s="65" t="n"/>
      <c r="D355" s="165">
        <f>Accounts!K355</f>
        <v/>
      </c>
      <c r="E355" s="166" t="n">
        <v>0.6</v>
      </c>
      <c r="F355" s="167">
        <f>Accounts!K355*E355</f>
        <v/>
      </c>
      <c r="G355" s="166" t="n">
        <v>0.4</v>
      </c>
      <c r="H355" s="167">
        <f>F355*G355</f>
        <v/>
      </c>
      <c r="I355" s="168">
        <f>if(or(eq(Accounts!J355,"No Valet"),eq(Accounts!J355,"Has Valet")), H355 * AVERAGE(Accounts!J$2:J$36),H355*Accounts!J355)</f>
        <v/>
      </c>
      <c r="J355" s="168">
        <f>iferror(I355*360,"")</f>
        <v/>
      </c>
      <c r="K355" s="168">
        <f>J355*0.1</f>
        <v/>
      </c>
    </row>
    <row r="356" ht="54.75" customHeight="1" s="211">
      <c r="A356" s="164">
        <f>Accounts!A356</f>
        <v/>
      </c>
      <c r="B356" s="12" t="n"/>
      <c r="C356" s="65" t="n"/>
      <c r="D356" s="165">
        <f>Accounts!K356</f>
        <v/>
      </c>
      <c r="E356" s="166" t="n">
        <v>0.6</v>
      </c>
      <c r="F356" s="167">
        <f>Accounts!K356*E356</f>
        <v/>
      </c>
      <c r="G356" s="166" t="n">
        <v>0.4</v>
      </c>
      <c r="H356" s="167">
        <f>F356*G356</f>
        <v/>
      </c>
      <c r="I356" s="168">
        <f>if(or(eq(Accounts!J356,"No Valet"),eq(Accounts!J356,"Has Valet")), H356 * AVERAGE(Accounts!J$2:J$36),H356*Accounts!J356)</f>
        <v/>
      </c>
      <c r="J356" s="168">
        <f>iferror(I356*360,"")</f>
        <v/>
      </c>
      <c r="K356" s="168">
        <f>J356*0.1</f>
        <v/>
      </c>
    </row>
    <row r="357" ht="54.75" customHeight="1" s="211">
      <c r="A357" s="164">
        <f>Accounts!A357</f>
        <v/>
      </c>
      <c r="B357" s="12" t="n"/>
      <c r="C357" s="65" t="n"/>
      <c r="D357" s="165">
        <f>Accounts!K357</f>
        <v/>
      </c>
      <c r="E357" s="166" t="n">
        <v>0.6</v>
      </c>
      <c r="F357" s="167">
        <f>Accounts!K357*E357</f>
        <v/>
      </c>
      <c r="G357" s="166" t="n">
        <v>0.4</v>
      </c>
      <c r="H357" s="167">
        <f>F357*G357</f>
        <v/>
      </c>
      <c r="I357" s="168">
        <f>if(or(eq(Accounts!J357,"No Valet"),eq(Accounts!J357,"Has Valet")), H357 * AVERAGE(Accounts!J$2:J$36),H357*Accounts!J357)</f>
        <v/>
      </c>
      <c r="J357" s="168">
        <f>iferror(I357*360,"")</f>
        <v/>
      </c>
      <c r="K357" s="168">
        <f>J357*0.1</f>
        <v/>
      </c>
    </row>
    <row r="358" ht="54.75" customHeight="1" s="211">
      <c r="A358" s="164">
        <f>Accounts!A358</f>
        <v/>
      </c>
      <c r="B358" s="12" t="n"/>
      <c r="C358" s="65" t="n"/>
      <c r="D358" s="165">
        <f>Accounts!K358</f>
        <v/>
      </c>
      <c r="E358" s="166" t="n">
        <v>0.6</v>
      </c>
      <c r="F358" s="167">
        <f>Accounts!K358*E358</f>
        <v/>
      </c>
      <c r="G358" s="166" t="n">
        <v>0.4</v>
      </c>
      <c r="H358" s="167">
        <f>F358*G358</f>
        <v/>
      </c>
      <c r="I358" s="168">
        <f>if(or(eq(Accounts!J358,"No Valet"),eq(Accounts!J358,"Has Valet")), H358 * AVERAGE(Accounts!J$2:J$36),H358*Accounts!J358)</f>
        <v/>
      </c>
      <c r="J358" s="168">
        <f>iferror(I358*360,"")</f>
        <v/>
      </c>
      <c r="K358" s="168">
        <f>J358*0.1</f>
        <v/>
      </c>
    </row>
    <row r="359" ht="54.75" customHeight="1" s="211">
      <c r="A359" s="164">
        <f>Accounts!A359</f>
        <v/>
      </c>
      <c r="B359" s="12" t="n"/>
      <c r="C359" s="65" t="n"/>
      <c r="D359" s="165">
        <f>Accounts!K359</f>
        <v/>
      </c>
      <c r="E359" s="166" t="n">
        <v>0.6</v>
      </c>
      <c r="F359" s="167">
        <f>Accounts!K359*E359</f>
        <v/>
      </c>
      <c r="G359" s="166" t="n">
        <v>0.4</v>
      </c>
      <c r="H359" s="167">
        <f>F359*G359</f>
        <v/>
      </c>
      <c r="I359" s="168">
        <f>if(or(eq(Accounts!J359,"No Valet"),eq(Accounts!J359,"Has Valet")), H359 * AVERAGE(Accounts!J$2:J$36),H359*Accounts!J359)</f>
        <v/>
      </c>
      <c r="J359" s="168">
        <f>iferror(I359*360,"")</f>
        <v/>
      </c>
      <c r="K359" s="168">
        <f>J359*0.1</f>
        <v/>
      </c>
    </row>
    <row r="360" ht="54.75" customHeight="1" s="211">
      <c r="A360" s="164">
        <f>Accounts!A360</f>
        <v/>
      </c>
      <c r="B360" s="12" t="n"/>
      <c r="C360" s="65" t="n"/>
      <c r="D360" s="165">
        <f>Accounts!K360</f>
        <v/>
      </c>
      <c r="E360" s="166" t="n">
        <v>0.6</v>
      </c>
      <c r="F360" s="167">
        <f>Accounts!K360*E360</f>
        <v/>
      </c>
      <c r="G360" s="166" t="n">
        <v>0.4</v>
      </c>
      <c r="H360" s="167">
        <f>F360*G360</f>
        <v/>
      </c>
      <c r="I360" s="168">
        <f>if(or(eq(Accounts!J360,"No Valet"),eq(Accounts!J360,"Has Valet")), H360 * AVERAGE(Accounts!J$2:J$36),H360*Accounts!J360)</f>
        <v/>
      </c>
      <c r="J360" s="168">
        <f>iferror(I360*360,"")</f>
        <v/>
      </c>
      <c r="K360" s="168">
        <f>J360*0.1</f>
        <v/>
      </c>
    </row>
    <row r="361" ht="54.75" customHeight="1" s="211">
      <c r="A361" s="164">
        <f>Accounts!A361</f>
        <v/>
      </c>
      <c r="B361" s="12" t="n"/>
      <c r="C361" s="65" t="n"/>
      <c r="D361" s="165">
        <f>Accounts!K361</f>
        <v/>
      </c>
      <c r="E361" s="166" t="n">
        <v>0.6</v>
      </c>
      <c r="F361" s="167">
        <f>Accounts!K361*E361</f>
        <v/>
      </c>
      <c r="G361" s="166" t="n">
        <v>0.4</v>
      </c>
      <c r="H361" s="167">
        <f>F361*G361</f>
        <v/>
      </c>
      <c r="I361" s="168">
        <f>if(or(eq(Accounts!J361,"No Valet"),eq(Accounts!J361,"Has Valet")), H361 * AVERAGE(Accounts!J$2:J$36),H361*Accounts!J361)</f>
        <v/>
      </c>
      <c r="J361" s="168">
        <f>iferror(I361*360,"")</f>
        <v/>
      </c>
      <c r="K361" s="168">
        <f>J361*0.1</f>
        <v/>
      </c>
    </row>
    <row r="362" ht="54.75" customHeight="1" s="211">
      <c r="A362" s="164">
        <f>Accounts!A362</f>
        <v/>
      </c>
      <c r="B362" s="12" t="n"/>
      <c r="C362" s="65" t="n"/>
      <c r="D362" s="165">
        <f>Accounts!K362</f>
        <v/>
      </c>
      <c r="E362" s="166" t="n">
        <v>0.6</v>
      </c>
      <c r="F362" s="167">
        <f>Accounts!K362*E362</f>
        <v/>
      </c>
      <c r="G362" s="166" t="n">
        <v>0.4</v>
      </c>
      <c r="H362" s="167">
        <f>F362*G362</f>
        <v/>
      </c>
      <c r="I362" s="168">
        <f>if(or(eq(Accounts!J362,"No Valet"),eq(Accounts!J362,"Has Valet")), H362 * AVERAGE(Accounts!J$2:J$36),H362*Accounts!J362)</f>
        <v/>
      </c>
      <c r="J362" s="168">
        <f>iferror(I362*360,"")</f>
        <v/>
      </c>
      <c r="K362" s="168">
        <f>J362*0.1</f>
        <v/>
      </c>
    </row>
    <row r="363" ht="54.75" customHeight="1" s="211">
      <c r="A363" s="164">
        <f>Accounts!A363</f>
        <v/>
      </c>
      <c r="B363" s="12" t="n"/>
      <c r="C363" s="65" t="n"/>
      <c r="D363" s="165">
        <f>Accounts!K363</f>
        <v/>
      </c>
      <c r="E363" s="166" t="n">
        <v>0.6</v>
      </c>
      <c r="F363" s="167">
        <f>Accounts!K363*E363</f>
        <v/>
      </c>
      <c r="G363" s="166" t="n">
        <v>0.4</v>
      </c>
      <c r="H363" s="167">
        <f>F363*G363</f>
        <v/>
      </c>
      <c r="I363" s="168">
        <f>if(or(eq(Accounts!J363,"No Valet"),eq(Accounts!J363,"Has Valet")), H363 * AVERAGE(Accounts!J$2:J$36),H363*Accounts!J363)</f>
        <v/>
      </c>
      <c r="J363" s="168">
        <f>iferror(I363*360,"")</f>
        <v/>
      </c>
      <c r="K363" s="168">
        <f>J363*0.1</f>
        <v/>
      </c>
    </row>
    <row r="364" ht="54.75" customHeight="1" s="211">
      <c r="A364" s="164">
        <f>Accounts!A364</f>
        <v/>
      </c>
      <c r="B364" s="12" t="n"/>
      <c r="C364" s="65" t="n"/>
      <c r="D364" s="165">
        <f>Accounts!K364</f>
        <v/>
      </c>
      <c r="E364" s="166" t="n">
        <v>0.6</v>
      </c>
      <c r="F364" s="167">
        <f>Accounts!K364*E364</f>
        <v/>
      </c>
      <c r="G364" s="166" t="n">
        <v>0.4</v>
      </c>
      <c r="H364" s="167">
        <f>F364*G364</f>
        <v/>
      </c>
      <c r="I364" s="168">
        <f>if(or(eq(Accounts!J364,"No Valet"),eq(Accounts!J364,"Has Valet")), H364 * AVERAGE(Accounts!J$2:J$36),H364*Accounts!J364)</f>
        <v/>
      </c>
      <c r="J364" s="168">
        <f>iferror(I364*360,"")</f>
        <v/>
      </c>
      <c r="K364" s="168">
        <f>J364*0.1</f>
        <v/>
      </c>
    </row>
    <row r="365" ht="54.75" customHeight="1" s="211">
      <c r="A365" s="164">
        <f>Accounts!A365</f>
        <v/>
      </c>
      <c r="B365" s="12" t="n"/>
      <c r="C365" s="65" t="n"/>
      <c r="D365" s="165">
        <f>Accounts!K365</f>
        <v/>
      </c>
      <c r="E365" s="166" t="n">
        <v>0.6</v>
      </c>
      <c r="F365" s="167">
        <f>Accounts!K365*E365</f>
        <v/>
      </c>
      <c r="G365" s="166" t="n">
        <v>0.4</v>
      </c>
      <c r="H365" s="167">
        <f>F365*G365</f>
        <v/>
      </c>
      <c r="I365" s="168">
        <f>if(or(eq(Accounts!J365,"No Valet"),eq(Accounts!J365,"Has Valet")), H365 * AVERAGE(Accounts!J$2:J$36),H365*Accounts!J365)</f>
        <v/>
      </c>
      <c r="J365" s="168">
        <f>iferror(I365*360,"")</f>
        <v/>
      </c>
      <c r="K365" s="168">
        <f>J365*0.1</f>
        <v/>
      </c>
    </row>
    <row r="366" ht="54.75" customHeight="1" s="211">
      <c r="A366" s="164">
        <f>Accounts!A366</f>
        <v/>
      </c>
      <c r="B366" s="12" t="n"/>
      <c r="C366" s="65" t="n"/>
      <c r="D366" s="165">
        <f>Accounts!K366</f>
        <v/>
      </c>
      <c r="E366" s="166" t="n">
        <v>0.6</v>
      </c>
      <c r="F366" s="167">
        <f>Accounts!K366*E366</f>
        <v/>
      </c>
      <c r="G366" s="166" t="n">
        <v>0.4</v>
      </c>
      <c r="H366" s="167">
        <f>F366*G366</f>
        <v/>
      </c>
      <c r="I366" s="168">
        <f>if(or(eq(Accounts!J366,"No Valet"),eq(Accounts!J366,"Has Valet")), H366 * AVERAGE(Accounts!J$2:J$36),H366*Accounts!J366)</f>
        <v/>
      </c>
      <c r="J366" s="168">
        <f>iferror(I366*360,"")</f>
        <v/>
      </c>
      <c r="K366" s="168">
        <f>J366*0.1</f>
        <v/>
      </c>
    </row>
    <row r="367" ht="54.75" customHeight="1" s="211">
      <c r="A367" s="164">
        <f>Accounts!A367</f>
        <v/>
      </c>
      <c r="B367" s="12" t="n"/>
      <c r="C367" s="65" t="n"/>
      <c r="D367" s="165">
        <f>Accounts!K367</f>
        <v/>
      </c>
      <c r="E367" s="166" t="n">
        <v>0.6</v>
      </c>
      <c r="F367" s="167">
        <f>Accounts!K367*E367</f>
        <v/>
      </c>
      <c r="G367" s="166" t="n">
        <v>0.4</v>
      </c>
      <c r="H367" s="167">
        <f>F367*G367</f>
        <v/>
      </c>
      <c r="I367" s="168">
        <f>if(or(eq(Accounts!J367,"No Valet"),eq(Accounts!J367,"Has Valet")), H367 * AVERAGE(Accounts!J$2:J$36),H367*Accounts!J367)</f>
        <v/>
      </c>
      <c r="J367" s="168">
        <f>iferror(I367*360,"")</f>
        <v/>
      </c>
      <c r="K367" s="168">
        <f>J367*0.1</f>
        <v/>
      </c>
    </row>
    <row r="368" ht="54.75" customHeight="1" s="211">
      <c r="A368" s="164">
        <f>Accounts!A368</f>
        <v/>
      </c>
      <c r="B368" s="12" t="n"/>
      <c r="C368" s="65" t="n"/>
      <c r="D368" s="165">
        <f>Accounts!K368</f>
        <v/>
      </c>
      <c r="E368" s="166" t="n">
        <v>0.6</v>
      </c>
      <c r="F368" s="167">
        <f>Accounts!K368*E368</f>
        <v/>
      </c>
      <c r="G368" s="166" t="n">
        <v>0.4</v>
      </c>
      <c r="H368" s="167">
        <f>F368*G368</f>
        <v/>
      </c>
      <c r="I368" s="168">
        <f>if(or(eq(Accounts!J368,"No Valet"),eq(Accounts!J368,"Has Valet")), H368 * AVERAGE(Accounts!J$2:J$36),H368*Accounts!J368)</f>
        <v/>
      </c>
      <c r="J368" s="168">
        <f>iferror(I368*360,"")</f>
        <v/>
      </c>
      <c r="K368" s="168">
        <f>J368*0.1</f>
        <v/>
      </c>
    </row>
    <row r="369" ht="54.75" customHeight="1" s="211">
      <c r="A369" s="164">
        <f>Accounts!A369</f>
        <v/>
      </c>
      <c r="B369" s="12" t="n"/>
      <c r="C369" s="65" t="n"/>
      <c r="D369" s="165">
        <f>Accounts!K369</f>
        <v/>
      </c>
      <c r="E369" s="166" t="n">
        <v>0.6</v>
      </c>
      <c r="F369" s="167">
        <f>Accounts!K369*E369</f>
        <v/>
      </c>
      <c r="G369" s="166" t="n">
        <v>0.4</v>
      </c>
      <c r="H369" s="167">
        <f>F369*G369</f>
        <v/>
      </c>
      <c r="I369" s="168">
        <f>if(or(eq(Accounts!J369,"No Valet"),eq(Accounts!J369,"Has Valet")), H369 * AVERAGE(Accounts!J$2:J$36),H369*Accounts!J369)</f>
        <v/>
      </c>
      <c r="J369" s="168">
        <f>iferror(I369*360,"")</f>
        <v/>
      </c>
      <c r="K369" s="168">
        <f>J369*0.1</f>
        <v/>
      </c>
    </row>
    <row r="370" ht="54.75" customHeight="1" s="211">
      <c r="A370" s="164">
        <f>Accounts!A370</f>
        <v/>
      </c>
      <c r="B370" s="12" t="n"/>
      <c r="C370" s="65" t="n"/>
      <c r="D370" s="165">
        <f>Accounts!K370</f>
        <v/>
      </c>
      <c r="E370" s="166" t="n">
        <v>0.6</v>
      </c>
      <c r="F370" s="167">
        <f>Accounts!K370*E370</f>
        <v/>
      </c>
      <c r="G370" s="166" t="n">
        <v>0.4</v>
      </c>
      <c r="H370" s="167">
        <f>F370*G370</f>
        <v/>
      </c>
      <c r="I370" s="168">
        <f>if(or(eq(Accounts!J370,"No Valet"),eq(Accounts!J370,"Has Valet")), H370 * AVERAGE(Accounts!J$2:J$36),H370*Accounts!J370)</f>
        <v/>
      </c>
      <c r="J370" s="168">
        <f>iferror(I370*360,"")</f>
        <v/>
      </c>
      <c r="K370" s="168">
        <f>J370*0.1</f>
        <v/>
      </c>
    </row>
    <row r="371" ht="54.75" customHeight="1" s="211">
      <c r="A371" s="164">
        <f>Accounts!A371</f>
        <v/>
      </c>
      <c r="B371" s="12" t="n"/>
      <c r="C371" s="65" t="n"/>
      <c r="D371" s="165">
        <f>Accounts!K371</f>
        <v/>
      </c>
      <c r="E371" s="166" t="n">
        <v>0.6</v>
      </c>
      <c r="F371" s="167">
        <f>Accounts!K371*E371</f>
        <v/>
      </c>
      <c r="G371" s="166" t="n">
        <v>0.4</v>
      </c>
      <c r="H371" s="167">
        <f>F371*G371</f>
        <v/>
      </c>
      <c r="I371" s="168">
        <f>if(or(eq(Accounts!J371,"No Valet"),eq(Accounts!J371,"Has Valet")), H371 * AVERAGE(Accounts!J$2:J$36),H371*Accounts!J371)</f>
        <v/>
      </c>
      <c r="J371" s="168">
        <f>iferror(I371*360,"")</f>
        <v/>
      </c>
      <c r="K371" s="168">
        <f>J371*0.1</f>
        <v/>
      </c>
    </row>
    <row r="372" ht="54.75" customHeight="1" s="211">
      <c r="A372" s="164">
        <f>Accounts!A372</f>
        <v/>
      </c>
      <c r="B372" s="12" t="n"/>
      <c r="C372" s="65" t="n"/>
      <c r="D372" s="165">
        <f>Accounts!K372</f>
        <v/>
      </c>
      <c r="E372" s="166" t="n">
        <v>0.6</v>
      </c>
      <c r="F372" s="167">
        <f>Accounts!K372*E372</f>
        <v/>
      </c>
      <c r="G372" s="166" t="n">
        <v>0.4</v>
      </c>
      <c r="H372" s="167">
        <f>F372*G372</f>
        <v/>
      </c>
      <c r="I372" s="168">
        <f>if(or(eq(Accounts!J372,"No Valet"),eq(Accounts!J372,"Has Valet")), H372 * AVERAGE(Accounts!J$2:J$36),H372*Accounts!J372)</f>
        <v/>
      </c>
      <c r="J372" s="168">
        <f>iferror(I372*360,"")</f>
        <v/>
      </c>
      <c r="K372" s="168">
        <f>J372*0.1</f>
        <v/>
      </c>
    </row>
    <row r="373" ht="54.75" customHeight="1" s="211">
      <c r="A373" s="164">
        <f>Accounts!A373</f>
        <v/>
      </c>
      <c r="B373" s="12" t="n"/>
      <c r="C373" s="65" t="n"/>
      <c r="D373" s="165">
        <f>Accounts!K373</f>
        <v/>
      </c>
      <c r="E373" s="166" t="n">
        <v>0.6</v>
      </c>
      <c r="F373" s="167">
        <f>Accounts!K373*E373</f>
        <v/>
      </c>
      <c r="G373" s="166" t="n">
        <v>0.4</v>
      </c>
      <c r="H373" s="167">
        <f>F373*G373</f>
        <v/>
      </c>
      <c r="I373" s="168">
        <f>if(or(eq(Accounts!J373,"No Valet"),eq(Accounts!J373,"Has Valet")), H373 * AVERAGE(Accounts!J$2:J$36),H373*Accounts!J373)</f>
        <v/>
      </c>
      <c r="J373" s="168">
        <f>iferror(I373*360,"")</f>
        <v/>
      </c>
      <c r="K373" s="168">
        <f>J373*0.1</f>
        <v/>
      </c>
    </row>
    <row r="374" ht="54.75" customHeight="1" s="211">
      <c r="A374" s="164">
        <f>Accounts!A374</f>
        <v/>
      </c>
      <c r="B374" s="12" t="n"/>
      <c r="C374" s="65" t="n"/>
      <c r="D374" s="165">
        <f>Accounts!K374</f>
        <v/>
      </c>
      <c r="E374" s="166" t="n">
        <v>0.6</v>
      </c>
      <c r="F374" s="167">
        <f>Accounts!K374*E374</f>
        <v/>
      </c>
      <c r="G374" s="166" t="n">
        <v>0.4</v>
      </c>
      <c r="H374" s="167">
        <f>F374*G374</f>
        <v/>
      </c>
      <c r="I374" s="168">
        <f>if(or(eq(Accounts!J374,"No Valet"),eq(Accounts!J374,"Has Valet")), H374 * AVERAGE(Accounts!J$2:J$36),H374*Accounts!J374)</f>
        <v/>
      </c>
      <c r="J374" s="168">
        <f>iferror(I374*360,"")</f>
        <v/>
      </c>
      <c r="K374" s="168">
        <f>J374*0.1</f>
        <v/>
      </c>
    </row>
    <row r="375" ht="54.75" customHeight="1" s="211">
      <c r="A375" s="164">
        <f>Accounts!A375</f>
        <v/>
      </c>
      <c r="B375" s="12" t="n"/>
      <c r="C375" s="65" t="n"/>
      <c r="D375" s="165">
        <f>Accounts!K375</f>
        <v/>
      </c>
      <c r="E375" s="166" t="n">
        <v>0.6</v>
      </c>
      <c r="F375" s="167">
        <f>Accounts!K375*E375</f>
        <v/>
      </c>
      <c r="G375" s="166" t="n">
        <v>0.4</v>
      </c>
      <c r="H375" s="167">
        <f>F375*G375</f>
        <v/>
      </c>
      <c r="I375" s="168">
        <f>if(or(eq(Accounts!J375,"No Valet"),eq(Accounts!J375,"Has Valet")), H375 * AVERAGE(Accounts!J$2:J$36),H375*Accounts!J375)</f>
        <v/>
      </c>
      <c r="J375" s="168">
        <f>iferror(I375*360,"")</f>
        <v/>
      </c>
      <c r="K375" s="168">
        <f>J375*0.1</f>
        <v/>
      </c>
    </row>
    <row r="376" ht="54.75" customHeight="1" s="211">
      <c r="A376" s="164">
        <f>Accounts!A376</f>
        <v/>
      </c>
      <c r="B376" s="12" t="n"/>
      <c r="C376" s="65" t="n"/>
      <c r="D376" s="165">
        <f>Accounts!K376</f>
        <v/>
      </c>
      <c r="E376" s="166" t="n">
        <v>0.6</v>
      </c>
      <c r="F376" s="167">
        <f>Accounts!K376*E376</f>
        <v/>
      </c>
      <c r="G376" s="166" t="n">
        <v>0.4</v>
      </c>
      <c r="H376" s="167">
        <f>F376*G376</f>
        <v/>
      </c>
      <c r="I376" s="168">
        <f>if(or(eq(Accounts!J376,"No Valet"),eq(Accounts!J376,"Has Valet")), H376 * AVERAGE(Accounts!J$2:J$36),H376*Accounts!J376)</f>
        <v/>
      </c>
      <c r="J376" s="168">
        <f>iferror(I376*360,"")</f>
        <v/>
      </c>
      <c r="K376" s="168">
        <f>J376*0.1</f>
        <v/>
      </c>
    </row>
    <row r="377" ht="54.75" customHeight="1" s="211">
      <c r="A377" s="164">
        <f>Accounts!A377</f>
        <v/>
      </c>
      <c r="B377" s="12" t="n"/>
      <c r="C377" s="65" t="n"/>
      <c r="D377" s="165">
        <f>Accounts!K377</f>
        <v/>
      </c>
      <c r="E377" s="166" t="n">
        <v>0.6</v>
      </c>
      <c r="F377" s="167">
        <f>Accounts!K377*E377</f>
        <v/>
      </c>
      <c r="G377" s="166" t="n">
        <v>0.4</v>
      </c>
      <c r="H377" s="167">
        <f>F377*G377</f>
        <v/>
      </c>
      <c r="I377" s="168">
        <f>if(or(eq(Accounts!J377,"No Valet"),eq(Accounts!J377,"Has Valet")), H377 * AVERAGE(Accounts!J$2:J$36),H377*Accounts!J377)</f>
        <v/>
      </c>
      <c r="J377" s="168">
        <f>iferror(I377*360,"")</f>
        <v/>
      </c>
      <c r="K377" s="168">
        <f>J377*0.1</f>
        <v/>
      </c>
    </row>
    <row r="378" ht="54.75" customHeight="1" s="211">
      <c r="A378" s="164">
        <f>Accounts!A378</f>
        <v/>
      </c>
      <c r="B378" s="12" t="n"/>
      <c r="C378" s="65" t="n"/>
      <c r="D378" s="165">
        <f>Accounts!K378</f>
        <v/>
      </c>
      <c r="E378" s="166" t="n">
        <v>0.6</v>
      </c>
      <c r="F378" s="167">
        <f>Accounts!K378*E378</f>
        <v/>
      </c>
      <c r="G378" s="166" t="n">
        <v>0.4</v>
      </c>
      <c r="H378" s="167">
        <f>F378*G378</f>
        <v/>
      </c>
      <c r="I378" s="168">
        <f>if(or(eq(Accounts!J378,"No Valet"),eq(Accounts!J378,"Has Valet")), H378 * AVERAGE(Accounts!J$2:J$36),H378*Accounts!J378)</f>
        <v/>
      </c>
      <c r="J378" s="168">
        <f>iferror(I378*360,"")</f>
        <v/>
      </c>
      <c r="K378" s="168">
        <f>J378*0.1</f>
        <v/>
      </c>
    </row>
    <row r="379" ht="54.75" customHeight="1" s="211">
      <c r="A379" s="164">
        <f>Accounts!A379</f>
        <v/>
      </c>
      <c r="B379" s="12" t="n"/>
      <c r="C379" s="65" t="n"/>
      <c r="D379" s="165">
        <f>Accounts!K379</f>
        <v/>
      </c>
      <c r="E379" s="166" t="n">
        <v>0.6</v>
      </c>
      <c r="F379" s="167">
        <f>Accounts!K379*E379</f>
        <v/>
      </c>
      <c r="G379" s="166" t="n">
        <v>0.4</v>
      </c>
      <c r="H379" s="167">
        <f>F379*G379</f>
        <v/>
      </c>
      <c r="I379" s="168">
        <f>if(or(eq(Accounts!J379,"No Valet"),eq(Accounts!J379,"Has Valet")), H379 * AVERAGE(Accounts!J$2:J$36),H379*Accounts!J379)</f>
        <v/>
      </c>
      <c r="J379" s="168">
        <f>iferror(I379*360,"")</f>
        <v/>
      </c>
      <c r="K379" s="168">
        <f>J379*0.1</f>
        <v/>
      </c>
    </row>
    <row r="380" ht="54.75" customHeight="1" s="211">
      <c r="A380" s="164">
        <f>Accounts!A380</f>
        <v/>
      </c>
      <c r="B380" s="12" t="n"/>
      <c r="C380" s="65" t="n"/>
      <c r="D380" s="165">
        <f>Accounts!K380</f>
        <v/>
      </c>
      <c r="E380" s="166" t="n">
        <v>0.6</v>
      </c>
      <c r="F380" s="167">
        <f>Accounts!K380*E380</f>
        <v/>
      </c>
      <c r="G380" s="166" t="n">
        <v>0.4</v>
      </c>
      <c r="H380" s="167">
        <f>F380*G380</f>
        <v/>
      </c>
      <c r="I380" s="168">
        <f>if(or(eq(Accounts!J380,"No Valet"),eq(Accounts!J380,"Has Valet")), H380 * AVERAGE(Accounts!J$2:J$36),H380*Accounts!J380)</f>
        <v/>
      </c>
      <c r="J380" s="168">
        <f>iferror(I380*360,"")</f>
        <v/>
      </c>
      <c r="K380" s="168">
        <f>J380*0.1</f>
        <v/>
      </c>
    </row>
    <row r="381" ht="54.75" customHeight="1" s="211">
      <c r="A381" s="164">
        <f>Accounts!A381</f>
        <v/>
      </c>
      <c r="B381" s="12" t="n"/>
      <c r="C381" s="65" t="n"/>
      <c r="D381" s="165">
        <f>Accounts!K381</f>
        <v/>
      </c>
      <c r="E381" s="166" t="n">
        <v>0.6</v>
      </c>
      <c r="F381" s="167">
        <f>Accounts!K381*E381</f>
        <v/>
      </c>
      <c r="G381" s="166" t="n">
        <v>0.4</v>
      </c>
      <c r="H381" s="167">
        <f>F381*G381</f>
        <v/>
      </c>
      <c r="I381" s="168">
        <f>if(or(eq(Accounts!J381,"No Valet"),eq(Accounts!J381,"Has Valet")), H381 * AVERAGE(Accounts!J$2:J$36),H381*Accounts!J381)</f>
        <v/>
      </c>
      <c r="J381" s="168">
        <f>iferror(I381*360,"")</f>
        <v/>
      </c>
      <c r="K381" s="168">
        <f>J381*0.1</f>
        <v/>
      </c>
    </row>
    <row r="382" ht="54.75" customHeight="1" s="211">
      <c r="A382" s="164">
        <f>Accounts!A382</f>
        <v/>
      </c>
      <c r="B382" s="12" t="n"/>
      <c r="C382" s="65" t="n"/>
      <c r="D382" s="165">
        <f>Accounts!K382</f>
        <v/>
      </c>
      <c r="E382" s="166" t="n">
        <v>0.6</v>
      </c>
      <c r="F382" s="167">
        <f>Accounts!K382*E382</f>
        <v/>
      </c>
      <c r="G382" s="166" t="n">
        <v>0.4</v>
      </c>
      <c r="H382" s="167">
        <f>F382*G382</f>
        <v/>
      </c>
      <c r="I382" s="168">
        <f>if(or(eq(Accounts!J382,"No Valet"),eq(Accounts!J382,"Has Valet")), H382 * AVERAGE(Accounts!J$2:J$36),H382*Accounts!J382)</f>
        <v/>
      </c>
      <c r="J382" s="168">
        <f>iferror(I382*360,"")</f>
        <v/>
      </c>
      <c r="K382" s="168">
        <f>J382*0.1</f>
        <v/>
      </c>
    </row>
    <row r="383" ht="54.75" customHeight="1" s="211">
      <c r="A383" s="164">
        <f>Accounts!A383</f>
        <v/>
      </c>
      <c r="B383" s="12" t="n"/>
      <c r="C383" s="65" t="n"/>
      <c r="D383" s="165">
        <f>Accounts!K383</f>
        <v/>
      </c>
      <c r="E383" s="166" t="n">
        <v>0.6</v>
      </c>
      <c r="F383" s="167">
        <f>Accounts!K383*E383</f>
        <v/>
      </c>
      <c r="G383" s="166" t="n">
        <v>0.4</v>
      </c>
      <c r="H383" s="167">
        <f>F383*G383</f>
        <v/>
      </c>
      <c r="I383" s="168">
        <f>if(or(eq(Accounts!J383,"No Valet"),eq(Accounts!J383,"Has Valet")), H383 * AVERAGE(Accounts!J$2:J$36),H383*Accounts!J383)</f>
        <v/>
      </c>
      <c r="J383" s="168">
        <f>iferror(I383*360,"")</f>
        <v/>
      </c>
      <c r="K383" s="168">
        <f>J383*0.1</f>
        <v/>
      </c>
    </row>
    <row r="384" ht="54.75" customHeight="1" s="211">
      <c r="A384" s="164">
        <f>Accounts!A384</f>
        <v/>
      </c>
      <c r="B384" s="12" t="n"/>
      <c r="C384" s="65" t="n"/>
      <c r="D384" s="165">
        <f>Accounts!K384</f>
        <v/>
      </c>
      <c r="E384" s="166" t="n">
        <v>0.6</v>
      </c>
      <c r="F384" s="167">
        <f>Accounts!K384*E384</f>
        <v/>
      </c>
      <c r="G384" s="166" t="n">
        <v>0.4</v>
      </c>
      <c r="H384" s="167">
        <f>F384*G384</f>
        <v/>
      </c>
      <c r="I384" s="168">
        <f>if(or(eq(Accounts!J384,"No Valet"),eq(Accounts!J384,"Has Valet")), H384 * AVERAGE(Accounts!J$2:J$36),H384*Accounts!J384)</f>
        <v/>
      </c>
      <c r="J384" s="168">
        <f>iferror(I384*360,"")</f>
        <v/>
      </c>
      <c r="K384" s="168">
        <f>J384*0.1</f>
        <v/>
      </c>
    </row>
    <row r="385" ht="54.75" customHeight="1" s="211">
      <c r="A385" s="164">
        <f>Accounts!A385</f>
        <v/>
      </c>
      <c r="B385" s="12" t="n"/>
      <c r="C385" s="65" t="n"/>
      <c r="D385" s="165">
        <f>Accounts!K385</f>
        <v/>
      </c>
      <c r="E385" s="166" t="n">
        <v>0.6</v>
      </c>
      <c r="F385" s="167">
        <f>Accounts!K385*E385</f>
        <v/>
      </c>
      <c r="G385" s="166" t="n">
        <v>0.4</v>
      </c>
      <c r="H385" s="167">
        <f>F385*G385</f>
        <v/>
      </c>
      <c r="I385" s="168">
        <f>if(or(eq(Accounts!J385,"No Valet"),eq(Accounts!J385,"Has Valet")), H385 * AVERAGE(Accounts!J$2:J$36),H385*Accounts!J385)</f>
        <v/>
      </c>
      <c r="J385" s="168">
        <f>iferror(I385*360,"")</f>
        <v/>
      </c>
      <c r="K385" s="168">
        <f>J385*0.1</f>
        <v/>
      </c>
    </row>
    <row r="386" ht="54.75" customHeight="1" s="211">
      <c r="A386" s="164">
        <f>Accounts!A386</f>
        <v/>
      </c>
      <c r="B386" s="12" t="n"/>
      <c r="C386" s="65" t="n"/>
      <c r="D386" s="165">
        <f>Accounts!K386</f>
        <v/>
      </c>
      <c r="E386" s="166" t="n">
        <v>0.6</v>
      </c>
      <c r="F386" s="167">
        <f>Accounts!K386*E386</f>
        <v/>
      </c>
      <c r="G386" s="166" t="n">
        <v>0.4</v>
      </c>
      <c r="H386" s="167">
        <f>F386*G386</f>
        <v/>
      </c>
      <c r="I386" s="168">
        <f>if(or(eq(Accounts!J386,"No Valet"),eq(Accounts!J386,"Has Valet")), H386 * AVERAGE(Accounts!J$2:J$36),H386*Accounts!J386)</f>
        <v/>
      </c>
      <c r="J386" s="168">
        <f>iferror(I386*360,"")</f>
        <v/>
      </c>
      <c r="K386" s="168">
        <f>J386*0.1</f>
        <v/>
      </c>
    </row>
    <row r="387" ht="54.75" customHeight="1" s="211">
      <c r="A387" s="164">
        <f>Accounts!A387</f>
        <v/>
      </c>
      <c r="B387" s="12" t="n"/>
      <c r="C387" s="65" t="n"/>
      <c r="D387" s="165">
        <f>Accounts!K387</f>
        <v/>
      </c>
      <c r="E387" s="166" t="n">
        <v>0.6</v>
      </c>
      <c r="F387" s="167">
        <f>Accounts!K387*E387</f>
        <v/>
      </c>
      <c r="G387" s="166" t="n">
        <v>0.4</v>
      </c>
      <c r="H387" s="167">
        <f>F387*G387</f>
        <v/>
      </c>
      <c r="I387" s="168">
        <f>if(or(eq(Accounts!J387,"No Valet"),eq(Accounts!J387,"Has Valet")), H387 * AVERAGE(Accounts!J$2:J$36),H387*Accounts!J387)</f>
        <v/>
      </c>
      <c r="J387" s="168">
        <f>iferror(I387*360,"")</f>
        <v/>
      </c>
      <c r="K387" s="168">
        <f>J387*0.1</f>
        <v/>
      </c>
    </row>
    <row r="388" ht="54.75" customHeight="1" s="211">
      <c r="A388" s="164">
        <f>Accounts!A388</f>
        <v/>
      </c>
      <c r="B388" s="12" t="n"/>
      <c r="C388" s="65" t="n"/>
      <c r="D388" s="165">
        <f>Accounts!K388</f>
        <v/>
      </c>
      <c r="E388" s="166" t="n">
        <v>0.6</v>
      </c>
      <c r="F388" s="167">
        <f>Accounts!K388*E388</f>
        <v/>
      </c>
      <c r="G388" s="166" t="n">
        <v>0.4</v>
      </c>
      <c r="H388" s="167">
        <f>F388*G388</f>
        <v/>
      </c>
      <c r="I388" s="168">
        <f>if(or(eq(Accounts!J388,"No Valet"),eq(Accounts!J388,"Has Valet")), H388 * AVERAGE(Accounts!J$2:J$36),H388*Accounts!J388)</f>
        <v/>
      </c>
      <c r="J388" s="168">
        <f>iferror(I388*360,"")</f>
        <v/>
      </c>
      <c r="K388" s="168">
        <f>J388*0.1</f>
        <v/>
      </c>
    </row>
    <row r="389" ht="54.75" customHeight="1" s="211">
      <c r="A389" s="164">
        <f>Accounts!A389</f>
        <v/>
      </c>
      <c r="B389" s="12" t="n"/>
      <c r="C389" s="65" t="n"/>
      <c r="D389" s="165">
        <f>Accounts!K389</f>
        <v/>
      </c>
      <c r="E389" s="166" t="n">
        <v>0.6</v>
      </c>
      <c r="F389" s="167">
        <f>Accounts!K389*E389</f>
        <v/>
      </c>
      <c r="G389" s="166" t="n">
        <v>0.4</v>
      </c>
      <c r="H389" s="167">
        <f>F389*G389</f>
        <v/>
      </c>
      <c r="I389" s="168">
        <f>if(or(eq(Accounts!J389,"No Valet"),eq(Accounts!J389,"Has Valet")), H389 * AVERAGE(Accounts!J$2:J$36),H389*Accounts!J389)</f>
        <v/>
      </c>
      <c r="J389" s="168">
        <f>iferror(I389*360,"")</f>
        <v/>
      </c>
      <c r="K389" s="168">
        <f>J389*0.1</f>
        <v/>
      </c>
    </row>
    <row r="390" ht="54.75" customHeight="1" s="211">
      <c r="A390" s="164">
        <f>Accounts!A390</f>
        <v/>
      </c>
      <c r="B390" s="12" t="n"/>
      <c r="C390" s="65" t="n"/>
      <c r="D390" s="165">
        <f>Accounts!K390</f>
        <v/>
      </c>
      <c r="E390" s="166" t="n">
        <v>0.6</v>
      </c>
      <c r="F390" s="167">
        <f>Accounts!K390*E390</f>
        <v/>
      </c>
      <c r="G390" s="166" t="n">
        <v>0.4</v>
      </c>
      <c r="H390" s="167">
        <f>F390*G390</f>
        <v/>
      </c>
      <c r="I390" s="168">
        <f>if(or(eq(Accounts!J390,"No Valet"),eq(Accounts!J390,"Has Valet")), H390 * AVERAGE(Accounts!J$2:J$36),H390*Accounts!J390)</f>
        <v/>
      </c>
      <c r="J390" s="168">
        <f>iferror(I390*360,"")</f>
        <v/>
      </c>
      <c r="K390" s="168">
        <f>J390*0.1</f>
        <v/>
      </c>
    </row>
    <row r="391" ht="54.75" customHeight="1" s="211">
      <c r="A391" s="164">
        <f>Accounts!A391</f>
        <v/>
      </c>
      <c r="B391" s="12" t="n"/>
      <c r="C391" s="65" t="n"/>
      <c r="D391" s="165">
        <f>Accounts!K391</f>
        <v/>
      </c>
      <c r="E391" s="166" t="n">
        <v>0.6</v>
      </c>
      <c r="F391" s="167">
        <f>Accounts!K391*E391</f>
        <v/>
      </c>
      <c r="G391" s="166" t="n">
        <v>0.4</v>
      </c>
      <c r="H391" s="167">
        <f>F391*G391</f>
        <v/>
      </c>
      <c r="I391" s="168">
        <f>if(or(eq(Accounts!J391,"No Valet"),eq(Accounts!J391,"Has Valet")), H391 * AVERAGE(Accounts!J$2:J$36),H391*Accounts!J391)</f>
        <v/>
      </c>
      <c r="J391" s="168">
        <f>iferror(I391*360,"")</f>
        <v/>
      </c>
      <c r="K391" s="168">
        <f>J391*0.1</f>
        <v/>
      </c>
    </row>
    <row r="392" ht="54.75" customHeight="1" s="211">
      <c r="A392" s="164">
        <f>Accounts!A392</f>
        <v/>
      </c>
      <c r="B392" s="12" t="n"/>
      <c r="C392" s="65" t="n"/>
      <c r="D392" s="165">
        <f>Accounts!K392</f>
        <v/>
      </c>
      <c r="E392" s="166" t="n">
        <v>0.6</v>
      </c>
      <c r="F392" s="167">
        <f>Accounts!K392*E392</f>
        <v/>
      </c>
      <c r="G392" s="166" t="n">
        <v>0.4</v>
      </c>
      <c r="H392" s="167">
        <f>F392*G392</f>
        <v/>
      </c>
      <c r="I392" s="168">
        <f>if(or(eq(Accounts!J392,"No Valet"),eq(Accounts!J392,"Has Valet")), H392 * AVERAGE(Accounts!J$2:J$36),H392*Accounts!J392)</f>
        <v/>
      </c>
      <c r="J392" s="168">
        <f>iferror(I392*360,"")</f>
        <v/>
      </c>
      <c r="K392" s="168">
        <f>J392*0.1</f>
        <v/>
      </c>
    </row>
    <row r="393" ht="54.75" customHeight="1" s="211">
      <c r="A393" s="164">
        <f>Accounts!A393</f>
        <v/>
      </c>
      <c r="B393" s="12" t="n"/>
      <c r="C393" s="65" t="n"/>
      <c r="D393" s="165">
        <f>Accounts!K393</f>
        <v/>
      </c>
      <c r="E393" s="166" t="n">
        <v>0.6</v>
      </c>
      <c r="F393" s="167">
        <f>Accounts!K393*E393</f>
        <v/>
      </c>
      <c r="G393" s="166" t="n">
        <v>0.4</v>
      </c>
      <c r="H393" s="167">
        <f>F393*G393</f>
        <v/>
      </c>
      <c r="I393" s="168">
        <f>if(or(eq(Accounts!J393,"No Valet"),eq(Accounts!J393,"Has Valet")), H393 * AVERAGE(Accounts!J$2:J$36),H393*Accounts!J393)</f>
        <v/>
      </c>
      <c r="J393" s="168">
        <f>iferror(I393*360,"")</f>
        <v/>
      </c>
      <c r="K393" s="168">
        <f>J393*0.1</f>
        <v/>
      </c>
    </row>
    <row r="394" ht="54.75" customHeight="1" s="211">
      <c r="A394" s="164">
        <f>Accounts!A394</f>
        <v/>
      </c>
      <c r="B394" s="12" t="n"/>
      <c r="C394" s="65" t="n"/>
      <c r="D394" s="165">
        <f>Accounts!K394</f>
        <v/>
      </c>
      <c r="E394" s="166" t="n">
        <v>0.6</v>
      </c>
      <c r="F394" s="167">
        <f>Accounts!K394*E394</f>
        <v/>
      </c>
      <c r="G394" s="166" t="n">
        <v>0.4</v>
      </c>
      <c r="H394" s="167">
        <f>F394*G394</f>
        <v/>
      </c>
      <c r="I394" s="168">
        <f>if(or(eq(Accounts!J394,"No Valet"),eq(Accounts!J394,"Has Valet")), H394 * AVERAGE(Accounts!J$2:J$36),H394*Accounts!J394)</f>
        <v/>
      </c>
      <c r="J394" s="168">
        <f>iferror(I394*360,"")</f>
        <v/>
      </c>
      <c r="K394" s="168">
        <f>J394*0.1</f>
        <v/>
      </c>
    </row>
    <row r="395" ht="54.75" customHeight="1" s="211">
      <c r="A395" s="164">
        <f>Accounts!A395</f>
        <v/>
      </c>
      <c r="B395" s="12" t="n"/>
      <c r="C395" s="65" t="n"/>
      <c r="D395" s="165">
        <f>Accounts!K395</f>
        <v/>
      </c>
      <c r="E395" s="166" t="n">
        <v>0.6</v>
      </c>
      <c r="F395" s="167">
        <f>Accounts!K395*E395</f>
        <v/>
      </c>
      <c r="G395" s="166" t="n">
        <v>0.4</v>
      </c>
      <c r="H395" s="167">
        <f>F395*G395</f>
        <v/>
      </c>
      <c r="I395" s="168">
        <f>if(or(eq(Accounts!J395,"No Valet"),eq(Accounts!J395,"Has Valet")), H395 * AVERAGE(Accounts!J$2:J$36),H395*Accounts!J395)</f>
        <v/>
      </c>
      <c r="J395" s="168">
        <f>iferror(I395*360,"")</f>
        <v/>
      </c>
      <c r="K395" s="168">
        <f>J395*0.1</f>
        <v/>
      </c>
    </row>
    <row r="396" ht="54.75" customHeight="1" s="211">
      <c r="A396" s="164">
        <f>Accounts!A396</f>
        <v/>
      </c>
      <c r="B396" s="12" t="n"/>
      <c r="C396" s="65" t="n"/>
      <c r="D396" s="165">
        <f>Accounts!K396</f>
        <v/>
      </c>
      <c r="E396" s="166" t="n">
        <v>0.6</v>
      </c>
      <c r="F396" s="167">
        <f>Accounts!K396*E396</f>
        <v/>
      </c>
      <c r="G396" s="166" t="n">
        <v>0.4</v>
      </c>
      <c r="H396" s="167">
        <f>F396*G396</f>
        <v/>
      </c>
      <c r="I396" s="168">
        <f>if(or(eq(Accounts!J396,"No Valet"),eq(Accounts!J396,"Has Valet")), H396 * AVERAGE(Accounts!J$2:J$36),H396*Accounts!J396)</f>
        <v/>
      </c>
      <c r="J396" s="168">
        <f>iferror(I396*360,"")</f>
        <v/>
      </c>
      <c r="K396" s="168">
        <f>J396*0.1</f>
        <v/>
      </c>
    </row>
    <row r="397" ht="54.75" customHeight="1" s="211">
      <c r="A397" s="164">
        <f>Accounts!A397</f>
        <v/>
      </c>
      <c r="B397" s="12" t="n"/>
      <c r="C397" s="65" t="n"/>
      <c r="D397" s="165">
        <f>Accounts!K397</f>
        <v/>
      </c>
      <c r="E397" s="166" t="n">
        <v>0.6</v>
      </c>
      <c r="F397" s="167">
        <f>Accounts!K397*E397</f>
        <v/>
      </c>
      <c r="G397" s="166" t="n">
        <v>0.4</v>
      </c>
      <c r="H397" s="167">
        <f>F397*G397</f>
        <v/>
      </c>
      <c r="I397" s="168">
        <f>if(or(eq(Accounts!J397,"No Valet"),eq(Accounts!J397,"Has Valet")), H397 * AVERAGE(Accounts!J$2:J$36),H397*Accounts!J397)</f>
        <v/>
      </c>
      <c r="J397" s="168">
        <f>iferror(I397*360,"")</f>
        <v/>
      </c>
      <c r="K397" s="168">
        <f>J397*0.1</f>
        <v/>
      </c>
    </row>
    <row r="398" ht="54.75" customHeight="1" s="211">
      <c r="A398" s="164">
        <f>Accounts!A398</f>
        <v/>
      </c>
      <c r="B398" s="12" t="n"/>
      <c r="C398" s="65" t="n"/>
      <c r="D398" s="165">
        <f>Accounts!K398</f>
        <v/>
      </c>
      <c r="E398" s="166" t="n">
        <v>0.6</v>
      </c>
      <c r="F398" s="167">
        <f>Accounts!K398*E398</f>
        <v/>
      </c>
      <c r="G398" s="166" t="n">
        <v>0.4</v>
      </c>
      <c r="H398" s="167">
        <f>F398*G398</f>
        <v/>
      </c>
      <c r="I398" s="168">
        <f>if(or(eq(Accounts!J398,"No Valet"),eq(Accounts!J398,"Has Valet")), H398 * AVERAGE(Accounts!J$2:J$36),H398*Accounts!J398)</f>
        <v/>
      </c>
      <c r="J398" s="168">
        <f>iferror(I398*360,"")</f>
        <v/>
      </c>
      <c r="K398" s="168">
        <f>J398*0.1</f>
        <v/>
      </c>
    </row>
    <row r="399" ht="54.75" customHeight="1" s="211">
      <c r="A399" s="164">
        <f>Accounts!A399</f>
        <v/>
      </c>
      <c r="B399" s="12" t="n"/>
      <c r="C399" s="65" t="n"/>
      <c r="D399" s="165">
        <f>Accounts!K399</f>
        <v/>
      </c>
      <c r="E399" s="166" t="n">
        <v>0.6</v>
      </c>
      <c r="F399" s="167">
        <f>Accounts!K399*E399</f>
        <v/>
      </c>
      <c r="G399" s="166" t="n">
        <v>0.4</v>
      </c>
      <c r="H399" s="167">
        <f>F399*G399</f>
        <v/>
      </c>
      <c r="I399" s="168">
        <f>if(or(eq(Accounts!J399,"No Valet"),eq(Accounts!J399,"Has Valet")), H399 * AVERAGE(Accounts!J$2:J$36),H399*Accounts!J399)</f>
        <v/>
      </c>
      <c r="J399" s="168">
        <f>iferror(I399*360,"")</f>
        <v/>
      </c>
      <c r="K399" s="168">
        <f>J399*0.1</f>
        <v/>
      </c>
    </row>
    <row r="400" ht="54.75" customHeight="1" s="211">
      <c r="A400" s="164">
        <f>Accounts!A400</f>
        <v/>
      </c>
      <c r="B400" s="12" t="n"/>
      <c r="C400" s="65" t="n"/>
      <c r="D400" s="165">
        <f>Accounts!K400</f>
        <v/>
      </c>
      <c r="E400" s="166" t="n">
        <v>0.6</v>
      </c>
      <c r="F400" s="167">
        <f>Accounts!K400*E400</f>
        <v/>
      </c>
      <c r="G400" s="166" t="n">
        <v>0.4</v>
      </c>
      <c r="H400" s="167">
        <f>F400*G400</f>
        <v/>
      </c>
      <c r="I400" s="168">
        <f>if(or(eq(Accounts!J400,"No Valet"),eq(Accounts!J400,"Has Valet")), H400 * AVERAGE(Accounts!J$2:J$36),H400*Accounts!J400)</f>
        <v/>
      </c>
      <c r="J400" s="168">
        <f>iferror(I400*360,"")</f>
        <v/>
      </c>
      <c r="K400" s="168">
        <f>J400*0.1</f>
        <v/>
      </c>
    </row>
    <row r="401" ht="54.75" customHeight="1" s="211">
      <c r="A401" s="164">
        <f>Accounts!A401</f>
        <v/>
      </c>
      <c r="B401" s="12" t="n"/>
      <c r="C401" s="65" t="n"/>
      <c r="D401" s="165">
        <f>Accounts!K401</f>
        <v/>
      </c>
      <c r="E401" s="166" t="n">
        <v>0.6</v>
      </c>
      <c r="F401" s="167">
        <f>Accounts!K401*E401</f>
        <v/>
      </c>
      <c r="G401" s="166" t="n">
        <v>0.4</v>
      </c>
      <c r="H401" s="167">
        <f>F401*G401</f>
        <v/>
      </c>
      <c r="I401" s="168">
        <f>if(or(eq(Accounts!J401,"No Valet"),eq(Accounts!J401,"Has Valet")), H401 * AVERAGE(Accounts!J$2:J$36),H401*Accounts!J401)</f>
        <v/>
      </c>
      <c r="J401" s="168">
        <f>iferror(I401*360,"")</f>
        <v/>
      </c>
      <c r="K401" s="168">
        <f>J401*0.1</f>
        <v/>
      </c>
    </row>
    <row r="402" ht="54.75" customHeight="1" s="211">
      <c r="A402" s="164">
        <f>Accounts!A402</f>
        <v/>
      </c>
      <c r="B402" s="12" t="n"/>
      <c r="C402" s="65" t="n"/>
      <c r="D402" s="165">
        <f>Accounts!K402</f>
        <v/>
      </c>
      <c r="E402" s="166" t="n">
        <v>0.6</v>
      </c>
      <c r="F402" s="167">
        <f>Accounts!K402*E402</f>
        <v/>
      </c>
      <c r="G402" s="166" t="n">
        <v>0.4</v>
      </c>
      <c r="H402" s="167">
        <f>F402*G402</f>
        <v/>
      </c>
      <c r="I402" s="168">
        <f>if(or(eq(Accounts!J402,"No Valet"),eq(Accounts!J402,"Has Valet")), H402 * AVERAGE(Accounts!J$2:J$36),H402*Accounts!J402)</f>
        <v/>
      </c>
      <c r="J402" s="168">
        <f>iferror(I402*360,"")</f>
        <v/>
      </c>
      <c r="K402" s="168">
        <f>J402*0.1</f>
        <v/>
      </c>
    </row>
    <row r="403" ht="54.75" customHeight="1" s="211">
      <c r="A403" s="164">
        <f>Accounts!A403</f>
        <v/>
      </c>
      <c r="B403" s="12" t="n"/>
      <c r="C403" s="65" t="n"/>
      <c r="D403" s="165">
        <f>Accounts!K403</f>
        <v/>
      </c>
      <c r="E403" s="166" t="n">
        <v>0.6</v>
      </c>
      <c r="F403" s="167">
        <f>Accounts!K403*E403</f>
        <v/>
      </c>
      <c r="G403" s="166" t="n">
        <v>0.4</v>
      </c>
      <c r="H403" s="167">
        <f>F403*G403</f>
        <v/>
      </c>
      <c r="I403" s="168">
        <f>if(or(eq(Accounts!J403,"No Valet"),eq(Accounts!J403,"Has Valet")), H403 * AVERAGE(Accounts!J$2:J$36),H403*Accounts!J403)</f>
        <v/>
      </c>
      <c r="J403" s="168">
        <f>iferror(I403*360,"")</f>
        <v/>
      </c>
      <c r="K403" s="168">
        <f>J403*0.1</f>
        <v/>
      </c>
    </row>
    <row r="404" ht="54.75" customHeight="1" s="211">
      <c r="A404" s="164">
        <f>Accounts!A404</f>
        <v/>
      </c>
      <c r="B404" s="12" t="n"/>
      <c r="C404" s="65" t="n"/>
      <c r="D404" s="165">
        <f>Accounts!K404</f>
        <v/>
      </c>
      <c r="E404" s="166" t="n">
        <v>0.6</v>
      </c>
      <c r="F404" s="167">
        <f>Accounts!K404*E404</f>
        <v/>
      </c>
      <c r="G404" s="166" t="n">
        <v>0.4</v>
      </c>
      <c r="H404" s="167">
        <f>F404*G404</f>
        <v/>
      </c>
      <c r="I404" s="168">
        <f>if(or(eq(Accounts!J404,"No Valet"),eq(Accounts!J404,"Has Valet")), H404 * AVERAGE(Accounts!J$2:J$36),H404*Accounts!J404)</f>
        <v/>
      </c>
      <c r="J404" s="168">
        <f>iferror(I404*360,"")</f>
        <v/>
      </c>
      <c r="K404" s="168">
        <f>J404*0.1</f>
        <v/>
      </c>
    </row>
    <row r="405" ht="54.75" customHeight="1" s="211">
      <c r="A405" s="164">
        <f>Accounts!A405</f>
        <v/>
      </c>
      <c r="B405" s="12" t="n"/>
      <c r="C405" s="65" t="n"/>
      <c r="D405" s="165">
        <f>Accounts!K405</f>
        <v/>
      </c>
      <c r="E405" s="166" t="n">
        <v>0.6</v>
      </c>
      <c r="F405" s="167">
        <f>Accounts!K405*E405</f>
        <v/>
      </c>
      <c r="G405" s="166" t="n">
        <v>0.4</v>
      </c>
      <c r="H405" s="167">
        <f>F405*G405</f>
        <v/>
      </c>
      <c r="I405" s="168">
        <f>if(or(eq(Accounts!J405,"No Valet"),eq(Accounts!J405,"Has Valet")), H405 * AVERAGE(Accounts!J$2:J$36),H405*Accounts!J405)</f>
        <v/>
      </c>
      <c r="J405" s="168">
        <f>iferror(I405*360,"")</f>
        <v/>
      </c>
      <c r="K405" s="168">
        <f>J405*0.1</f>
        <v/>
      </c>
    </row>
    <row r="406" ht="54.75" customHeight="1" s="211">
      <c r="A406" s="164">
        <f>Accounts!A406</f>
        <v/>
      </c>
      <c r="B406" s="12" t="n"/>
      <c r="C406" s="65" t="n"/>
      <c r="D406" s="165">
        <f>Accounts!K406</f>
        <v/>
      </c>
      <c r="E406" s="166" t="n">
        <v>0.6</v>
      </c>
      <c r="F406" s="167">
        <f>Accounts!K406*E406</f>
        <v/>
      </c>
      <c r="G406" s="166" t="n">
        <v>0.4</v>
      </c>
      <c r="H406" s="167">
        <f>F406*G406</f>
        <v/>
      </c>
      <c r="I406" s="168">
        <f>if(or(eq(Accounts!J406,"No Valet"),eq(Accounts!J406,"Has Valet")), H406 * AVERAGE(Accounts!J$2:J$36),H406*Accounts!J406)</f>
        <v/>
      </c>
      <c r="J406" s="168">
        <f>iferror(I406*360,"")</f>
        <v/>
      </c>
      <c r="K406" s="168">
        <f>J406*0.1</f>
        <v/>
      </c>
    </row>
    <row r="407" ht="54.75" customHeight="1" s="211">
      <c r="A407" s="164">
        <f>Accounts!A407</f>
        <v/>
      </c>
      <c r="B407" s="12" t="n"/>
      <c r="C407" s="65" t="n"/>
      <c r="D407" s="165">
        <f>Accounts!K407</f>
        <v/>
      </c>
      <c r="E407" s="166" t="n">
        <v>0.6</v>
      </c>
      <c r="F407" s="167">
        <f>Accounts!K407*E407</f>
        <v/>
      </c>
      <c r="G407" s="166" t="n">
        <v>0.4</v>
      </c>
      <c r="H407" s="167">
        <f>F407*G407</f>
        <v/>
      </c>
      <c r="I407" s="168">
        <f>if(or(eq(Accounts!J407,"No Valet"),eq(Accounts!J407,"Has Valet")), H407 * AVERAGE(Accounts!J$2:J$36),H407*Accounts!J407)</f>
        <v/>
      </c>
      <c r="J407" s="168">
        <f>iferror(I407*360,"")</f>
        <v/>
      </c>
      <c r="K407" s="168">
        <f>J407*0.1</f>
        <v/>
      </c>
    </row>
    <row r="408" ht="54.75" customHeight="1" s="211">
      <c r="A408" s="164">
        <f>Accounts!A408</f>
        <v/>
      </c>
      <c r="B408" s="12" t="n"/>
      <c r="C408" s="65" t="n"/>
      <c r="D408" s="165">
        <f>Accounts!K408</f>
        <v/>
      </c>
      <c r="E408" s="166" t="n">
        <v>0.6</v>
      </c>
      <c r="F408" s="167">
        <f>Accounts!K408*E408</f>
        <v/>
      </c>
      <c r="G408" s="166" t="n">
        <v>0.4</v>
      </c>
      <c r="H408" s="167">
        <f>F408*G408</f>
        <v/>
      </c>
      <c r="I408" s="168">
        <f>if(or(eq(Accounts!J408,"No Valet"),eq(Accounts!J408,"Has Valet")), H408 * AVERAGE(Accounts!J$2:J$36),H408*Accounts!J408)</f>
        <v/>
      </c>
      <c r="J408" s="168">
        <f>iferror(I408*360,"")</f>
        <v/>
      </c>
      <c r="K408" s="168">
        <f>J408*0.1</f>
        <v/>
      </c>
    </row>
    <row r="409" ht="54.75" customHeight="1" s="211">
      <c r="A409" s="164">
        <f>Accounts!A409</f>
        <v/>
      </c>
      <c r="B409" s="12" t="n"/>
      <c r="C409" s="65" t="n"/>
      <c r="D409" s="165">
        <f>Accounts!K409</f>
        <v/>
      </c>
      <c r="E409" s="166" t="n">
        <v>0.6</v>
      </c>
      <c r="F409" s="167">
        <f>Accounts!K409*E409</f>
        <v/>
      </c>
      <c r="G409" s="166" t="n">
        <v>0.4</v>
      </c>
      <c r="H409" s="167">
        <f>F409*G409</f>
        <v/>
      </c>
      <c r="I409" s="168">
        <f>if(or(eq(Accounts!J409,"No Valet"),eq(Accounts!J409,"Has Valet")), H409 * AVERAGE(Accounts!J$2:J$36),H409*Accounts!J409)</f>
        <v/>
      </c>
      <c r="J409" s="168">
        <f>iferror(I409*360,"")</f>
        <v/>
      </c>
      <c r="K409" s="168">
        <f>J409*0.1</f>
        <v/>
      </c>
    </row>
    <row r="410" ht="54.75" customHeight="1" s="211">
      <c r="A410" s="164">
        <f>Accounts!A410</f>
        <v/>
      </c>
      <c r="B410" s="12" t="n"/>
      <c r="C410" s="65" t="n"/>
      <c r="D410" s="165">
        <f>Accounts!K410</f>
        <v/>
      </c>
      <c r="E410" s="166" t="n">
        <v>0.6</v>
      </c>
      <c r="F410" s="167">
        <f>Accounts!K410*E410</f>
        <v/>
      </c>
      <c r="G410" s="166" t="n">
        <v>0.4</v>
      </c>
      <c r="H410" s="167">
        <f>F410*G410</f>
        <v/>
      </c>
      <c r="I410" s="168">
        <f>if(or(eq(Accounts!J410,"No Valet"),eq(Accounts!J410,"Has Valet")), H410 * AVERAGE(Accounts!J$2:J$36),H410*Accounts!J410)</f>
        <v/>
      </c>
      <c r="J410" s="168">
        <f>iferror(I410*360,"")</f>
        <v/>
      </c>
      <c r="K410" s="168">
        <f>J410*0.1</f>
        <v/>
      </c>
    </row>
    <row r="411" ht="54.75" customHeight="1" s="211">
      <c r="A411" s="164">
        <f>Accounts!A411</f>
        <v/>
      </c>
      <c r="B411" s="12" t="n"/>
      <c r="C411" s="65" t="n"/>
      <c r="D411" s="165">
        <f>Accounts!K411</f>
        <v/>
      </c>
      <c r="E411" s="166" t="n">
        <v>0.6</v>
      </c>
      <c r="F411" s="167">
        <f>Accounts!K411*E411</f>
        <v/>
      </c>
      <c r="G411" s="166" t="n">
        <v>0.4</v>
      </c>
      <c r="H411" s="167">
        <f>F411*G411</f>
        <v/>
      </c>
      <c r="I411" s="168">
        <f>if(or(eq(Accounts!J411,"No Valet"),eq(Accounts!J411,"Has Valet")), H411 * AVERAGE(Accounts!J$2:J$36),H411*Accounts!J411)</f>
        <v/>
      </c>
      <c r="J411" s="168">
        <f>iferror(I411*360,"")</f>
        <v/>
      </c>
      <c r="K411" s="168">
        <f>J411*0.1</f>
        <v/>
      </c>
    </row>
    <row r="412" ht="54.75" customHeight="1" s="211">
      <c r="A412" s="164">
        <f>Accounts!A412</f>
        <v/>
      </c>
      <c r="B412" s="12" t="n"/>
      <c r="C412" s="65" t="n"/>
      <c r="D412" s="165">
        <f>Accounts!K412</f>
        <v/>
      </c>
      <c r="E412" s="166" t="n">
        <v>0.6</v>
      </c>
      <c r="F412" s="167">
        <f>Accounts!K412*E412</f>
        <v/>
      </c>
      <c r="G412" s="166" t="n">
        <v>0.4</v>
      </c>
      <c r="H412" s="167">
        <f>F412*G412</f>
        <v/>
      </c>
      <c r="I412" s="168">
        <f>if(or(eq(Accounts!J412,"No Valet"),eq(Accounts!J412,"Has Valet")), H412 * AVERAGE(Accounts!J$2:J$36),H412*Accounts!J412)</f>
        <v/>
      </c>
      <c r="J412" s="168">
        <f>iferror(I412*360,"")</f>
        <v/>
      </c>
      <c r="K412" s="168">
        <f>J412*0.1</f>
        <v/>
      </c>
    </row>
    <row r="413" ht="54.75" customHeight="1" s="211">
      <c r="A413" s="164">
        <f>Accounts!A413</f>
        <v/>
      </c>
      <c r="B413" s="12" t="n"/>
      <c r="C413" s="65" t="n"/>
      <c r="D413" s="165">
        <f>Accounts!K413</f>
        <v/>
      </c>
      <c r="E413" s="166" t="n">
        <v>0.6</v>
      </c>
      <c r="F413" s="167">
        <f>Accounts!K413*E413</f>
        <v/>
      </c>
      <c r="G413" s="166" t="n">
        <v>0.4</v>
      </c>
      <c r="H413" s="167">
        <f>F413*G413</f>
        <v/>
      </c>
      <c r="I413" s="168">
        <f>if(or(eq(Accounts!J413,"No Valet"),eq(Accounts!J413,"Has Valet")), H413 * AVERAGE(Accounts!J$2:J$36),H413*Accounts!J413)</f>
        <v/>
      </c>
      <c r="J413" s="168">
        <f>iferror(I413*360,"")</f>
        <v/>
      </c>
      <c r="K413" s="168">
        <f>J413*0.1</f>
        <v/>
      </c>
    </row>
    <row r="414" ht="54.75" customHeight="1" s="211">
      <c r="A414" s="164">
        <f>Accounts!A414</f>
        <v/>
      </c>
      <c r="B414" s="12" t="n"/>
      <c r="C414" s="65" t="n"/>
      <c r="D414" s="165">
        <f>Accounts!K414</f>
        <v/>
      </c>
      <c r="E414" s="166" t="n">
        <v>0.6</v>
      </c>
      <c r="F414" s="167">
        <f>Accounts!K414*E414</f>
        <v/>
      </c>
      <c r="G414" s="166" t="n">
        <v>0.4</v>
      </c>
      <c r="H414" s="167">
        <f>F414*G414</f>
        <v/>
      </c>
      <c r="I414" s="168">
        <f>if(or(eq(Accounts!J414,"No Valet"),eq(Accounts!J414,"Has Valet")), H414 * AVERAGE(Accounts!J$2:J$36),H414*Accounts!J414)</f>
        <v/>
      </c>
      <c r="J414" s="168">
        <f>iferror(I414*360,"")</f>
        <v/>
      </c>
      <c r="K414" s="168">
        <f>J414*0.1</f>
        <v/>
      </c>
    </row>
    <row r="415" ht="54.75" customHeight="1" s="211">
      <c r="A415" s="164">
        <f>Accounts!A415</f>
        <v/>
      </c>
      <c r="B415" s="12" t="n"/>
      <c r="C415" s="65" t="n"/>
      <c r="D415" s="165">
        <f>Accounts!K415</f>
        <v/>
      </c>
      <c r="E415" s="166" t="n">
        <v>0.6</v>
      </c>
      <c r="F415" s="167">
        <f>Accounts!K415*E415</f>
        <v/>
      </c>
      <c r="G415" s="166" t="n">
        <v>0.4</v>
      </c>
      <c r="H415" s="167">
        <f>F415*G415</f>
        <v/>
      </c>
      <c r="I415" s="168">
        <f>if(or(eq(Accounts!J415,"No Valet"),eq(Accounts!J415,"Has Valet")), H415 * AVERAGE(Accounts!J$2:J$36),H415*Accounts!J415)</f>
        <v/>
      </c>
      <c r="J415" s="168">
        <f>iferror(I415*360,"")</f>
        <v/>
      </c>
      <c r="K415" s="168">
        <f>J415*0.1</f>
        <v/>
      </c>
    </row>
    <row r="416" ht="54.75" customHeight="1" s="211">
      <c r="A416" s="164">
        <f>Accounts!A416</f>
        <v/>
      </c>
      <c r="B416" s="12" t="n"/>
      <c r="C416" s="65" t="n"/>
      <c r="D416" s="165">
        <f>Accounts!K416</f>
        <v/>
      </c>
      <c r="E416" s="166" t="n">
        <v>0.6</v>
      </c>
      <c r="F416" s="167">
        <f>Accounts!K416*E416</f>
        <v/>
      </c>
      <c r="G416" s="166" t="n">
        <v>0.4</v>
      </c>
      <c r="H416" s="167">
        <f>F416*G416</f>
        <v/>
      </c>
      <c r="I416" s="168">
        <f>if(or(eq(Accounts!J416,"No Valet"),eq(Accounts!J416,"Has Valet")), H416 * AVERAGE(Accounts!J$2:J$36),H416*Accounts!J416)</f>
        <v/>
      </c>
      <c r="J416" s="168">
        <f>iferror(I416*360,"")</f>
        <v/>
      </c>
      <c r="K416" s="168">
        <f>J416*0.1</f>
        <v/>
      </c>
    </row>
    <row r="417" ht="54.75" customHeight="1" s="211">
      <c r="A417" s="164">
        <f>Accounts!A417</f>
        <v/>
      </c>
      <c r="B417" s="12" t="n"/>
      <c r="C417" s="65" t="n"/>
      <c r="D417" s="165">
        <f>Accounts!K417</f>
        <v/>
      </c>
      <c r="E417" s="166" t="n">
        <v>0.6</v>
      </c>
      <c r="F417" s="167">
        <f>Accounts!K417*E417</f>
        <v/>
      </c>
      <c r="G417" s="166" t="n">
        <v>0.4</v>
      </c>
      <c r="H417" s="167">
        <f>F417*G417</f>
        <v/>
      </c>
      <c r="I417" s="168">
        <f>if(or(eq(Accounts!J417,"No Valet"),eq(Accounts!J417,"Has Valet")), H417 * AVERAGE(Accounts!J$2:J$36),H417*Accounts!J417)</f>
        <v/>
      </c>
      <c r="J417" s="168">
        <f>iferror(I417*360,"")</f>
        <v/>
      </c>
      <c r="K417" s="168">
        <f>J417*0.1</f>
        <v/>
      </c>
    </row>
    <row r="418" ht="54.75" customHeight="1" s="211">
      <c r="A418" s="164">
        <f>Accounts!A418</f>
        <v/>
      </c>
      <c r="B418" s="12" t="n"/>
      <c r="C418" s="65" t="n"/>
      <c r="D418" s="165">
        <f>Accounts!K418</f>
        <v/>
      </c>
      <c r="E418" s="166" t="n">
        <v>0.6</v>
      </c>
      <c r="F418" s="167">
        <f>Accounts!K418*E418</f>
        <v/>
      </c>
      <c r="G418" s="166" t="n">
        <v>0.4</v>
      </c>
      <c r="H418" s="167">
        <f>F418*G418</f>
        <v/>
      </c>
      <c r="I418" s="168">
        <f>if(or(eq(Accounts!J418,"No Valet"),eq(Accounts!J418,"Has Valet")), H418 * AVERAGE(Accounts!J$2:J$36),H418*Accounts!J418)</f>
        <v/>
      </c>
      <c r="J418" s="168">
        <f>iferror(I418*360,"")</f>
        <v/>
      </c>
      <c r="K418" s="168">
        <f>J418*0.1</f>
        <v/>
      </c>
    </row>
    <row r="419" ht="54.75" customHeight="1" s="211">
      <c r="A419" s="164">
        <f>Accounts!A419</f>
        <v/>
      </c>
      <c r="B419" s="12" t="n"/>
      <c r="C419" s="65" t="n"/>
      <c r="D419" s="165">
        <f>Accounts!K419</f>
        <v/>
      </c>
      <c r="E419" s="166" t="n">
        <v>0.6</v>
      </c>
      <c r="F419" s="167">
        <f>Accounts!K419*E419</f>
        <v/>
      </c>
      <c r="G419" s="166" t="n">
        <v>0.4</v>
      </c>
      <c r="H419" s="167">
        <f>F419*G419</f>
        <v/>
      </c>
      <c r="I419" s="168">
        <f>if(or(eq(Accounts!J419,"No Valet"),eq(Accounts!J419,"Has Valet")), H419 * AVERAGE(Accounts!J$2:J$36),H419*Accounts!J419)</f>
        <v/>
      </c>
      <c r="J419" s="168">
        <f>iferror(I419*360,"")</f>
        <v/>
      </c>
      <c r="K419" s="168">
        <f>J419*0.1</f>
        <v/>
      </c>
    </row>
    <row r="420" ht="54.75" customHeight="1" s="211">
      <c r="A420" s="164">
        <f>Accounts!A420</f>
        <v/>
      </c>
      <c r="B420" s="12" t="n"/>
      <c r="C420" s="65" t="n"/>
      <c r="D420" s="165">
        <f>Accounts!K420</f>
        <v/>
      </c>
      <c r="E420" s="166" t="n">
        <v>0.6</v>
      </c>
      <c r="F420" s="167">
        <f>Accounts!K420*E420</f>
        <v/>
      </c>
      <c r="G420" s="166" t="n">
        <v>0.4</v>
      </c>
      <c r="H420" s="167">
        <f>F420*G420</f>
        <v/>
      </c>
      <c r="I420" s="168">
        <f>if(or(eq(Accounts!J420,"No Valet"),eq(Accounts!J420,"Has Valet")), H420 * AVERAGE(Accounts!J$2:J$36),H420*Accounts!J420)</f>
        <v/>
      </c>
      <c r="J420" s="168">
        <f>iferror(I420*360,"")</f>
        <v/>
      </c>
      <c r="K420" s="168">
        <f>J420*0.1</f>
        <v/>
      </c>
    </row>
    <row r="421" ht="54.75" customHeight="1" s="211">
      <c r="A421" s="164">
        <f>Accounts!A421</f>
        <v/>
      </c>
      <c r="B421" s="12" t="n"/>
      <c r="C421" s="65" t="n"/>
      <c r="D421" s="165">
        <f>Accounts!K421</f>
        <v/>
      </c>
      <c r="E421" s="166" t="n">
        <v>0.6</v>
      </c>
      <c r="F421" s="167">
        <f>Accounts!K421*E421</f>
        <v/>
      </c>
      <c r="G421" s="166" t="n">
        <v>0.4</v>
      </c>
      <c r="H421" s="167">
        <f>F421*G421</f>
        <v/>
      </c>
      <c r="I421" s="168">
        <f>if(or(eq(Accounts!J421,"No Valet"),eq(Accounts!J421,"Has Valet")), H421 * AVERAGE(Accounts!J$2:J$36),H421*Accounts!J421)</f>
        <v/>
      </c>
      <c r="J421" s="168">
        <f>iferror(I421*360,"")</f>
        <v/>
      </c>
      <c r="K421" s="168">
        <f>J421*0.1</f>
        <v/>
      </c>
    </row>
    <row r="422" ht="54.75" customHeight="1" s="211">
      <c r="A422" s="164">
        <f>Accounts!A422</f>
        <v/>
      </c>
      <c r="B422" s="12" t="n"/>
      <c r="C422" s="65" t="n"/>
      <c r="D422" s="165">
        <f>Accounts!K422</f>
        <v/>
      </c>
      <c r="E422" s="166" t="n">
        <v>0.6</v>
      </c>
      <c r="F422" s="167">
        <f>Accounts!K422*E422</f>
        <v/>
      </c>
      <c r="G422" s="166" t="n">
        <v>0.4</v>
      </c>
      <c r="H422" s="167">
        <f>F422*G422</f>
        <v/>
      </c>
      <c r="I422" s="168">
        <f>if(or(eq(Accounts!J422,"No Valet"),eq(Accounts!J422,"Has Valet")), H422 * AVERAGE(Accounts!J$2:J$36),H422*Accounts!J422)</f>
        <v/>
      </c>
      <c r="J422" s="168">
        <f>iferror(I422*360,"")</f>
        <v/>
      </c>
      <c r="K422" s="168">
        <f>J422*0.1</f>
        <v/>
      </c>
    </row>
    <row r="423" ht="54.75" customHeight="1" s="211">
      <c r="A423" s="164">
        <f>Accounts!A423</f>
        <v/>
      </c>
      <c r="B423" s="12" t="n"/>
      <c r="C423" s="65" t="n"/>
      <c r="D423" s="165">
        <f>Accounts!K423</f>
        <v/>
      </c>
      <c r="E423" s="166" t="n">
        <v>0.6</v>
      </c>
      <c r="F423" s="167">
        <f>Accounts!K423*E423</f>
        <v/>
      </c>
      <c r="G423" s="166" t="n">
        <v>0.4</v>
      </c>
      <c r="H423" s="167">
        <f>F423*G423</f>
        <v/>
      </c>
      <c r="I423" s="168">
        <f>if(or(eq(Accounts!J423,"No Valet"),eq(Accounts!J423,"Has Valet")), H423 * AVERAGE(Accounts!J$2:J$36),H423*Accounts!J423)</f>
        <v/>
      </c>
      <c r="J423" s="168">
        <f>iferror(I423*360,"")</f>
        <v/>
      </c>
      <c r="K423" s="168">
        <f>J423*0.1</f>
        <v/>
      </c>
    </row>
    <row r="424" ht="54.75" customHeight="1" s="211">
      <c r="A424" s="164">
        <f>Accounts!A424</f>
        <v/>
      </c>
      <c r="B424" s="12" t="n"/>
      <c r="C424" s="65" t="n"/>
      <c r="D424" s="165">
        <f>Accounts!K424</f>
        <v/>
      </c>
      <c r="E424" s="166" t="n">
        <v>0.6</v>
      </c>
      <c r="F424" s="167">
        <f>Accounts!K424*E424</f>
        <v/>
      </c>
      <c r="G424" s="166" t="n">
        <v>0.4</v>
      </c>
      <c r="H424" s="167">
        <f>F424*G424</f>
        <v/>
      </c>
      <c r="I424" s="168">
        <f>if(or(eq(Accounts!J424,"No Valet"),eq(Accounts!J424,"Has Valet")), H424 * AVERAGE(Accounts!J$2:J$36),H424*Accounts!J424)</f>
        <v/>
      </c>
      <c r="J424" s="168">
        <f>iferror(I424*360,"")</f>
        <v/>
      </c>
      <c r="K424" s="168">
        <f>J424*0.1</f>
        <v/>
      </c>
    </row>
    <row r="425" ht="54.75" customHeight="1" s="211">
      <c r="A425" s="164">
        <f>Accounts!A425</f>
        <v/>
      </c>
      <c r="B425" s="12" t="n"/>
      <c r="C425" s="65" t="n"/>
      <c r="D425" s="165">
        <f>Accounts!K425</f>
        <v/>
      </c>
      <c r="E425" s="166" t="n">
        <v>0.6</v>
      </c>
      <c r="F425" s="167">
        <f>Accounts!K425*E425</f>
        <v/>
      </c>
      <c r="G425" s="166" t="n">
        <v>0.4</v>
      </c>
      <c r="H425" s="167">
        <f>F425*G425</f>
        <v/>
      </c>
      <c r="I425" s="168">
        <f>if(or(eq(Accounts!J425,"No Valet"),eq(Accounts!J425,"Has Valet")), H425 * AVERAGE(Accounts!J$2:J$36),H425*Accounts!J425)</f>
        <v/>
      </c>
      <c r="J425" s="168">
        <f>iferror(I425*360,"")</f>
        <v/>
      </c>
      <c r="K425" s="168">
        <f>J425*0.1</f>
        <v/>
      </c>
    </row>
    <row r="426" ht="54.75" customHeight="1" s="211">
      <c r="A426" s="164">
        <f>Accounts!A426</f>
        <v/>
      </c>
      <c r="B426" s="12" t="n"/>
      <c r="C426" s="65" t="n"/>
      <c r="D426" s="165">
        <f>Accounts!K426</f>
        <v/>
      </c>
      <c r="E426" s="166" t="n">
        <v>0.6</v>
      </c>
      <c r="F426" s="167">
        <f>Accounts!K426*E426</f>
        <v/>
      </c>
      <c r="G426" s="166" t="n">
        <v>0.4</v>
      </c>
      <c r="H426" s="167">
        <f>F426*G426</f>
        <v/>
      </c>
      <c r="I426" s="168">
        <f>if(or(eq(Accounts!J426,"No Valet"),eq(Accounts!J426,"Has Valet")), H426 * AVERAGE(Accounts!J$2:J$36),H426*Accounts!J426)</f>
        <v/>
      </c>
      <c r="J426" s="168">
        <f>iferror(I426*360,"")</f>
        <v/>
      </c>
      <c r="K426" s="168">
        <f>J426*0.1</f>
        <v/>
      </c>
    </row>
    <row r="427" ht="54.75" customHeight="1" s="211">
      <c r="A427" s="164">
        <f>Accounts!A427</f>
        <v/>
      </c>
      <c r="B427" s="12" t="n"/>
      <c r="C427" s="65" t="n"/>
      <c r="D427" s="165">
        <f>Accounts!K427</f>
        <v/>
      </c>
      <c r="E427" s="166" t="n">
        <v>0.6</v>
      </c>
      <c r="F427" s="167">
        <f>Accounts!K427*E427</f>
        <v/>
      </c>
      <c r="G427" s="166" t="n">
        <v>0.4</v>
      </c>
      <c r="H427" s="167">
        <f>F427*G427</f>
        <v/>
      </c>
      <c r="I427" s="168">
        <f>if(or(eq(Accounts!J427,"No Valet"),eq(Accounts!J427,"Has Valet")), H427 * AVERAGE(Accounts!J$2:J$36),H427*Accounts!J427)</f>
        <v/>
      </c>
      <c r="J427" s="168">
        <f>iferror(I427*360,"")</f>
        <v/>
      </c>
      <c r="K427" s="168">
        <f>J427*0.1</f>
        <v/>
      </c>
    </row>
    <row r="428" ht="54.75" customHeight="1" s="211">
      <c r="A428" s="164">
        <f>Accounts!A428</f>
        <v/>
      </c>
      <c r="B428" s="12" t="n"/>
      <c r="C428" s="65" t="n"/>
      <c r="D428" s="165">
        <f>Accounts!K428</f>
        <v/>
      </c>
      <c r="E428" s="166" t="n">
        <v>0.6</v>
      </c>
      <c r="F428" s="167">
        <f>Accounts!K428*E428</f>
        <v/>
      </c>
      <c r="G428" s="166" t="n">
        <v>0.4</v>
      </c>
      <c r="H428" s="167">
        <f>F428*G428</f>
        <v/>
      </c>
      <c r="I428" s="168">
        <f>if(or(eq(Accounts!J428,"No Valet"),eq(Accounts!J428,"Has Valet")), H428 * AVERAGE(Accounts!J$2:J$36),H428*Accounts!J428)</f>
        <v/>
      </c>
      <c r="J428" s="168">
        <f>iferror(I428*360,"")</f>
        <v/>
      </c>
      <c r="K428" s="168">
        <f>J428*0.1</f>
        <v/>
      </c>
    </row>
    <row r="429" ht="54.75" customHeight="1" s="211">
      <c r="A429" s="164">
        <f>Accounts!A429</f>
        <v/>
      </c>
      <c r="B429" s="12" t="n"/>
      <c r="C429" s="65" t="n"/>
      <c r="D429" s="165">
        <f>Accounts!K429</f>
        <v/>
      </c>
      <c r="E429" s="166" t="n">
        <v>0.6</v>
      </c>
      <c r="F429" s="167">
        <f>Accounts!K429*E429</f>
        <v/>
      </c>
      <c r="G429" s="166" t="n">
        <v>0.4</v>
      </c>
      <c r="H429" s="167">
        <f>F429*G429</f>
        <v/>
      </c>
      <c r="I429" s="168">
        <f>if(or(eq(Accounts!J429,"No Valet"),eq(Accounts!J429,"Has Valet")), H429 * AVERAGE(Accounts!J$2:J$36),H429*Accounts!J429)</f>
        <v/>
      </c>
      <c r="J429" s="168">
        <f>iferror(I429*360,"")</f>
        <v/>
      </c>
      <c r="K429" s="168">
        <f>J429*0.1</f>
        <v/>
      </c>
    </row>
    <row r="430" ht="54.75" customHeight="1" s="211">
      <c r="A430" s="164">
        <f>Accounts!A430</f>
        <v/>
      </c>
      <c r="B430" s="12" t="n"/>
      <c r="C430" s="65" t="n"/>
      <c r="D430" s="165">
        <f>Accounts!K430</f>
        <v/>
      </c>
      <c r="E430" s="166" t="n">
        <v>0.6</v>
      </c>
      <c r="F430" s="167">
        <f>Accounts!K430*E430</f>
        <v/>
      </c>
      <c r="G430" s="166" t="n">
        <v>0.4</v>
      </c>
      <c r="H430" s="167">
        <f>F430*G430</f>
        <v/>
      </c>
      <c r="I430" s="168">
        <f>if(or(eq(Accounts!J430,"No Valet"),eq(Accounts!J430,"Has Valet")), H430 * AVERAGE(Accounts!J$2:J$36),H430*Accounts!J430)</f>
        <v/>
      </c>
      <c r="J430" s="168">
        <f>iferror(I430*360,"")</f>
        <v/>
      </c>
      <c r="K430" s="168">
        <f>J430*0.1</f>
        <v/>
      </c>
    </row>
    <row r="431" ht="54.75" customHeight="1" s="211">
      <c r="A431" s="164">
        <f>Accounts!A431</f>
        <v/>
      </c>
      <c r="B431" s="12" t="n"/>
      <c r="C431" s="65" t="n"/>
      <c r="D431" s="165">
        <f>Accounts!K431</f>
        <v/>
      </c>
      <c r="E431" s="166" t="n">
        <v>0.6</v>
      </c>
      <c r="F431" s="167">
        <f>Accounts!K431*E431</f>
        <v/>
      </c>
      <c r="G431" s="166" t="n">
        <v>0.4</v>
      </c>
      <c r="H431" s="167">
        <f>F431*G431</f>
        <v/>
      </c>
      <c r="I431" s="168">
        <f>if(or(eq(Accounts!J431,"No Valet"),eq(Accounts!J431,"Has Valet")), H431 * AVERAGE(Accounts!J$2:J$36),H431*Accounts!J431)</f>
        <v/>
      </c>
      <c r="J431" s="168">
        <f>iferror(I431*360,"")</f>
        <v/>
      </c>
      <c r="K431" s="168">
        <f>J431*0.1</f>
        <v/>
      </c>
    </row>
    <row r="432" ht="54.75" customHeight="1" s="211">
      <c r="A432" s="164">
        <f>Accounts!A432</f>
        <v/>
      </c>
      <c r="B432" s="12" t="n"/>
      <c r="C432" s="65" t="n"/>
      <c r="D432" s="165">
        <f>Accounts!K432</f>
        <v/>
      </c>
      <c r="E432" s="166" t="n">
        <v>0.6</v>
      </c>
      <c r="F432" s="167">
        <f>Accounts!K432*E432</f>
        <v/>
      </c>
      <c r="G432" s="166" t="n">
        <v>0.4</v>
      </c>
      <c r="H432" s="167">
        <f>F432*G432</f>
        <v/>
      </c>
      <c r="I432" s="168">
        <f>if(or(eq(Accounts!J432,"No Valet"),eq(Accounts!J432,"Has Valet")), H432 * AVERAGE(Accounts!J$2:J$36),H432*Accounts!J432)</f>
        <v/>
      </c>
      <c r="J432" s="168">
        <f>iferror(I432*360,"")</f>
        <v/>
      </c>
      <c r="K432" s="168">
        <f>J432*0.1</f>
        <v/>
      </c>
    </row>
    <row r="433" ht="54.75" customHeight="1" s="211">
      <c r="A433" s="164">
        <f>Accounts!A433</f>
        <v/>
      </c>
      <c r="B433" s="12" t="n"/>
      <c r="C433" s="65" t="n"/>
      <c r="D433" s="165">
        <f>Accounts!K433</f>
        <v/>
      </c>
      <c r="E433" s="166" t="n">
        <v>0.6</v>
      </c>
      <c r="F433" s="167">
        <f>Accounts!K433*E433</f>
        <v/>
      </c>
      <c r="G433" s="166" t="n">
        <v>0.4</v>
      </c>
      <c r="H433" s="167">
        <f>F433*G433</f>
        <v/>
      </c>
      <c r="I433" s="168">
        <f>if(or(eq(Accounts!J433,"No Valet"),eq(Accounts!J433,"Has Valet")), H433 * AVERAGE(Accounts!J$2:J$36),H433*Accounts!J433)</f>
        <v/>
      </c>
      <c r="J433" s="168">
        <f>iferror(I433*360,"")</f>
        <v/>
      </c>
      <c r="K433" s="168">
        <f>J433*0.1</f>
        <v/>
      </c>
    </row>
    <row r="434" ht="54.75" customHeight="1" s="211">
      <c r="A434" s="164">
        <f>Accounts!A434</f>
        <v/>
      </c>
      <c r="B434" s="12" t="n"/>
      <c r="C434" s="65" t="n"/>
      <c r="D434" s="165">
        <f>Accounts!K434</f>
        <v/>
      </c>
      <c r="E434" s="166" t="n">
        <v>0.6</v>
      </c>
      <c r="F434" s="167">
        <f>Accounts!K434*E434</f>
        <v/>
      </c>
      <c r="G434" s="166" t="n">
        <v>0.4</v>
      </c>
      <c r="H434" s="167">
        <f>F434*G434</f>
        <v/>
      </c>
      <c r="I434" s="168">
        <f>if(or(eq(Accounts!J434,"No Valet"),eq(Accounts!J434,"Has Valet")), H434 * AVERAGE(Accounts!J$2:J$36),H434*Accounts!J434)</f>
        <v/>
      </c>
      <c r="J434" s="168">
        <f>iferror(I434*360,"")</f>
        <v/>
      </c>
      <c r="K434" s="168">
        <f>J434*0.1</f>
        <v/>
      </c>
    </row>
    <row r="435" ht="54.75" customHeight="1" s="211">
      <c r="A435" s="164">
        <f>Accounts!A435</f>
        <v/>
      </c>
      <c r="B435" s="12" t="n"/>
      <c r="C435" s="65" t="n"/>
      <c r="D435" s="165">
        <f>Accounts!K435</f>
        <v/>
      </c>
      <c r="E435" s="166" t="n">
        <v>0.6</v>
      </c>
      <c r="F435" s="167">
        <f>Accounts!K435*E435</f>
        <v/>
      </c>
      <c r="G435" s="166" t="n">
        <v>0.4</v>
      </c>
      <c r="H435" s="167">
        <f>F435*G435</f>
        <v/>
      </c>
      <c r="I435" s="168">
        <f>if(or(eq(Accounts!J435,"No Valet"),eq(Accounts!J435,"Has Valet")), H435 * AVERAGE(Accounts!J$2:J$36),H435*Accounts!J435)</f>
        <v/>
      </c>
      <c r="J435" s="168">
        <f>iferror(I435*360,"")</f>
        <v/>
      </c>
      <c r="K435" s="168">
        <f>J435*0.1</f>
        <v/>
      </c>
    </row>
    <row r="436" ht="54.75" customHeight="1" s="211">
      <c r="A436" s="164">
        <f>Accounts!A436</f>
        <v/>
      </c>
      <c r="B436" s="12" t="n"/>
      <c r="C436" s="65" t="n"/>
      <c r="D436" s="165">
        <f>Accounts!K436</f>
        <v/>
      </c>
      <c r="E436" s="166" t="n">
        <v>0.6</v>
      </c>
      <c r="F436" s="167">
        <f>Accounts!K436*E436</f>
        <v/>
      </c>
      <c r="G436" s="166" t="n">
        <v>0.4</v>
      </c>
      <c r="H436" s="167">
        <f>F436*G436</f>
        <v/>
      </c>
      <c r="I436" s="168">
        <f>if(or(eq(Accounts!J436,"No Valet"),eq(Accounts!J436,"Has Valet")), H436 * AVERAGE(Accounts!J$2:J$36),H436*Accounts!J436)</f>
        <v/>
      </c>
      <c r="J436" s="168">
        <f>iferror(I436*360,"")</f>
        <v/>
      </c>
      <c r="K436" s="168">
        <f>J436*0.1</f>
        <v/>
      </c>
    </row>
    <row r="437" ht="54.75" customHeight="1" s="211">
      <c r="A437" s="164">
        <f>Accounts!A437</f>
        <v/>
      </c>
      <c r="B437" s="12" t="n"/>
      <c r="C437" s="65" t="n"/>
      <c r="D437" s="165">
        <f>Accounts!K437</f>
        <v/>
      </c>
      <c r="E437" s="166" t="n">
        <v>0.6</v>
      </c>
      <c r="F437" s="167">
        <f>Accounts!K437*E437</f>
        <v/>
      </c>
      <c r="G437" s="166" t="n">
        <v>0.4</v>
      </c>
      <c r="H437" s="167">
        <f>F437*G437</f>
        <v/>
      </c>
      <c r="I437" s="168">
        <f>if(or(eq(Accounts!J437,"No Valet"),eq(Accounts!J437,"Has Valet")), H437 * AVERAGE(Accounts!J$2:J$36),H437*Accounts!J437)</f>
        <v/>
      </c>
      <c r="J437" s="168">
        <f>iferror(I437*360,"")</f>
        <v/>
      </c>
      <c r="K437" s="168">
        <f>J437*0.1</f>
        <v/>
      </c>
    </row>
    <row r="438" ht="54.75" customHeight="1" s="211">
      <c r="A438" s="164">
        <f>Accounts!A438</f>
        <v/>
      </c>
      <c r="B438" s="12" t="n"/>
      <c r="C438" s="65" t="n"/>
      <c r="D438" s="165">
        <f>Accounts!K438</f>
        <v/>
      </c>
      <c r="E438" s="166" t="n">
        <v>0.6</v>
      </c>
      <c r="F438" s="167">
        <f>Accounts!K438*E438</f>
        <v/>
      </c>
      <c r="G438" s="166" t="n">
        <v>0.4</v>
      </c>
      <c r="H438" s="167">
        <f>F438*G438</f>
        <v/>
      </c>
      <c r="I438" s="168">
        <f>if(or(eq(Accounts!J438,"No Valet"),eq(Accounts!J438,"Has Valet")), H438 * AVERAGE(Accounts!J$2:J$36),H438*Accounts!J438)</f>
        <v/>
      </c>
      <c r="J438" s="168">
        <f>iferror(I438*360,"")</f>
        <v/>
      </c>
      <c r="K438" s="168">
        <f>J438*0.1</f>
        <v/>
      </c>
    </row>
    <row r="439" ht="54.75" customHeight="1" s="211">
      <c r="A439" s="164">
        <f>Accounts!A439</f>
        <v/>
      </c>
      <c r="B439" s="12" t="n"/>
      <c r="C439" s="65" t="n"/>
      <c r="D439" s="165">
        <f>Accounts!K439</f>
        <v/>
      </c>
      <c r="E439" s="166" t="n">
        <v>0.6</v>
      </c>
      <c r="F439" s="167">
        <f>Accounts!K439*E439</f>
        <v/>
      </c>
      <c r="G439" s="166" t="n">
        <v>0.4</v>
      </c>
      <c r="H439" s="167">
        <f>F439*G439</f>
        <v/>
      </c>
      <c r="I439" s="168">
        <f>if(or(eq(Accounts!J439,"No Valet"),eq(Accounts!J439,"Has Valet")), H439 * AVERAGE(Accounts!J$2:J$36),H439*Accounts!J439)</f>
        <v/>
      </c>
      <c r="J439" s="168">
        <f>iferror(I439*360,"")</f>
        <v/>
      </c>
      <c r="K439" s="168">
        <f>J439*0.1</f>
        <v/>
      </c>
    </row>
    <row r="440" ht="54.75" customHeight="1" s="211">
      <c r="A440" s="164">
        <f>Accounts!A440</f>
        <v/>
      </c>
      <c r="B440" s="12" t="n"/>
      <c r="C440" s="65" t="n"/>
      <c r="D440" s="165">
        <f>Accounts!K440</f>
        <v/>
      </c>
      <c r="E440" s="166" t="n">
        <v>0.6</v>
      </c>
      <c r="F440" s="167">
        <f>Accounts!K440*E440</f>
        <v/>
      </c>
      <c r="G440" s="166" t="n">
        <v>0.4</v>
      </c>
      <c r="H440" s="167">
        <f>F440*G440</f>
        <v/>
      </c>
      <c r="I440" s="168">
        <f>if(or(eq(Accounts!J440,"No Valet"),eq(Accounts!J440,"Has Valet")), H440 * AVERAGE(Accounts!J$2:J$36),H440*Accounts!J440)</f>
        <v/>
      </c>
      <c r="J440" s="168">
        <f>iferror(I440*360,"")</f>
        <v/>
      </c>
      <c r="K440" s="168">
        <f>J440*0.1</f>
        <v/>
      </c>
    </row>
    <row r="441" ht="54.75" customHeight="1" s="211">
      <c r="A441" s="164">
        <f>Accounts!A441</f>
        <v/>
      </c>
      <c r="B441" s="12" t="n"/>
      <c r="C441" s="65" t="n"/>
      <c r="D441" s="165">
        <f>Accounts!K441</f>
        <v/>
      </c>
      <c r="E441" s="166" t="n">
        <v>0.6</v>
      </c>
      <c r="F441" s="167">
        <f>Accounts!K441*E441</f>
        <v/>
      </c>
      <c r="G441" s="166" t="n">
        <v>0.4</v>
      </c>
      <c r="H441" s="167">
        <f>F441*G441</f>
        <v/>
      </c>
      <c r="I441" s="168">
        <f>if(or(eq(Accounts!J441,"No Valet"),eq(Accounts!J441,"Has Valet")), H441 * AVERAGE(Accounts!J$2:J$36),H441*Accounts!J441)</f>
        <v/>
      </c>
      <c r="J441" s="168">
        <f>iferror(I441*360,"")</f>
        <v/>
      </c>
      <c r="K441" s="168">
        <f>J441*0.1</f>
        <v/>
      </c>
    </row>
    <row r="442" ht="54.75" customHeight="1" s="211">
      <c r="A442" s="164">
        <f>Accounts!A442</f>
        <v/>
      </c>
      <c r="B442" s="12" t="n"/>
      <c r="C442" s="65" t="n"/>
      <c r="D442" s="165">
        <f>Accounts!K442</f>
        <v/>
      </c>
      <c r="E442" s="166" t="n">
        <v>0.6</v>
      </c>
      <c r="F442" s="167">
        <f>Accounts!K442*E442</f>
        <v/>
      </c>
      <c r="G442" s="166" t="n">
        <v>0.4</v>
      </c>
      <c r="H442" s="167">
        <f>F442*G442</f>
        <v/>
      </c>
      <c r="I442" s="168">
        <f>if(or(eq(Accounts!J442,"No Valet"),eq(Accounts!J442,"Has Valet")), H442 * AVERAGE(Accounts!J$2:J$36),H442*Accounts!J442)</f>
        <v/>
      </c>
      <c r="J442" s="168">
        <f>iferror(I442*360,"")</f>
        <v/>
      </c>
      <c r="K442" s="168">
        <f>J442*0.1</f>
        <v/>
      </c>
    </row>
    <row r="443" ht="54.75" customHeight="1" s="211">
      <c r="A443" s="164">
        <f>Accounts!A443</f>
        <v/>
      </c>
      <c r="B443" s="12" t="n"/>
      <c r="C443" s="65" t="n"/>
      <c r="D443" s="165">
        <f>Accounts!K443</f>
        <v/>
      </c>
      <c r="E443" s="166" t="n">
        <v>0.6</v>
      </c>
      <c r="F443" s="167">
        <f>Accounts!K443*E443</f>
        <v/>
      </c>
      <c r="G443" s="166" t="n">
        <v>0.4</v>
      </c>
      <c r="H443" s="167">
        <f>F443*G443</f>
        <v/>
      </c>
      <c r="I443" s="168">
        <f>if(or(eq(Accounts!J443,"No Valet"),eq(Accounts!J443,"Has Valet")), H443 * AVERAGE(Accounts!J$2:J$36),H443*Accounts!J443)</f>
        <v/>
      </c>
      <c r="J443" s="168">
        <f>iferror(I443*360,"")</f>
        <v/>
      </c>
      <c r="K443" s="168">
        <f>J443*0.1</f>
        <v/>
      </c>
    </row>
    <row r="444" ht="54.75" customHeight="1" s="211">
      <c r="A444" s="164">
        <f>Accounts!A444</f>
        <v/>
      </c>
      <c r="B444" s="12" t="n"/>
      <c r="C444" s="65" t="n"/>
      <c r="D444" s="165">
        <f>Accounts!K444</f>
        <v/>
      </c>
      <c r="E444" s="166" t="n">
        <v>0.6</v>
      </c>
      <c r="F444" s="167">
        <f>Accounts!K444*E444</f>
        <v/>
      </c>
      <c r="G444" s="166" t="n">
        <v>0.4</v>
      </c>
      <c r="H444" s="167">
        <f>F444*G444</f>
        <v/>
      </c>
      <c r="I444" s="168">
        <f>if(or(eq(Accounts!J444,"No Valet"),eq(Accounts!J444,"Has Valet")), H444 * AVERAGE(Accounts!J$2:J$36),H444*Accounts!J444)</f>
        <v/>
      </c>
      <c r="J444" s="168">
        <f>iferror(I444*360,"")</f>
        <v/>
      </c>
      <c r="K444" s="168">
        <f>J444*0.1</f>
        <v/>
      </c>
    </row>
    <row r="445" ht="54.75" customHeight="1" s="211">
      <c r="A445" s="164">
        <f>Accounts!A445</f>
        <v/>
      </c>
      <c r="B445" s="12" t="n"/>
      <c r="C445" s="65" t="n"/>
      <c r="D445" s="165">
        <f>Accounts!K445</f>
        <v/>
      </c>
      <c r="E445" s="166" t="n">
        <v>0.6</v>
      </c>
      <c r="F445" s="167">
        <f>Accounts!K445*E445</f>
        <v/>
      </c>
      <c r="G445" s="166" t="n">
        <v>0.4</v>
      </c>
      <c r="H445" s="167">
        <f>F445*G445</f>
        <v/>
      </c>
      <c r="I445" s="168">
        <f>if(or(eq(Accounts!J445,"No Valet"),eq(Accounts!J445,"Has Valet")), H445 * AVERAGE(Accounts!J$2:J$36),H445*Accounts!J445)</f>
        <v/>
      </c>
      <c r="J445" s="168">
        <f>iferror(I445*360,"")</f>
        <v/>
      </c>
      <c r="K445" s="168">
        <f>J445*0.1</f>
        <v/>
      </c>
    </row>
    <row r="446" ht="54.75" customHeight="1" s="211">
      <c r="A446" s="164">
        <f>Accounts!A446</f>
        <v/>
      </c>
      <c r="B446" s="12" t="n"/>
      <c r="C446" s="65" t="n"/>
      <c r="D446" s="165">
        <f>Accounts!K446</f>
        <v/>
      </c>
      <c r="E446" s="166" t="n">
        <v>0.6</v>
      </c>
      <c r="F446" s="167">
        <f>Accounts!K446*E446</f>
        <v/>
      </c>
      <c r="G446" s="166" t="n">
        <v>0.4</v>
      </c>
      <c r="H446" s="167">
        <f>F446*G446</f>
        <v/>
      </c>
      <c r="I446" s="168">
        <f>if(or(eq(Accounts!J446,"No Valet"),eq(Accounts!J446,"Has Valet")), H446 * AVERAGE(Accounts!J$2:J$36),H446*Accounts!J446)</f>
        <v/>
      </c>
      <c r="J446" s="168">
        <f>iferror(I446*360,"")</f>
        <v/>
      </c>
      <c r="K446" s="168">
        <f>J446*0.1</f>
        <v/>
      </c>
    </row>
    <row r="447" ht="54.75" customHeight="1" s="211">
      <c r="A447" s="164">
        <f>Accounts!A447</f>
        <v/>
      </c>
      <c r="B447" s="12" t="n"/>
      <c r="C447" s="65" t="n"/>
      <c r="D447" s="165">
        <f>Accounts!K447</f>
        <v/>
      </c>
      <c r="E447" s="166" t="n">
        <v>0.6</v>
      </c>
      <c r="F447" s="167">
        <f>Accounts!K447*E447</f>
        <v/>
      </c>
      <c r="G447" s="166" t="n">
        <v>0.4</v>
      </c>
      <c r="H447" s="167">
        <f>F447*G447</f>
        <v/>
      </c>
      <c r="I447" s="168">
        <f>if(or(eq(Accounts!J447,"No Valet"),eq(Accounts!J447,"Has Valet")), H447 * AVERAGE(Accounts!J$2:J$36),H447*Accounts!J447)</f>
        <v/>
      </c>
      <c r="J447" s="168">
        <f>iferror(I447*360,"")</f>
        <v/>
      </c>
      <c r="K447" s="168">
        <f>J447*0.1</f>
        <v/>
      </c>
    </row>
    <row r="448" ht="54.75" customHeight="1" s="211">
      <c r="A448" s="164">
        <f>Accounts!A448</f>
        <v/>
      </c>
      <c r="B448" s="12" t="n"/>
      <c r="C448" s="65" t="n"/>
      <c r="D448" s="165">
        <f>Accounts!K448</f>
        <v/>
      </c>
      <c r="E448" s="166" t="n">
        <v>0.6</v>
      </c>
      <c r="F448" s="167">
        <f>Accounts!K448*E448</f>
        <v/>
      </c>
      <c r="G448" s="166" t="n">
        <v>0.4</v>
      </c>
      <c r="H448" s="167">
        <f>F448*G448</f>
        <v/>
      </c>
      <c r="I448" s="168">
        <f>if(or(eq(Accounts!J448,"No Valet"),eq(Accounts!J448,"Has Valet")), H448 * AVERAGE(Accounts!J$2:J$36),H448*Accounts!J448)</f>
        <v/>
      </c>
      <c r="J448" s="168">
        <f>iferror(I448*360,"")</f>
        <v/>
      </c>
      <c r="K448" s="168">
        <f>J448*0.1</f>
        <v/>
      </c>
    </row>
    <row r="449" ht="54.75" customHeight="1" s="211">
      <c r="A449" s="164">
        <f>Accounts!A449</f>
        <v/>
      </c>
      <c r="B449" s="12" t="n"/>
      <c r="C449" s="65" t="n"/>
      <c r="D449" s="165">
        <f>Accounts!K449</f>
        <v/>
      </c>
      <c r="E449" s="166" t="n">
        <v>0.6</v>
      </c>
      <c r="F449" s="167">
        <f>Accounts!K449*E449</f>
        <v/>
      </c>
      <c r="G449" s="166" t="n">
        <v>0.4</v>
      </c>
      <c r="H449" s="167">
        <f>F449*G449</f>
        <v/>
      </c>
      <c r="I449" s="168">
        <f>if(or(eq(Accounts!J449,"No Valet"),eq(Accounts!J449,"Has Valet")), H449 * AVERAGE(Accounts!J$2:J$36),H449*Accounts!J449)</f>
        <v/>
      </c>
      <c r="J449" s="168">
        <f>iferror(I449*360,"")</f>
        <v/>
      </c>
      <c r="K449" s="168">
        <f>J449*0.1</f>
        <v/>
      </c>
    </row>
    <row r="450" ht="54.75" customHeight="1" s="211">
      <c r="A450" s="164">
        <f>Accounts!A450</f>
        <v/>
      </c>
      <c r="B450" s="12" t="n"/>
      <c r="C450" s="65" t="n"/>
      <c r="D450" s="165">
        <f>Accounts!K450</f>
        <v/>
      </c>
      <c r="E450" s="166" t="n">
        <v>0.6</v>
      </c>
      <c r="F450" s="167">
        <f>Accounts!K450*E450</f>
        <v/>
      </c>
      <c r="G450" s="166" t="n">
        <v>0.4</v>
      </c>
      <c r="H450" s="167">
        <f>F450*G450</f>
        <v/>
      </c>
      <c r="I450" s="168">
        <f>if(or(eq(Accounts!J450,"No Valet"),eq(Accounts!J450,"Has Valet")), H450 * AVERAGE(Accounts!J$2:J$36),H450*Accounts!J450)</f>
        <v/>
      </c>
      <c r="J450" s="168">
        <f>iferror(I450*360,"")</f>
        <v/>
      </c>
      <c r="K450" s="168">
        <f>J450*0.1</f>
        <v/>
      </c>
    </row>
    <row r="451" ht="54.75" customHeight="1" s="211">
      <c r="A451" s="164">
        <f>Accounts!A451</f>
        <v/>
      </c>
      <c r="B451" s="12" t="n"/>
      <c r="C451" s="65" t="n"/>
      <c r="D451" s="165">
        <f>Accounts!K451</f>
        <v/>
      </c>
      <c r="E451" s="166" t="n">
        <v>0.6</v>
      </c>
      <c r="F451" s="167">
        <f>Accounts!K451*E451</f>
        <v/>
      </c>
      <c r="G451" s="166" t="n">
        <v>0.4</v>
      </c>
      <c r="H451" s="167">
        <f>F451*G451</f>
        <v/>
      </c>
      <c r="I451" s="168">
        <f>if(or(eq(Accounts!J451,"No Valet"),eq(Accounts!J451,"Has Valet")), H451 * AVERAGE(Accounts!J$2:J$36),H451*Accounts!J451)</f>
        <v/>
      </c>
      <c r="J451" s="168">
        <f>iferror(I451*360,"")</f>
        <v/>
      </c>
      <c r="K451" s="168">
        <f>J451*0.1</f>
        <v/>
      </c>
    </row>
    <row r="452" ht="54.75" customHeight="1" s="211">
      <c r="A452" s="164">
        <f>Accounts!A452</f>
        <v/>
      </c>
      <c r="B452" s="12" t="n"/>
      <c r="C452" s="65" t="n"/>
      <c r="D452" s="165">
        <f>Accounts!K452</f>
        <v/>
      </c>
      <c r="E452" s="166" t="n">
        <v>0.6</v>
      </c>
      <c r="F452" s="167">
        <f>Accounts!K452*E452</f>
        <v/>
      </c>
      <c r="G452" s="166" t="n">
        <v>0.4</v>
      </c>
      <c r="H452" s="167">
        <f>F452*G452</f>
        <v/>
      </c>
      <c r="I452" s="168">
        <f>if(or(eq(Accounts!J452,"No Valet"),eq(Accounts!J452,"Has Valet")), H452 * AVERAGE(Accounts!J$2:J$36),H452*Accounts!J452)</f>
        <v/>
      </c>
      <c r="J452" s="168">
        <f>iferror(I452*360,"")</f>
        <v/>
      </c>
      <c r="K452" s="168">
        <f>J452*0.1</f>
        <v/>
      </c>
    </row>
    <row r="453" ht="54.75" customHeight="1" s="211">
      <c r="A453" s="164">
        <f>Accounts!A453</f>
        <v/>
      </c>
      <c r="B453" s="12" t="n"/>
      <c r="C453" s="65" t="n"/>
      <c r="D453" s="165">
        <f>Accounts!K453</f>
        <v/>
      </c>
      <c r="E453" s="166" t="n">
        <v>0.6</v>
      </c>
      <c r="F453" s="167">
        <f>Accounts!K453*E453</f>
        <v/>
      </c>
      <c r="G453" s="166" t="n">
        <v>0.4</v>
      </c>
      <c r="H453" s="167">
        <f>F453*G453</f>
        <v/>
      </c>
      <c r="I453" s="168">
        <f>if(or(eq(Accounts!J453,"No Valet"),eq(Accounts!J453,"Has Valet")), H453 * AVERAGE(Accounts!J$2:J$36),H453*Accounts!J453)</f>
        <v/>
      </c>
      <c r="J453" s="168">
        <f>iferror(I453*360,"")</f>
        <v/>
      </c>
      <c r="K453" s="168">
        <f>J453*0.1</f>
        <v/>
      </c>
    </row>
    <row r="454" ht="54.75" customHeight="1" s="211">
      <c r="A454" s="164">
        <f>Accounts!A454</f>
        <v/>
      </c>
      <c r="B454" s="12" t="n"/>
      <c r="C454" s="65" t="n"/>
      <c r="D454" s="165">
        <f>Accounts!K454</f>
        <v/>
      </c>
      <c r="E454" s="166" t="n">
        <v>0.6</v>
      </c>
      <c r="F454" s="167">
        <f>Accounts!K454*E454</f>
        <v/>
      </c>
      <c r="G454" s="166" t="n">
        <v>0.4</v>
      </c>
      <c r="H454" s="167">
        <f>F454*G454</f>
        <v/>
      </c>
      <c r="I454" s="168">
        <f>if(or(eq(Accounts!J454,"No Valet"),eq(Accounts!J454,"Has Valet")), H454 * AVERAGE(Accounts!J$2:J$36),H454*Accounts!J454)</f>
        <v/>
      </c>
      <c r="J454" s="168">
        <f>iferror(I454*360,"")</f>
        <v/>
      </c>
      <c r="K454" s="168">
        <f>J454*0.1</f>
        <v/>
      </c>
    </row>
    <row r="455" ht="54.75" customHeight="1" s="211">
      <c r="A455" s="164">
        <f>Accounts!A455</f>
        <v/>
      </c>
      <c r="B455" s="12" t="n"/>
      <c r="C455" s="65" t="n"/>
      <c r="D455" s="165">
        <f>Accounts!K455</f>
        <v/>
      </c>
      <c r="E455" s="166" t="n">
        <v>0.6</v>
      </c>
      <c r="F455" s="167">
        <f>Accounts!K455*E455</f>
        <v/>
      </c>
      <c r="G455" s="166" t="n">
        <v>0.4</v>
      </c>
      <c r="H455" s="167">
        <f>F455*G455</f>
        <v/>
      </c>
      <c r="I455" s="168">
        <f>if(or(eq(Accounts!J455,"No Valet"),eq(Accounts!J455,"Has Valet")), H455 * AVERAGE(Accounts!J$2:J$36),H455*Accounts!J455)</f>
        <v/>
      </c>
      <c r="J455" s="168">
        <f>iferror(I455*360,"")</f>
        <v/>
      </c>
      <c r="K455" s="168">
        <f>J455*0.1</f>
        <v/>
      </c>
    </row>
    <row r="456" ht="54.75" customHeight="1" s="211">
      <c r="A456" s="164">
        <f>Accounts!A456</f>
        <v/>
      </c>
      <c r="B456" s="12" t="n"/>
      <c r="C456" s="65" t="n"/>
      <c r="D456" s="165">
        <f>Accounts!K456</f>
        <v/>
      </c>
      <c r="E456" s="166" t="n">
        <v>0.6</v>
      </c>
      <c r="F456" s="167">
        <f>Accounts!K456*E456</f>
        <v/>
      </c>
      <c r="G456" s="166" t="n">
        <v>0.4</v>
      </c>
      <c r="H456" s="167">
        <f>F456*G456</f>
        <v/>
      </c>
      <c r="I456" s="168">
        <f>if(or(eq(Accounts!J456,"No Valet"),eq(Accounts!J456,"Has Valet")), H456 * AVERAGE(Accounts!J$2:J$36),H456*Accounts!J456)</f>
        <v/>
      </c>
      <c r="J456" s="168">
        <f>iferror(I456*360,"")</f>
        <v/>
      </c>
      <c r="K456" s="168">
        <f>J456*0.1</f>
        <v/>
      </c>
    </row>
    <row r="457" ht="54.75" customHeight="1" s="211">
      <c r="A457" s="164">
        <f>Accounts!A457</f>
        <v/>
      </c>
      <c r="B457" s="12" t="n"/>
      <c r="C457" s="65" t="n"/>
      <c r="D457" s="165">
        <f>Accounts!K457</f>
        <v/>
      </c>
      <c r="E457" s="166" t="n">
        <v>0.6</v>
      </c>
      <c r="F457" s="167">
        <f>Accounts!K457*E457</f>
        <v/>
      </c>
      <c r="G457" s="166" t="n">
        <v>0.4</v>
      </c>
      <c r="H457" s="167">
        <f>F457*G457</f>
        <v/>
      </c>
      <c r="I457" s="168">
        <f>if(or(eq(Accounts!J457,"No Valet"),eq(Accounts!J457,"Has Valet")), H457 * AVERAGE(Accounts!J$2:J$36),H457*Accounts!J457)</f>
        <v/>
      </c>
      <c r="J457" s="168">
        <f>iferror(I457*360,"")</f>
        <v/>
      </c>
      <c r="K457" s="168">
        <f>J457*0.1</f>
        <v/>
      </c>
    </row>
    <row r="458" ht="54.75" customHeight="1" s="211">
      <c r="A458" s="164">
        <f>Accounts!A458</f>
        <v/>
      </c>
      <c r="B458" s="12" t="n"/>
      <c r="C458" s="65" t="n"/>
      <c r="D458" s="165">
        <f>Accounts!K458</f>
        <v/>
      </c>
      <c r="E458" s="166" t="n">
        <v>0.6</v>
      </c>
      <c r="F458" s="167">
        <f>Accounts!K458*E458</f>
        <v/>
      </c>
      <c r="G458" s="166" t="n">
        <v>0.4</v>
      </c>
      <c r="H458" s="167">
        <f>F458*G458</f>
        <v/>
      </c>
      <c r="I458" s="168">
        <f>if(or(eq(Accounts!J458,"No Valet"),eq(Accounts!J458,"Has Valet")), H458 * AVERAGE(Accounts!J$2:J$36),H458*Accounts!J458)</f>
        <v/>
      </c>
      <c r="J458" s="168">
        <f>iferror(I458*360,"")</f>
        <v/>
      </c>
      <c r="K458" s="168">
        <f>J458*0.1</f>
        <v/>
      </c>
    </row>
    <row r="459" ht="54.75" customHeight="1" s="211">
      <c r="A459" s="164">
        <f>Accounts!A459</f>
        <v/>
      </c>
      <c r="B459" s="12" t="n"/>
      <c r="C459" s="65" t="n"/>
      <c r="D459" s="165">
        <f>Accounts!K459</f>
        <v/>
      </c>
      <c r="E459" s="166" t="n">
        <v>0.6</v>
      </c>
      <c r="F459" s="167">
        <f>Accounts!K459*E459</f>
        <v/>
      </c>
      <c r="G459" s="166" t="n">
        <v>0.4</v>
      </c>
      <c r="H459" s="167">
        <f>F459*G459</f>
        <v/>
      </c>
      <c r="I459" s="168">
        <f>if(or(eq(Accounts!J459,"No Valet"),eq(Accounts!J459,"Has Valet")), H459 * AVERAGE(Accounts!J$2:J$36),H459*Accounts!J459)</f>
        <v/>
      </c>
      <c r="J459" s="168">
        <f>iferror(I459*360,"")</f>
        <v/>
      </c>
      <c r="K459" s="168">
        <f>J459*0.1</f>
        <v/>
      </c>
    </row>
    <row r="460" ht="54.75" customHeight="1" s="211">
      <c r="A460" s="164">
        <f>Accounts!A460</f>
        <v/>
      </c>
      <c r="B460" s="12" t="n"/>
      <c r="C460" s="65" t="n"/>
      <c r="D460" s="165">
        <f>Accounts!K460</f>
        <v/>
      </c>
      <c r="E460" s="166" t="n">
        <v>0.6</v>
      </c>
      <c r="F460" s="167">
        <f>Accounts!K460*E460</f>
        <v/>
      </c>
      <c r="G460" s="166" t="n">
        <v>0.4</v>
      </c>
      <c r="H460" s="167">
        <f>F460*G460</f>
        <v/>
      </c>
      <c r="I460" s="168">
        <f>if(or(eq(Accounts!J460,"No Valet"),eq(Accounts!J460,"Has Valet")), H460 * AVERAGE(Accounts!J$2:J$36),H460*Accounts!J460)</f>
        <v/>
      </c>
      <c r="J460" s="168">
        <f>iferror(I460*360,"")</f>
        <v/>
      </c>
      <c r="K460" s="168">
        <f>J460*0.1</f>
        <v/>
      </c>
    </row>
    <row r="461" ht="54.75" customHeight="1" s="211">
      <c r="A461" s="164">
        <f>Accounts!A461</f>
        <v/>
      </c>
      <c r="B461" s="12" t="n"/>
      <c r="C461" s="65" t="n"/>
      <c r="D461" s="165">
        <f>Accounts!K461</f>
        <v/>
      </c>
      <c r="E461" s="166" t="n">
        <v>0.6</v>
      </c>
      <c r="F461" s="167">
        <f>Accounts!K461*E461</f>
        <v/>
      </c>
      <c r="G461" s="166" t="n">
        <v>0.4</v>
      </c>
      <c r="H461" s="167">
        <f>F461*G461</f>
        <v/>
      </c>
      <c r="I461" s="168">
        <f>if(or(eq(Accounts!J461,"No Valet"),eq(Accounts!J461,"Has Valet")), H461 * AVERAGE(Accounts!J$2:J$36),H461*Accounts!J461)</f>
        <v/>
      </c>
      <c r="J461" s="168">
        <f>iferror(I461*360,"")</f>
        <v/>
      </c>
      <c r="K461" s="168">
        <f>J461*0.1</f>
        <v/>
      </c>
    </row>
    <row r="462" ht="54.75" customHeight="1" s="211">
      <c r="A462" s="164">
        <f>Accounts!A462</f>
        <v/>
      </c>
      <c r="B462" s="12" t="n"/>
      <c r="C462" s="65" t="n"/>
      <c r="D462" s="165">
        <f>Accounts!K462</f>
        <v/>
      </c>
      <c r="E462" s="166" t="n">
        <v>0.6</v>
      </c>
      <c r="F462" s="167">
        <f>Accounts!K462*E462</f>
        <v/>
      </c>
      <c r="G462" s="166" t="n">
        <v>0.4</v>
      </c>
      <c r="H462" s="167">
        <f>F462*G462</f>
        <v/>
      </c>
      <c r="I462" s="168">
        <f>if(or(eq(Accounts!J462,"No Valet"),eq(Accounts!J462,"Has Valet")), H462 * AVERAGE(Accounts!J$2:J$36),H462*Accounts!J462)</f>
        <v/>
      </c>
      <c r="J462" s="168">
        <f>iferror(I462*360,"")</f>
        <v/>
      </c>
      <c r="K462" s="168">
        <f>J462*0.1</f>
        <v/>
      </c>
    </row>
    <row r="463" ht="54.75" customHeight="1" s="211">
      <c r="A463" s="164">
        <f>Accounts!A463</f>
        <v/>
      </c>
      <c r="B463" s="12" t="n"/>
      <c r="C463" s="65" t="n"/>
      <c r="D463" s="165">
        <f>Accounts!K463</f>
        <v/>
      </c>
      <c r="E463" s="166" t="n">
        <v>0.6</v>
      </c>
      <c r="F463" s="167">
        <f>Accounts!K463*E463</f>
        <v/>
      </c>
      <c r="G463" s="166" t="n">
        <v>0.4</v>
      </c>
      <c r="H463" s="167">
        <f>F463*G463</f>
        <v/>
      </c>
      <c r="I463" s="168">
        <f>if(or(eq(Accounts!J463,"No Valet"),eq(Accounts!J463,"Has Valet")), H463 * AVERAGE(Accounts!J$2:J$36),H463*Accounts!J463)</f>
        <v/>
      </c>
      <c r="J463" s="168">
        <f>iferror(I463*360,"")</f>
        <v/>
      </c>
      <c r="K463" s="168">
        <f>J463*0.1</f>
        <v/>
      </c>
    </row>
    <row r="464" ht="54.75" customHeight="1" s="211">
      <c r="A464" s="164">
        <f>Accounts!A464</f>
        <v/>
      </c>
      <c r="B464" s="12" t="n"/>
      <c r="C464" s="65" t="n"/>
      <c r="D464" s="165">
        <f>Accounts!K464</f>
        <v/>
      </c>
      <c r="E464" s="166" t="n">
        <v>0.6</v>
      </c>
      <c r="F464" s="167">
        <f>Accounts!K464*E464</f>
        <v/>
      </c>
      <c r="G464" s="166" t="n">
        <v>0.4</v>
      </c>
      <c r="H464" s="167">
        <f>F464*G464</f>
        <v/>
      </c>
      <c r="I464" s="168">
        <f>if(or(eq(Accounts!J464,"No Valet"),eq(Accounts!J464,"Has Valet")), H464 * AVERAGE(Accounts!J$2:J$36),H464*Accounts!J464)</f>
        <v/>
      </c>
      <c r="J464" s="168">
        <f>iferror(I464*360,"")</f>
        <v/>
      </c>
      <c r="K464" s="168">
        <f>J464*0.1</f>
        <v/>
      </c>
    </row>
    <row r="465" ht="54.75" customHeight="1" s="211">
      <c r="A465" s="164">
        <f>Accounts!A465</f>
        <v/>
      </c>
      <c r="B465" s="12" t="n"/>
      <c r="C465" s="65" t="n"/>
      <c r="D465" s="165">
        <f>Accounts!K465</f>
        <v/>
      </c>
      <c r="E465" s="166" t="n">
        <v>0.6</v>
      </c>
      <c r="F465" s="167">
        <f>Accounts!K465*E465</f>
        <v/>
      </c>
      <c r="G465" s="166" t="n">
        <v>0.4</v>
      </c>
      <c r="H465" s="167">
        <f>F465*G465</f>
        <v/>
      </c>
      <c r="I465" s="168">
        <f>if(or(eq(Accounts!J465,"No Valet"),eq(Accounts!J465,"Has Valet")), H465 * AVERAGE(Accounts!J$2:J$36),H465*Accounts!J465)</f>
        <v/>
      </c>
      <c r="J465" s="168">
        <f>iferror(I465*360,"")</f>
        <v/>
      </c>
      <c r="K465" s="168">
        <f>J465*0.1</f>
        <v/>
      </c>
    </row>
    <row r="466" ht="54.75" customHeight="1" s="211">
      <c r="A466" s="164">
        <f>Accounts!A466</f>
        <v/>
      </c>
      <c r="B466" s="12" t="n"/>
      <c r="C466" s="65" t="n"/>
      <c r="D466" s="165">
        <f>Accounts!K466</f>
        <v/>
      </c>
      <c r="E466" s="166" t="n">
        <v>0.6</v>
      </c>
      <c r="F466" s="167">
        <f>Accounts!K466*E466</f>
        <v/>
      </c>
      <c r="G466" s="166" t="n">
        <v>0.4</v>
      </c>
      <c r="H466" s="167">
        <f>F466*G466</f>
        <v/>
      </c>
      <c r="I466" s="168">
        <f>if(or(eq(Accounts!J466,"No Valet"),eq(Accounts!J466,"Has Valet")), H466 * AVERAGE(Accounts!J$2:J$36),H466*Accounts!J466)</f>
        <v/>
      </c>
      <c r="J466" s="168">
        <f>iferror(I466*360,"")</f>
        <v/>
      </c>
      <c r="K466" s="168">
        <f>J466*0.1</f>
        <v/>
      </c>
    </row>
    <row r="467" ht="54.75" customHeight="1" s="211">
      <c r="A467" s="164">
        <f>Accounts!A467</f>
        <v/>
      </c>
      <c r="B467" s="12" t="n"/>
      <c r="C467" s="65" t="n"/>
      <c r="D467" s="165">
        <f>Accounts!K467</f>
        <v/>
      </c>
      <c r="E467" s="166" t="n">
        <v>0.6</v>
      </c>
      <c r="F467" s="167">
        <f>Accounts!K467*E467</f>
        <v/>
      </c>
      <c r="G467" s="166" t="n">
        <v>0.4</v>
      </c>
      <c r="H467" s="167">
        <f>F467*G467</f>
        <v/>
      </c>
      <c r="I467" s="168">
        <f>if(or(eq(Accounts!J467,"No Valet"),eq(Accounts!J467,"Has Valet")), H467 * AVERAGE(Accounts!J$2:J$36),H467*Accounts!J467)</f>
        <v/>
      </c>
      <c r="J467" s="168">
        <f>iferror(I467*360,"")</f>
        <v/>
      </c>
      <c r="K467" s="168">
        <f>J467*0.1</f>
        <v/>
      </c>
    </row>
    <row r="468" ht="54.75" customHeight="1" s="211">
      <c r="A468" s="164">
        <f>Accounts!A468</f>
        <v/>
      </c>
      <c r="B468" s="12" t="n"/>
      <c r="C468" s="65" t="n"/>
      <c r="D468" s="165">
        <f>Accounts!K468</f>
        <v/>
      </c>
      <c r="E468" s="166" t="n">
        <v>0.6</v>
      </c>
      <c r="F468" s="167">
        <f>Accounts!K468*E468</f>
        <v/>
      </c>
      <c r="G468" s="166" t="n">
        <v>0.4</v>
      </c>
      <c r="H468" s="167">
        <f>F468*G468</f>
        <v/>
      </c>
      <c r="I468" s="168">
        <f>if(or(eq(Accounts!J468,"No Valet"),eq(Accounts!J468,"Has Valet")), H468 * AVERAGE(Accounts!J$2:J$36),H468*Accounts!J468)</f>
        <v/>
      </c>
      <c r="J468" s="168">
        <f>iferror(I468*360,"")</f>
        <v/>
      </c>
      <c r="K468" s="168">
        <f>J468*0.1</f>
        <v/>
      </c>
    </row>
    <row r="469" ht="54.75" customHeight="1" s="211">
      <c r="A469" s="164">
        <f>Accounts!A469</f>
        <v/>
      </c>
      <c r="B469" s="12" t="n"/>
      <c r="C469" s="65" t="n"/>
      <c r="D469" s="165">
        <f>Accounts!K469</f>
        <v/>
      </c>
      <c r="E469" s="166" t="n">
        <v>0.6</v>
      </c>
      <c r="F469" s="167">
        <f>Accounts!K469*E469</f>
        <v/>
      </c>
      <c r="G469" s="166" t="n">
        <v>0.4</v>
      </c>
      <c r="H469" s="167">
        <f>F469*G469</f>
        <v/>
      </c>
      <c r="I469" s="168">
        <f>if(or(eq(Accounts!J469,"No Valet"),eq(Accounts!J469,"Has Valet")), H469 * AVERAGE(Accounts!J$2:J$36),H469*Accounts!J469)</f>
        <v/>
      </c>
      <c r="J469" s="168">
        <f>iferror(I469*360,"")</f>
        <v/>
      </c>
      <c r="K469" s="168">
        <f>J469*0.1</f>
        <v/>
      </c>
    </row>
    <row r="470" ht="54.75" customHeight="1" s="211">
      <c r="A470" s="164">
        <f>Accounts!A470</f>
        <v/>
      </c>
      <c r="B470" s="12" t="n"/>
      <c r="C470" s="65" t="n"/>
      <c r="D470" s="165">
        <f>Accounts!K470</f>
        <v/>
      </c>
      <c r="E470" s="166" t="n">
        <v>0.6</v>
      </c>
      <c r="F470" s="167">
        <f>Accounts!K470*E470</f>
        <v/>
      </c>
      <c r="G470" s="166" t="n">
        <v>0.4</v>
      </c>
      <c r="H470" s="167">
        <f>F470*G470</f>
        <v/>
      </c>
      <c r="I470" s="168">
        <f>if(or(eq(Accounts!J470,"No Valet"),eq(Accounts!J470,"Has Valet")), H470 * AVERAGE(Accounts!J$2:J$36),H470*Accounts!J470)</f>
        <v/>
      </c>
      <c r="J470" s="168">
        <f>iferror(I470*360,"")</f>
        <v/>
      </c>
      <c r="K470" s="168">
        <f>J470*0.1</f>
        <v/>
      </c>
    </row>
    <row r="471" ht="54.75" customHeight="1" s="211">
      <c r="A471" s="164">
        <f>Accounts!A471</f>
        <v/>
      </c>
      <c r="B471" s="12" t="n"/>
      <c r="C471" s="65" t="n"/>
      <c r="D471" s="165">
        <f>Accounts!K471</f>
        <v/>
      </c>
      <c r="E471" s="166" t="n">
        <v>0.6</v>
      </c>
      <c r="F471" s="167">
        <f>Accounts!K471*E471</f>
        <v/>
      </c>
      <c r="G471" s="166" t="n">
        <v>0.4</v>
      </c>
      <c r="H471" s="167">
        <f>F471*G471</f>
        <v/>
      </c>
      <c r="I471" s="168">
        <f>if(or(eq(Accounts!J471,"No Valet"),eq(Accounts!J471,"Has Valet")), H471 * AVERAGE(Accounts!J$2:J$36),H471*Accounts!J471)</f>
        <v/>
      </c>
      <c r="J471" s="168">
        <f>iferror(I471*360,"")</f>
        <v/>
      </c>
      <c r="K471" s="168">
        <f>J471*0.1</f>
        <v/>
      </c>
    </row>
    <row r="472" ht="54.75" customHeight="1" s="211">
      <c r="A472" s="164">
        <f>Accounts!A472</f>
        <v/>
      </c>
      <c r="B472" s="12" t="n"/>
      <c r="C472" s="65" t="n"/>
      <c r="D472" s="165">
        <f>Accounts!K472</f>
        <v/>
      </c>
      <c r="E472" s="166" t="n">
        <v>0.6</v>
      </c>
      <c r="F472" s="167">
        <f>Accounts!K472*E472</f>
        <v/>
      </c>
      <c r="G472" s="166" t="n">
        <v>0.4</v>
      </c>
      <c r="H472" s="167">
        <f>F472*G472</f>
        <v/>
      </c>
      <c r="I472" s="168">
        <f>if(or(eq(Accounts!J472,"No Valet"),eq(Accounts!J472,"Has Valet")), H472 * AVERAGE(Accounts!J$2:J$36),H472*Accounts!J472)</f>
        <v/>
      </c>
      <c r="J472" s="168">
        <f>iferror(I472*360,"")</f>
        <v/>
      </c>
      <c r="K472" s="168">
        <f>J472*0.1</f>
        <v/>
      </c>
    </row>
    <row r="473" ht="54.75" customHeight="1" s="211">
      <c r="A473" s="164">
        <f>Accounts!A473</f>
        <v/>
      </c>
      <c r="B473" s="12" t="n"/>
      <c r="C473" s="65" t="n"/>
      <c r="D473" s="165">
        <f>Accounts!K473</f>
        <v/>
      </c>
      <c r="E473" s="166" t="n">
        <v>0.6</v>
      </c>
      <c r="F473" s="167">
        <f>Accounts!K473*E473</f>
        <v/>
      </c>
      <c r="G473" s="166" t="n">
        <v>0.4</v>
      </c>
      <c r="H473" s="167">
        <f>F473*G473</f>
        <v/>
      </c>
      <c r="I473" s="168">
        <f>if(or(eq(Accounts!J473,"No Valet"),eq(Accounts!J473,"Has Valet")), H473 * AVERAGE(Accounts!J$2:J$36),H473*Accounts!J473)</f>
        <v/>
      </c>
      <c r="J473" s="168">
        <f>iferror(I473*360,"")</f>
        <v/>
      </c>
      <c r="K473" s="168">
        <f>J473*0.1</f>
        <v/>
      </c>
    </row>
    <row r="474" ht="54.75" customHeight="1" s="211">
      <c r="A474" s="164">
        <f>Accounts!A474</f>
        <v/>
      </c>
      <c r="B474" s="12" t="n"/>
      <c r="C474" s="65" t="n"/>
      <c r="D474" s="165">
        <f>Accounts!K474</f>
        <v/>
      </c>
      <c r="E474" s="166" t="n">
        <v>0.6</v>
      </c>
      <c r="F474" s="167">
        <f>Accounts!K474*E474</f>
        <v/>
      </c>
      <c r="G474" s="166" t="n">
        <v>0.4</v>
      </c>
      <c r="H474" s="167">
        <f>F474*G474</f>
        <v/>
      </c>
      <c r="I474" s="168">
        <f>if(or(eq(Accounts!J474,"No Valet"),eq(Accounts!J474,"Has Valet")), H474 * AVERAGE(Accounts!J$2:J$36),H474*Accounts!J474)</f>
        <v/>
      </c>
      <c r="J474" s="168">
        <f>iferror(I474*360,"")</f>
        <v/>
      </c>
      <c r="K474" s="168">
        <f>J474*0.1</f>
        <v/>
      </c>
    </row>
    <row r="475" ht="54.75" customHeight="1" s="211">
      <c r="A475" s="164">
        <f>Accounts!A475</f>
        <v/>
      </c>
      <c r="B475" s="12" t="n"/>
      <c r="C475" s="65" t="n"/>
      <c r="D475" s="165">
        <f>Accounts!K475</f>
        <v/>
      </c>
      <c r="E475" s="166" t="n">
        <v>0.6</v>
      </c>
      <c r="F475" s="167">
        <f>Accounts!K475*E475</f>
        <v/>
      </c>
      <c r="G475" s="166" t="n">
        <v>0.4</v>
      </c>
      <c r="H475" s="167">
        <f>F475*G475</f>
        <v/>
      </c>
      <c r="I475" s="168">
        <f>if(or(eq(Accounts!J475,"No Valet"),eq(Accounts!J475,"Has Valet")), H475 * AVERAGE(Accounts!J$2:J$36),H475*Accounts!J475)</f>
        <v/>
      </c>
      <c r="J475" s="168">
        <f>iferror(I475*360,"")</f>
        <v/>
      </c>
      <c r="K475" s="168">
        <f>J475*0.1</f>
        <v/>
      </c>
    </row>
    <row r="476" ht="54.75" customHeight="1" s="211">
      <c r="A476" s="164">
        <f>Accounts!A476</f>
        <v/>
      </c>
      <c r="B476" s="12" t="n"/>
      <c r="C476" s="65" t="n"/>
      <c r="D476" s="165">
        <f>Accounts!K476</f>
        <v/>
      </c>
      <c r="E476" s="166" t="n">
        <v>0.6</v>
      </c>
      <c r="F476" s="167">
        <f>Accounts!K476*E476</f>
        <v/>
      </c>
      <c r="G476" s="166" t="n">
        <v>0.4</v>
      </c>
      <c r="H476" s="167">
        <f>F476*G476</f>
        <v/>
      </c>
      <c r="I476" s="168">
        <f>if(or(eq(Accounts!J476,"No Valet"),eq(Accounts!J476,"Has Valet")), H476 * AVERAGE(Accounts!J$2:J$36),H476*Accounts!J476)</f>
        <v/>
      </c>
      <c r="J476" s="168">
        <f>iferror(I476*360,"")</f>
        <v/>
      </c>
      <c r="K476" s="168">
        <f>J476*0.1</f>
        <v/>
      </c>
    </row>
    <row r="477" ht="54.75" customHeight="1" s="211">
      <c r="A477" s="164">
        <f>Accounts!A477</f>
        <v/>
      </c>
      <c r="B477" s="12" t="n"/>
      <c r="C477" s="65" t="n"/>
      <c r="D477" s="165">
        <f>Accounts!K477</f>
        <v/>
      </c>
      <c r="E477" s="166" t="n">
        <v>0.6</v>
      </c>
      <c r="F477" s="167">
        <f>Accounts!K477*E477</f>
        <v/>
      </c>
      <c r="G477" s="166" t="n">
        <v>0.4</v>
      </c>
      <c r="H477" s="167">
        <f>F477*G477</f>
        <v/>
      </c>
      <c r="I477" s="168">
        <f>if(or(eq(Accounts!J477,"No Valet"),eq(Accounts!J477,"Has Valet")), H477 * AVERAGE(Accounts!J$2:J$36),H477*Accounts!J477)</f>
        <v/>
      </c>
      <c r="J477" s="168">
        <f>iferror(I477*360,"")</f>
        <v/>
      </c>
      <c r="K477" s="168">
        <f>J477*0.1</f>
        <v/>
      </c>
    </row>
    <row r="478" ht="54.75" customHeight="1" s="211">
      <c r="A478" s="164">
        <f>Accounts!A478</f>
        <v/>
      </c>
      <c r="B478" s="12" t="n"/>
      <c r="C478" s="65" t="n"/>
      <c r="D478" s="165">
        <f>Accounts!K478</f>
        <v/>
      </c>
      <c r="E478" s="166" t="n">
        <v>0.6</v>
      </c>
      <c r="F478" s="167">
        <f>Accounts!K478*E478</f>
        <v/>
      </c>
      <c r="G478" s="166" t="n">
        <v>0.4</v>
      </c>
      <c r="H478" s="167">
        <f>F478*G478</f>
        <v/>
      </c>
      <c r="I478" s="168">
        <f>if(or(eq(Accounts!J478,"No Valet"),eq(Accounts!J478,"Has Valet")), H478 * AVERAGE(Accounts!J$2:J$36),H478*Accounts!J478)</f>
        <v/>
      </c>
      <c r="J478" s="168">
        <f>iferror(I478*360,"")</f>
        <v/>
      </c>
      <c r="K478" s="168">
        <f>J478*0.1</f>
        <v/>
      </c>
    </row>
    <row r="479" ht="54.75" customHeight="1" s="211">
      <c r="A479" s="164">
        <f>Accounts!A479</f>
        <v/>
      </c>
      <c r="B479" s="12" t="n"/>
      <c r="C479" s="65" t="n"/>
      <c r="D479" s="165">
        <f>Accounts!K479</f>
        <v/>
      </c>
      <c r="E479" s="166" t="n">
        <v>0.6</v>
      </c>
      <c r="F479" s="167">
        <f>Accounts!K479*E479</f>
        <v/>
      </c>
      <c r="G479" s="166" t="n">
        <v>0.4</v>
      </c>
      <c r="H479" s="167">
        <f>F479*G479</f>
        <v/>
      </c>
      <c r="I479" s="168">
        <f>if(or(eq(Accounts!J479,"No Valet"),eq(Accounts!J479,"Has Valet")), H479 * AVERAGE(Accounts!J$2:J$36),H479*Accounts!J479)</f>
        <v/>
      </c>
      <c r="J479" s="168">
        <f>iferror(I479*360,"")</f>
        <v/>
      </c>
      <c r="K479" s="168">
        <f>J479*0.1</f>
        <v/>
      </c>
    </row>
    <row r="480" ht="54.75" customHeight="1" s="211">
      <c r="A480" s="164">
        <f>Accounts!A480</f>
        <v/>
      </c>
      <c r="B480" s="12" t="n"/>
      <c r="C480" s="65" t="n"/>
      <c r="D480" s="165">
        <f>Accounts!K480</f>
        <v/>
      </c>
      <c r="E480" s="166" t="n">
        <v>0.6</v>
      </c>
      <c r="F480" s="167">
        <f>Accounts!K480*E480</f>
        <v/>
      </c>
      <c r="G480" s="166" t="n">
        <v>0.4</v>
      </c>
      <c r="H480" s="167">
        <f>F480*G480</f>
        <v/>
      </c>
      <c r="I480" s="168">
        <f>if(or(eq(Accounts!J480,"No Valet"),eq(Accounts!J480,"Has Valet")), H480 * AVERAGE(Accounts!J$2:J$36),H480*Accounts!J480)</f>
        <v/>
      </c>
      <c r="J480" s="168">
        <f>iferror(I480*360,"")</f>
        <v/>
      </c>
      <c r="K480" s="168">
        <f>J480*0.1</f>
        <v/>
      </c>
    </row>
    <row r="481" ht="54.75" customHeight="1" s="211">
      <c r="A481" s="164">
        <f>Accounts!A481</f>
        <v/>
      </c>
      <c r="B481" s="12" t="n"/>
      <c r="C481" s="65" t="n"/>
      <c r="D481" s="165">
        <f>Accounts!K481</f>
        <v/>
      </c>
      <c r="E481" s="166" t="n">
        <v>0.6</v>
      </c>
      <c r="F481" s="167">
        <f>Accounts!K481*E481</f>
        <v/>
      </c>
      <c r="G481" s="166" t="n">
        <v>0.4</v>
      </c>
      <c r="H481" s="167">
        <f>F481*G481</f>
        <v/>
      </c>
      <c r="I481" s="168">
        <f>if(or(eq(Accounts!J481,"No Valet"),eq(Accounts!J481,"Has Valet")), H481 * AVERAGE(Accounts!J$2:J$36),H481*Accounts!J481)</f>
        <v/>
      </c>
      <c r="J481" s="168">
        <f>iferror(I481*360,"")</f>
        <v/>
      </c>
      <c r="K481" s="168">
        <f>J481*0.1</f>
        <v/>
      </c>
    </row>
    <row r="482" ht="54.75" customHeight="1" s="211">
      <c r="A482" s="164">
        <f>Accounts!A482</f>
        <v/>
      </c>
      <c r="B482" s="12" t="n"/>
      <c r="C482" s="65" t="n"/>
      <c r="D482" s="165">
        <f>Accounts!K482</f>
        <v/>
      </c>
      <c r="E482" s="166" t="n">
        <v>0.6</v>
      </c>
      <c r="F482" s="167">
        <f>Accounts!K482*E482</f>
        <v/>
      </c>
      <c r="G482" s="166" t="n">
        <v>0.4</v>
      </c>
      <c r="H482" s="167">
        <f>F482*G482</f>
        <v/>
      </c>
      <c r="I482" s="168">
        <f>if(or(eq(Accounts!J482,"No Valet"),eq(Accounts!J482,"Has Valet")), H482 * AVERAGE(Accounts!J$2:J$36),H482*Accounts!J482)</f>
        <v/>
      </c>
      <c r="J482" s="168">
        <f>iferror(I482*360,"")</f>
        <v/>
      </c>
      <c r="K482" s="168">
        <f>J482*0.1</f>
        <v/>
      </c>
    </row>
    <row r="483" ht="54.75" customHeight="1" s="211">
      <c r="A483" s="164">
        <f>Accounts!A483</f>
        <v/>
      </c>
      <c r="B483" s="12" t="n"/>
      <c r="C483" s="65" t="n"/>
      <c r="D483" s="165">
        <f>Accounts!K483</f>
        <v/>
      </c>
      <c r="E483" s="166" t="n">
        <v>0.6</v>
      </c>
      <c r="F483" s="167">
        <f>Accounts!K483*E483</f>
        <v/>
      </c>
      <c r="G483" s="166" t="n">
        <v>0.4</v>
      </c>
      <c r="H483" s="167">
        <f>F483*G483</f>
        <v/>
      </c>
      <c r="I483" s="168">
        <f>if(or(eq(Accounts!J483,"No Valet"),eq(Accounts!J483,"Has Valet")), H483 * AVERAGE(Accounts!J$2:J$36),H483*Accounts!J483)</f>
        <v/>
      </c>
      <c r="J483" s="168">
        <f>iferror(I483*360,"")</f>
        <v/>
      </c>
      <c r="K483" s="168">
        <f>J483*0.1</f>
        <v/>
      </c>
    </row>
    <row r="484" ht="54.75" customHeight="1" s="211">
      <c r="A484" s="164">
        <f>Accounts!A484</f>
        <v/>
      </c>
      <c r="B484" s="12" t="n"/>
      <c r="C484" s="65" t="n"/>
      <c r="D484" s="165">
        <f>Accounts!K484</f>
        <v/>
      </c>
      <c r="E484" s="166" t="n">
        <v>0.6</v>
      </c>
      <c r="F484" s="167">
        <f>Accounts!K484*E484</f>
        <v/>
      </c>
      <c r="G484" s="166" t="n">
        <v>0.4</v>
      </c>
      <c r="H484" s="167">
        <f>F484*G484</f>
        <v/>
      </c>
      <c r="I484" s="168">
        <f>if(or(eq(Accounts!J484,"No Valet"),eq(Accounts!J484,"Has Valet")), H484 * AVERAGE(Accounts!J$2:J$36),H484*Accounts!J484)</f>
        <v/>
      </c>
      <c r="J484" s="168">
        <f>iferror(I484*360,"")</f>
        <v/>
      </c>
      <c r="K484" s="168">
        <f>J484*0.1</f>
        <v/>
      </c>
    </row>
    <row r="485" ht="54.75" customHeight="1" s="211">
      <c r="A485" s="164">
        <f>Accounts!A485</f>
        <v/>
      </c>
      <c r="B485" s="12" t="n"/>
      <c r="C485" s="65" t="n"/>
      <c r="D485" s="165">
        <f>Accounts!K485</f>
        <v/>
      </c>
      <c r="E485" s="166" t="n">
        <v>0.6</v>
      </c>
      <c r="F485" s="167">
        <f>Accounts!K485*E485</f>
        <v/>
      </c>
      <c r="G485" s="166" t="n">
        <v>0.4</v>
      </c>
      <c r="H485" s="167">
        <f>F485*G485</f>
        <v/>
      </c>
      <c r="I485" s="168">
        <f>if(or(eq(Accounts!J485,"No Valet"),eq(Accounts!J485,"Has Valet")), H485 * AVERAGE(Accounts!J$2:J$36),H485*Accounts!J485)</f>
        <v/>
      </c>
      <c r="J485" s="168">
        <f>iferror(I485*360,"")</f>
        <v/>
      </c>
      <c r="K485" s="168">
        <f>J485*0.1</f>
        <v/>
      </c>
    </row>
    <row r="486" ht="54.75" customHeight="1" s="211">
      <c r="A486" s="164">
        <f>Accounts!A486</f>
        <v/>
      </c>
      <c r="B486" s="12" t="n"/>
      <c r="C486" s="65" t="n"/>
      <c r="D486" s="165">
        <f>Accounts!K486</f>
        <v/>
      </c>
      <c r="E486" s="166" t="n">
        <v>0.6</v>
      </c>
      <c r="F486" s="167">
        <f>Accounts!K486*E486</f>
        <v/>
      </c>
      <c r="G486" s="166" t="n">
        <v>0.4</v>
      </c>
      <c r="H486" s="167">
        <f>F486*G486</f>
        <v/>
      </c>
      <c r="I486" s="168">
        <f>if(or(eq(Accounts!J486,"No Valet"),eq(Accounts!J486,"Has Valet")), H486 * AVERAGE(Accounts!J$2:J$36),H486*Accounts!J486)</f>
        <v/>
      </c>
      <c r="J486" s="168">
        <f>iferror(I486*360,"")</f>
        <v/>
      </c>
      <c r="K486" s="168">
        <f>J486*0.1</f>
        <v/>
      </c>
    </row>
    <row r="487" ht="54.75" customHeight="1" s="211">
      <c r="A487" s="164">
        <f>Accounts!A487</f>
        <v/>
      </c>
      <c r="B487" s="12" t="n"/>
      <c r="C487" s="65" t="n"/>
      <c r="D487" s="165">
        <f>Accounts!K487</f>
        <v/>
      </c>
      <c r="E487" s="166" t="n">
        <v>0.6</v>
      </c>
      <c r="F487" s="167">
        <f>Accounts!K487*E487</f>
        <v/>
      </c>
      <c r="G487" s="166" t="n">
        <v>0.4</v>
      </c>
      <c r="H487" s="167">
        <f>F487*G487</f>
        <v/>
      </c>
      <c r="I487" s="168">
        <f>if(or(eq(Accounts!J487,"No Valet"),eq(Accounts!J487,"Has Valet")), H487 * AVERAGE(Accounts!J$2:J$36),H487*Accounts!J487)</f>
        <v/>
      </c>
      <c r="J487" s="168">
        <f>iferror(I487*360,"")</f>
        <v/>
      </c>
      <c r="K487" s="168">
        <f>J487*0.1</f>
        <v/>
      </c>
    </row>
    <row r="488" ht="54.75" customHeight="1" s="211">
      <c r="A488" s="164">
        <f>Accounts!A488</f>
        <v/>
      </c>
      <c r="B488" s="12" t="n"/>
      <c r="C488" s="65" t="n"/>
      <c r="D488" s="165">
        <f>Accounts!K488</f>
        <v/>
      </c>
      <c r="E488" s="166" t="n">
        <v>0.6</v>
      </c>
      <c r="F488" s="167">
        <f>Accounts!K488*E488</f>
        <v/>
      </c>
      <c r="G488" s="166" t="n">
        <v>0.4</v>
      </c>
      <c r="H488" s="167">
        <f>F488*G488</f>
        <v/>
      </c>
      <c r="I488" s="168">
        <f>if(or(eq(Accounts!J488,"No Valet"),eq(Accounts!J488,"Has Valet")), H488 * AVERAGE(Accounts!J$2:J$36),H488*Accounts!J488)</f>
        <v/>
      </c>
      <c r="J488" s="168">
        <f>iferror(I488*360,"")</f>
        <v/>
      </c>
      <c r="K488" s="168">
        <f>J488*0.1</f>
        <v/>
      </c>
    </row>
    <row r="489" ht="54.75" customHeight="1" s="211">
      <c r="A489" s="164">
        <f>Accounts!A489</f>
        <v/>
      </c>
      <c r="B489" s="12" t="n"/>
      <c r="C489" s="65" t="n"/>
      <c r="D489" s="165">
        <f>Accounts!K489</f>
        <v/>
      </c>
      <c r="E489" s="166" t="n">
        <v>0.6</v>
      </c>
      <c r="F489" s="167">
        <f>Accounts!K489*E489</f>
        <v/>
      </c>
      <c r="G489" s="166" t="n">
        <v>0.4</v>
      </c>
      <c r="H489" s="167">
        <f>F489*G489</f>
        <v/>
      </c>
      <c r="I489" s="168">
        <f>if(or(eq(Accounts!J489,"No Valet"),eq(Accounts!J489,"Has Valet")), H489 * AVERAGE(Accounts!J$2:J$36),H489*Accounts!J489)</f>
        <v/>
      </c>
      <c r="J489" s="168">
        <f>iferror(I489*360,"")</f>
        <v/>
      </c>
      <c r="K489" s="168">
        <f>J489*0.1</f>
        <v/>
      </c>
    </row>
    <row r="490" ht="54.75" customHeight="1" s="211">
      <c r="A490" s="164">
        <f>Accounts!A490</f>
        <v/>
      </c>
      <c r="B490" s="12" t="n"/>
      <c r="C490" s="65" t="n"/>
      <c r="D490" s="165">
        <f>Accounts!K490</f>
        <v/>
      </c>
      <c r="E490" s="166" t="n">
        <v>0.6</v>
      </c>
      <c r="F490" s="167">
        <f>Accounts!K490*E490</f>
        <v/>
      </c>
      <c r="G490" s="166" t="n">
        <v>0.4</v>
      </c>
      <c r="H490" s="167">
        <f>F490*G490</f>
        <v/>
      </c>
      <c r="I490" s="168">
        <f>if(or(eq(Accounts!J490,"No Valet"),eq(Accounts!J490,"Has Valet")), H490 * AVERAGE(Accounts!J$2:J$36),H490*Accounts!J490)</f>
        <v/>
      </c>
      <c r="J490" s="168">
        <f>iferror(I490*360,"")</f>
        <v/>
      </c>
      <c r="K490" s="168">
        <f>J490*0.1</f>
        <v/>
      </c>
    </row>
    <row r="491" ht="54.75" customHeight="1" s="211">
      <c r="A491" s="164">
        <f>Accounts!A491</f>
        <v/>
      </c>
      <c r="B491" s="12" t="n"/>
      <c r="C491" s="65" t="n"/>
      <c r="D491" s="165">
        <f>Accounts!K491</f>
        <v/>
      </c>
      <c r="E491" s="166" t="n">
        <v>0.6</v>
      </c>
      <c r="F491" s="167">
        <f>Accounts!K491*E491</f>
        <v/>
      </c>
      <c r="G491" s="166" t="n">
        <v>0.4</v>
      </c>
      <c r="H491" s="167">
        <f>F491*G491</f>
        <v/>
      </c>
      <c r="I491" s="168">
        <f>if(or(eq(Accounts!J491,"No Valet"),eq(Accounts!J491,"Has Valet")), H491 * AVERAGE(Accounts!J$2:J$36),H491*Accounts!J491)</f>
        <v/>
      </c>
      <c r="J491" s="168">
        <f>iferror(I491*360,"")</f>
        <v/>
      </c>
      <c r="K491" s="168">
        <f>J491*0.1</f>
        <v/>
      </c>
    </row>
    <row r="492" ht="54.75" customHeight="1" s="211">
      <c r="A492" s="164">
        <f>Accounts!A492</f>
        <v/>
      </c>
      <c r="B492" s="12" t="n"/>
      <c r="C492" s="65" t="n"/>
      <c r="D492" s="165">
        <f>Accounts!K492</f>
        <v/>
      </c>
      <c r="E492" s="166" t="n">
        <v>0.6</v>
      </c>
      <c r="F492" s="167">
        <f>Accounts!K492*E492</f>
        <v/>
      </c>
      <c r="G492" s="166" t="n">
        <v>0.4</v>
      </c>
      <c r="H492" s="167">
        <f>F492*G492</f>
        <v/>
      </c>
      <c r="I492" s="168">
        <f>if(or(eq(Accounts!J492,"No Valet"),eq(Accounts!J492,"Has Valet")), H492 * AVERAGE(Accounts!J$2:J$36),H492*Accounts!J492)</f>
        <v/>
      </c>
      <c r="J492" s="168">
        <f>iferror(I492*360,"")</f>
        <v/>
      </c>
      <c r="K492" s="168">
        <f>J492*0.1</f>
        <v/>
      </c>
    </row>
    <row r="493" ht="54.75" customHeight="1" s="211">
      <c r="A493" s="164">
        <f>Accounts!A493</f>
        <v/>
      </c>
      <c r="B493" s="12" t="n"/>
      <c r="C493" s="65" t="n"/>
      <c r="D493" s="165">
        <f>Accounts!K493</f>
        <v/>
      </c>
      <c r="E493" s="166" t="n">
        <v>0.6</v>
      </c>
      <c r="F493" s="167">
        <f>Accounts!K493*E493</f>
        <v/>
      </c>
      <c r="G493" s="166" t="n">
        <v>0.4</v>
      </c>
      <c r="H493" s="167">
        <f>F493*G493</f>
        <v/>
      </c>
      <c r="I493" s="168">
        <f>if(or(eq(Accounts!J493,"No Valet"),eq(Accounts!J493,"Has Valet")), H493 * AVERAGE(Accounts!J$2:J$36),H493*Accounts!J493)</f>
        <v/>
      </c>
      <c r="J493" s="168">
        <f>iferror(I493*360,"")</f>
        <v/>
      </c>
      <c r="K493" s="168">
        <f>J493*0.1</f>
        <v/>
      </c>
    </row>
    <row r="494" ht="54.75" customHeight="1" s="211">
      <c r="A494" s="164">
        <f>Accounts!A494</f>
        <v/>
      </c>
      <c r="B494" s="12" t="n"/>
      <c r="C494" s="65" t="n"/>
      <c r="D494" s="165">
        <f>Accounts!K494</f>
        <v/>
      </c>
      <c r="E494" s="166" t="n">
        <v>0.6</v>
      </c>
      <c r="F494" s="167">
        <f>Accounts!K494*E494</f>
        <v/>
      </c>
      <c r="G494" s="166" t="n">
        <v>0.4</v>
      </c>
      <c r="H494" s="167">
        <f>F494*G494</f>
        <v/>
      </c>
      <c r="I494" s="168">
        <f>if(or(eq(Accounts!J494,"No Valet"),eq(Accounts!J494,"Has Valet")), H494 * AVERAGE(Accounts!J$2:J$36),H494*Accounts!J494)</f>
        <v/>
      </c>
      <c r="J494" s="168">
        <f>iferror(I494*360,"")</f>
        <v/>
      </c>
      <c r="K494" s="168">
        <f>J494*0.1</f>
        <v/>
      </c>
    </row>
    <row r="495" ht="54.75" customHeight="1" s="211">
      <c r="A495" s="164">
        <f>Accounts!A495</f>
        <v/>
      </c>
      <c r="B495" s="12" t="n"/>
      <c r="C495" s="65" t="n"/>
      <c r="D495" s="165">
        <f>Accounts!K495</f>
        <v/>
      </c>
      <c r="E495" s="166" t="n">
        <v>0.6</v>
      </c>
      <c r="F495" s="167">
        <f>Accounts!K495*E495</f>
        <v/>
      </c>
      <c r="G495" s="166" t="n">
        <v>0.4</v>
      </c>
      <c r="H495" s="167">
        <f>F495*G495</f>
        <v/>
      </c>
      <c r="I495" s="168">
        <f>if(or(eq(Accounts!J495,"No Valet"),eq(Accounts!J495,"Has Valet")), H495 * AVERAGE(Accounts!J$2:J$36),H495*Accounts!J495)</f>
        <v/>
      </c>
      <c r="J495" s="168">
        <f>iferror(I495*360,"")</f>
        <v/>
      </c>
      <c r="K495" s="168">
        <f>J495*0.1</f>
        <v/>
      </c>
    </row>
    <row r="496" ht="54.75" customHeight="1" s="211">
      <c r="A496" s="164">
        <f>Accounts!A496</f>
        <v/>
      </c>
      <c r="B496" s="12" t="n"/>
      <c r="C496" s="65" t="n"/>
      <c r="D496" s="165">
        <f>Accounts!K496</f>
        <v/>
      </c>
      <c r="E496" s="166" t="n">
        <v>0.6</v>
      </c>
      <c r="F496" s="167">
        <f>Accounts!K496*E496</f>
        <v/>
      </c>
      <c r="G496" s="166" t="n">
        <v>0.4</v>
      </c>
      <c r="H496" s="167">
        <f>F496*G496</f>
        <v/>
      </c>
      <c r="I496" s="168">
        <f>if(or(eq(Accounts!J496,"No Valet"),eq(Accounts!J496,"Has Valet")), H496 * AVERAGE(Accounts!J$2:J$36),H496*Accounts!J496)</f>
        <v/>
      </c>
      <c r="J496" s="168">
        <f>iferror(I496*360,"")</f>
        <v/>
      </c>
      <c r="K496" s="168">
        <f>J496*0.1</f>
        <v/>
      </c>
    </row>
    <row r="497" ht="54.75" customHeight="1" s="211">
      <c r="A497" s="164">
        <f>Accounts!A497</f>
        <v/>
      </c>
      <c r="B497" s="12" t="n"/>
      <c r="C497" s="65" t="n"/>
      <c r="D497" s="165">
        <f>Accounts!K497</f>
        <v/>
      </c>
      <c r="E497" s="166" t="n">
        <v>0.6</v>
      </c>
      <c r="F497" s="167">
        <f>Accounts!K497*E497</f>
        <v/>
      </c>
      <c r="G497" s="166" t="n">
        <v>0.4</v>
      </c>
      <c r="H497" s="167">
        <f>F497*G497</f>
        <v/>
      </c>
      <c r="I497" s="168">
        <f>if(or(eq(Accounts!J497,"No Valet"),eq(Accounts!J497,"Has Valet")), H497 * AVERAGE(Accounts!J$2:J$36),H497*Accounts!J497)</f>
        <v/>
      </c>
      <c r="J497" s="168">
        <f>iferror(I497*360,"")</f>
        <v/>
      </c>
      <c r="K497" s="168">
        <f>J497*0.1</f>
        <v/>
      </c>
    </row>
    <row r="498" ht="54.75" customHeight="1" s="211">
      <c r="A498" s="164">
        <f>Accounts!A498</f>
        <v/>
      </c>
      <c r="B498" s="12" t="n"/>
      <c r="C498" s="65" t="n"/>
      <c r="D498" s="165">
        <f>Accounts!K498</f>
        <v/>
      </c>
      <c r="E498" s="166" t="n">
        <v>0.6</v>
      </c>
      <c r="F498" s="167">
        <f>Accounts!K498*E498</f>
        <v/>
      </c>
      <c r="G498" s="166" t="n">
        <v>0.4</v>
      </c>
      <c r="H498" s="167">
        <f>F498*G498</f>
        <v/>
      </c>
      <c r="I498" s="168">
        <f>if(or(eq(Accounts!J498,"No Valet"),eq(Accounts!J498,"Has Valet")), H498 * AVERAGE(Accounts!J$2:J$36),H498*Accounts!J498)</f>
        <v/>
      </c>
      <c r="J498" s="168">
        <f>iferror(I498*360,"")</f>
        <v/>
      </c>
      <c r="K498" s="168">
        <f>J498*0.1</f>
        <v/>
      </c>
    </row>
    <row r="499" ht="54.75" customHeight="1" s="211">
      <c r="A499" s="164">
        <f>Accounts!A499</f>
        <v/>
      </c>
      <c r="B499" s="12" t="n"/>
      <c r="C499" s="65" t="n"/>
      <c r="D499" s="165">
        <f>Accounts!K499</f>
        <v/>
      </c>
      <c r="E499" s="166" t="n">
        <v>0.6</v>
      </c>
      <c r="F499" s="167">
        <f>Accounts!K499*E499</f>
        <v/>
      </c>
      <c r="G499" s="166" t="n">
        <v>0.4</v>
      </c>
      <c r="H499" s="167">
        <f>F499*G499</f>
        <v/>
      </c>
      <c r="I499" s="168">
        <f>if(or(eq(Accounts!J499,"No Valet"),eq(Accounts!J499,"Has Valet")), H499 * AVERAGE(Accounts!J$2:J$36),H499*Accounts!J499)</f>
        <v/>
      </c>
      <c r="J499" s="168">
        <f>iferror(I499*360,"")</f>
        <v/>
      </c>
      <c r="K499" s="168">
        <f>J499*0.1</f>
        <v/>
      </c>
    </row>
    <row r="500" ht="54.75" customHeight="1" s="211">
      <c r="A500" s="164">
        <f>Accounts!A500</f>
        <v/>
      </c>
      <c r="B500" s="12" t="n"/>
      <c r="C500" s="65" t="n"/>
      <c r="D500" s="165">
        <f>Accounts!K500</f>
        <v/>
      </c>
      <c r="E500" s="166" t="n">
        <v>0.6</v>
      </c>
      <c r="F500" s="167">
        <f>Accounts!K500*E500</f>
        <v/>
      </c>
      <c r="G500" s="166" t="n">
        <v>0.4</v>
      </c>
      <c r="H500" s="167">
        <f>F500*G500</f>
        <v/>
      </c>
      <c r="I500" s="168">
        <f>if(or(eq(Accounts!J500,"No Valet"),eq(Accounts!J500,"Has Valet")), H500 * AVERAGE(Accounts!J$2:J$36),H500*Accounts!J500)</f>
        <v/>
      </c>
      <c r="J500" s="168">
        <f>iferror(I500*360,"")</f>
        <v/>
      </c>
      <c r="K500" s="168">
        <f>J500*0.1</f>
        <v/>
      </c>
    </row>
    <row r="501" ht="54.75" customHeight="1" s="211">
      <c r="A501" s="164">
        <f>Accounts!A501</f>
        <v/>
      </c>
      <c r="B501" s="12" t="n"/>
      <c r="C501" s="65" t="n"/>
      <c r="D501" s="165">
        <f>Accounts!K501</f>
        <v/>
      </c>
      <c r="E501" s="166" t="n">
        <v>0.6</v>
      </c>
      <c r="F501" s="167">
        <f>Accounts!K501*E501</f>
        <v/>
      </c>
      <c r="G501" s="166" t="n">
        <v>0.4</v>
      </c>
      <c r="H501" s="167">
        <f>F501*G501</f>
        <v/>
      </c>
      <c r="I501" s="168">
        <f>if(or(eq(Accounts!J501,"No Valet"),eq(Accounts!J501,"Has Valet")), H501 * AVERAGE(Accounts!J$2:J$36),H501*Accounts!J501)</f>
        <v/>
      </c>
      <c r="J501" s="168">
        <f>iferror(I501*360,"")</f>
        <v/>
      </c>
      <c r="K501" s="168">
        <f>J501*0.1</f>
        <v/>
      </c>
    </row>
    <row r="502" ht="54.75" customHeight="1" s="211">
      <c r="A502" s="164">
        <f>Accounts!A502</f>
        <v/>
      </c>
      <c r="B502" s="12" t="n"/>
      <c r="C502" s="65" t="n"/>
      <c r="D502" s="165">
        <f>Accounts!K502</f>
        <v/>
      </c>
      <c r="E502" s="166" t="n">
        <v>0.6</v>
      </c>
      <c r="F502" s="167">
        <f>Accounts!K502*E502</f>
        <v/>
      </c>
      <c r="G502" s="166" t="n">
        <v>0.4</v>
      </c>
      <c r="H502" s="167">
        <f>F502*G502</f>
        <v/>
      </c>
      <c r="I502" s="168">
        <f>if(or(eq(Accounts!J502,"No Valet"),eq(Accounts!J502,"Has Valet")), H502 * AVERAGE(Accounts!J$2:J$36),H502*Accounts!J502)</f>
        <v/>
      </c>
      <c r="J502" s="168">
        <f>iferror(I502*360,"")</f>
        <v/>
      </c>
      <c r="K502" s="168">
        <f>J502*0.1</f>
        <v/>
      </c>
    </row>
    <row r="503" ht="54.75" customHeight="1" s="211">
      <c r="A503" s="164">
        <f>Accounts!A503</f>
        <v/>
      </c>
      <c r="B503" s="12" t="n"/>
      <c r="C503" s="65" t="n"/>
      <c r="D503" s="165">
        <f>Accounts!K503</f>
        <v/>
      </c>
      <c r="E503" s="166" t="n">
        <v>0.6</v>
      </c>
      <c r="F503" s="167">
        <f>Accounts!K503*E503</f>
        <v/>
      </c>
      <c r="G503" s="166" t="n">
        <v>0.4</v>
      </c>
      <c r="H503" s="167">
        <f>F503*G503</f>
        <v/>
      </c>
      <c r="I503" s="168">
        <f>if(or(eq(Accounts!J503,"No Valet"),eq(Accounts!J503,"Has Valet")), H503 * AVERAGE(Accounts!J$2:J$36),H503*Accounts!J503)</f>
        <v/>
      </c>
      <c r="J503" s="168">
        <f>iferror(I503*360,"")</f>
        <v/>
      </c>
      <c r="K503" s="168">
        <f>J503*0.1</f>
        <v/>
      </c>
    </row>
    <row r="504" ht="54.75" customHeight="1" s="211">
      <c r="A504" s="164">
        <f>Accounts!A504</f>
        <v/>
      </c>
      <c r="B504" s="12" t="n"/>
      <c r="C504" s="65" t="n"/>
      <c r="D504" s="165">
        <f>Accounts!K504</f>
        <v/>
      </c>
      <c r="E504" s="166" t="n">
        <v>0.6</v>
      </c>
      <c r="F504" s="167">
        <f>Accounts!K504*E504</f>
        <v/>
      </c>
      <c r="G504" s="166" t="n">
        <v>0.4</v>
      </c>
      <c r="H504" s="167">
        <f>F504*G504</f>
        <v/>
      </c>
      <c r="I504" s="168">
        <f>if(or(eq(Accounts!J504,"No Valet"),eq(Accounts!J504,"Has Valet")), H504 * AVERAGE(Accounts!J$2:J$36),H504*Accounts!J504)</f>
        <v/>
      </c>
      <c r="J504" s="168">
        <f>iferror(I504*360,"")</f>
        <v/>
      </c>
      <c r="K504" s="168">
        <f>J504*0.1</f>
        <v/>
      </c>
    </row>
    <row r="505" ht="54.75" customHeight="1" s="211">
      <c r="A505" s="164">
        <f>Accounts!A505</f>
        <v/>
      </c>
      <c r="B505" s="12" t="n"/>
      <c r="C505" s="65" t="n"/>
      <c r="D505" s="165">
        <f>Accounts!K505</f>
        <v/>
      </c>
      <c r="E505" s="166" t="n">
        <v>0.6</v>
      </c>
      <c r="F505" s="167">
        <f>Accounts!K505*E505</f>
        <v/>
      </c>
      <c r="G505" s="166" t="n">
        <v>0.4</v>
      </c>
      <c r="H505" s="167">
        <f>F505*G505</f>
        <v/>
      </c>
      <c r="I505" s="168">
        <f>if(or(eq(Accounts!J505,"No Valet"),eq(Accounts!J505,"Has Valet")), H505 * AVERAGE(Accounts!J$2:J$36),H505*Accounts!J505)</f>
        <v/>
      </c>
      <c r="J505" s="168">
        <f>iferror(I505*360,"")</f>
        <v/>
      </c>
      <c r="K505" s="168">
        <f>J505*0.1</f>
        <v/>
      </c>
    </row>
    <row r="506" ht="54.75" customHeight="1" s="211">
      <c r="A506" s="164">
        <f>Accounts!A506</f>
        <v/>
      </c>
      <c r="B506" s="12" t="n"/>
      <c r="C506" s="65" t="n"/>
      <c r="D506" s="165">
        <f>Accounts!K506</f>
        <v/>
      </c>
      <c r="E506" s="166" t="n">
        <v>0.6</v>
      </c>
      <c r="F506" s="167">
        <f>Accounts!K506*E506</f>
        <v/>
      </c>
      <c r="G506" s="166" t="n">
        <v>0.4</v>
      </c>
      <c r="H506" s="167">
        <f>F506*G506</f>
        <v/>
      </c>
      <c r="I506" s="168">
        <f>if(or(eq(Accounts!J506,"No Valet"),eq(Accounts!J506,"Has Valet")), H506 * AVERAGE(Accounts!J$2:J$36),H506*Accounts!J506)</f>
        <v/>
      </c>
      <c r="J506" s="168">
        <f>iferror(I506*360,"")</f>
        <v/>
      </c>
      <c r="K506" s="168">
        <f>J506*0.1</f>
        <v/>
      </c>
    </row>
    <row r="507" ht="54.75" customHeight="1" s="211">
      <c r="A507" s="164">
        <f>Accounts!A507</f>
        <v/>
      </c>
      <c r="B507" s="12" t="n"/>
      <c r="C507" s="65" t="n"/>
      <c r="D507" s="165">
        <f>Accounts!K507</f>
        <v/>
      </c>
      <c r="E507" s="166" t="n">
        <v>0.6</v>
      </c>
      <c r="F507" s="167">
        <f>Accounts!K507*E507</f>
        <v/>
      </c>
      <c r="G507" s="166" t="n">
        <v>0.4</v>
      </c>
      <c r="H507" s="167">
        <f>F507*G507</f>
        <v/>
      </c>
      <c r="I507" s="168">
        <f>if(or(eq(Accounts!J507,"No Valet"),eq(Accounts!J507,"Has Valet")), H507 * AVERAGE(Accounts!J$2:J$36),H507*Accounts!J507)</f>
        <v/>
      </c>
      <c r="J507" s="168">
        <f>iferror(I507*360,"")</f>
        <v/>
      </c>
      <c r="K507" s="168">
        <f>J507*0.1</f>
        <v/>
      </c>
    </row>
    <row r="508" ht="54.75" customHeight="1" s="211">
      <c r="A508" s="164">
        <f>Accounts!A508</f>
        <v/>
      </c>
      <c r="B508" s="12" t="n"/>
      <c r="C508" s="65" t="n"/>
      <c r="D508" s="165">
        <f>Accounts!K508</f>
        <v/>
      </c>
      <c r="E508" s="166" t="n">
        <v>0.6</v>
      </c>
      <c r="F508" s="167">
        <f>Accounts!K508*E508</f>
        <v/>
      </c>
      <c r="G508" s="166" t="n">
        <v>0.4</v>
      </c>
      <c r="H508" s="167">
        <f>F508*G508</f>
        <v/>
      </c>
      <c r="I508" s="168">
        <f>if(or(eq(Accounts!J508,"No Valet"),eq(Accounts!J508,"Has Valet")), H508 * AVERAGE(Accounts!J$2:J$36),H508*Accounts!J508)</f>
        <v/>
      </c>
      <c r="J508" s="168">
        <f>iferror(I508*360,"")</f>
        <v/>
      </c>
      <c r="K508" s="168">
        <f>J508*0.1</f>
        <v/>
      </c>
    </row>
    <row r="509" ht="54.75" customHeight="1" s="211">
      <c r="A509" s="164">
        <f>Accounts!A509</f>
        <v/>
      </c>
      <c r="B509" s="12" t="n"/>
      <c r="C509" s="65" t="n"/>
      <c r="D509" s="165">
        <f>Accounts!K509</f>
        <v/>
      </c>
      <c r="E509" s="166" t="n">
        <v>0.6</v>
      </c>
      <c r="F509" s="167">
        <f>Accounts!K509*E509</f>
        <v/>
      </c>
      <c r="G509" s="166" t="n">
        <v>0.4</v>
      </c>
      <c r="H509" s="167">
        <f>F509*G509</f>
        <v/>
      </c>
      <c r="I509" s="168">
        <f>if(or(eq(Accounts!J509,"No Valet"),eq(Accounts!J509,"Has Valet")), H509 * AVERAGE(Accounts!J$2:J$36),H509*Accounts!J509)</f>
        <v/>
      </c>
      <c r="J509" s="168">
        <f>iferror(I509*360,"")</f>
        <v/>
      </c>
      <c r="K509" s="168">
        <f>J509*0.1</f>
        <v/>
      </c>
    </row>
    <row r="510" ht="54.75" customHeight="1" s="211">
      <c r="A510" s="164">
        <f>Accounts!A510</f>
        <v/>
      </c>
      <c r="B510" s="12" t="n"/>
      <c r="C510" s="65" t="n"/>
      <c r="D510" s="165">
        <f>Accounts!K510</f>
        <v/>
      </c>
      <c r="E510" s="166" t="n">
        <v>0.6</v>
      </c>
      <c r="F510" s="167">
        <f>Accounts!K510*E510</f>
        <v/>
      </c>
      <c r="G510" s="166" t="n">
        <v>0.4</v>
      </c>
      <c r="H510" s="167">
        <f>F510*G510</f>
        <v/>
      </c>
      <c r="I510" s="168">
        <f>if(or(eq(Accounts!J510,"No Valet"),eq(Accounts!J510,"Has Valet")), H510 * AVERAGE(Accounts!J$2:J$36),H510*Accounts!J510)</f>
        <v/>
      </c>
      <c r="J510" s="168">
        <f>iferror(I510*360,"")</f>
        <v/>
      </c>
      <c r="K510" s="168">
        <f>J510*0.1</f>
        <v/>
      </c>
    </row>
    <row r="511" ht="54.75" customHeight="1" s="211">
      <c r="A511" s="164">
        <f>Accounts!A511</f>
        <v/>
      </c>
      <c r="B511" s="12" t="n"/>
      <c r="C511" s="65" t="n"/>
      <c r="D511" s="165">
        <f>Accounts!K511</f>
        <v/>
      </c>
      <c r="E511" s="166" t="n">
        <v>0.6</v>
      </c>
      <c r="F511" s="167">
        <f>Accounts!K511*E511</f>
        <v/>
      </c>
      <c r="G511" s="166" t="n">
        <v>0.4</v>
      </c>
      <c r="H511" s="167">
        <f>F511*G511</f>
        <v/>
      </c>
      <c r="I511" s="168">
        <f>if(or(eq(Accounts!J511,"No Valet"),eq(Accounts!J511,"Has Valet")), H511 * AVERAGE(Accounts!J$2:J$36),H511*Accounts!J511)</f>
        <v/>
      </c>
      <c r="J511" s="168">
        <f>iferror(I511*360,"")</f>
        <v/>
      </c>
      <c r="K511" s="168">
        <f>J511*0.1</f>
        <v/>
      </c>
    </row>
    <row r="512" ht="54.75" customHeight="1" s="211">
      <c r="A512" s="164">
        <f>Accounts!A512</f>
        <v/>
      </c>
      <c r="B512" s="12" t="n"/>
      <c r="C512" s="65" t="n"/>
      <c r="D512" s="165">
        <f>Accounts!K512</f>
        <v/>
      </c>
      <c r="E512" s="166" t="n">
        <v>0.6</v>
      </c>
      <c r="F512" s="167">
        <f>Accounts!K512*E512</f>
        <v/>
      </c>
      <c r="G512" s="166" t="n">
        <v>0.4</v>
      </c>
      <c r="H512" s="167">
        <f>F512*G512</f>
        <v/>
      </c>
      <c r="I512" s="168">
        <f>if(or(eq(Accounts!J512,"No Valet"),eq(Accounts!J512,"Has Valet")), H512 * AVERAGE(Accounts!J$2:J$36),H512*Accounts!J512)</f>
        <v/>
      </c>
      <c r="J512" s="168">
        <f>iferror(I512*360,"")</f>
        <v/>
      </c>
      <c r="K512" s="168">
        <f>J512*0.1</f>
        <v/>
      </c>
    </row>
    <row r="513" ht="54.75" customHeight="1" s="211">
      <c r="A513" s="164">
        <f>Accounts!A513</f>
        <v/>
      </c>
      <c r="B513" s="12" t="n"/>
      <c r="C513" s="65" t="n"/>
      <c r="D513" s="165">
        <f>Accounts!K513</f>
        <v/>
      </c>
      <c r="E513" s="166" t="n">
        <v>0.6</v>
      </c>
      <c r="F513" s="167">
        <f>Accounts!K513*E513</f>
        <v/>
      </c>
      <c r="G513" s="166" t="n">
        <v>0.4</v>
      </c>
      <c r="H513" s="167">
        <f>F513*G513</f>
        <v/>
      </c>
      <c r="I513" s="168">
        <f>if(or(eq(Accounts!J513,"No Valet"),eq(Accounts!J513,"Has Valet")), H513 * AVERAGE(Accounts!J$2:J$36),H513*Accounts!J513)</f>
        <v/>
      </c>
      <c r="J513" s="168">
        <f>iferror(I513*360,"")</f>
        <v/>
      </c>
      <c r="K513" s="168">
        <f>J513*0.1</f>
        <v/>
      </c>
    </row>
    <row r="514" ht="54.75" customHeight="1" s="211">
      <c r="A514" s="164">
        <f>Accounts!A514</f>
        <v/>
      </c>
      <c r="B514" s="12" t="n"/>
      <c r="C514" s="65" t="n"/>
      <c r="D514" s="165">
        <f>Accounts!K514</f>
        <v/>
      </c>
      <c r="E514" s="166" t="n">
        <v>0.6</v>
      </c>
      <c r="F514" s="167">
        <f>Accounts!K514*E514</f>
        <v/>
      </c>
      <c r="G514" s="166" t="n">
        <v>0.4</v>
      </c>
      <c r="H514" s="167">
        <f>F514*G514</f>
        <v/>
      </c>
      <c r="I514" s="168">
        <f>if(or(eq(Accounts!J514,"No Valet"),eq(Accounts!J514,"Has Valet")), H514 * AVERAGE(Accounts!J$2:J$36),H514*Accounts!J514)</f>
        <v/>
      </c>
      <c r="J514" s="168">
        <f>iferror(I514*360,"")</f>
        <v/>
      </c>
      <c r="K514" s="168">
        <f>J514*0.1</f>
        <v/>
      </c>
    </row>
    <row r="515" ht="54.75" customHeight="1" s="211">
      <c r="A515" s="164">
        <f>Accounts!A515</f>
        <v/>
      </c>
      <c r="B515" s="12" t="n"/>
      <c r="C515" s="65" t="n"/>
      <c r="D515" s="165">
        <f>Accounts!K515</f>
        <v/>
      </c>
      <c r="E515" s="166" t="n">
        <v>0.6</v>
      </c>
      <c r="F515" s="167">
        <f>Accounts!K515*E515</f>
        <v/>
      </c>
      <c r="G515" s="166" t="n">
        <v>0.4</v>
      </c>
      <c r="H515" s="167">
        <f>F515*G515</f>
        <v/>
      </c>
      <c r="I515" s="168">
        <f>if(or(eq(Accounts!J515,"No Valet"),eq(Accounts!J515,"Has Valet")), H515 * AVERAGE(Accounts!J$2:J$36),H515*Accounts!J515)</f>
        <v/>
      </c>
      <c r="J515" s="168">
        <f>iferror(I515*360,"")</f>
        <v/>
      </c>
      <c r="K515" s="168">
        <f>J515*0.1</f>
        <v/>
      </c>
    </row>
    <row r="516" ht="54.75" customHeight="1" s="211">
      <c r="A516" s="164">
        <f>Accounts!A516</f>
        <v/>
      </c>
      <c r="B516" s="12" t="n"/>
      <c r="C516" s="65" t="n"/>
      <c r="D516" s="165">
        <f>Accounts!K516</f>
        <v/>
      </c>
      <c r="E516" s="166" t="n">
        <v>0.6</v>
      </c>
      <c r="F516" s="167">
        <f>Accounts!K516*E516</f>
        <v/>
      </c>
      <c r="G516" s="166" t="n">
        <v>0.4</v>
      </c>
      <c r="H516" s="167">
        <f>F516*G516</f>
        <v/>
      </c>
      <c r="I516" s="168">
        <f>if(or(eq(Accounts!J516,"No Valet"),eq(Accounts!J516,"Has Valet")), H516 * AVERAGE(Accounts!J$2:J$36),H516*Accounts!J516)</f>
        <v/>
      </c>
      <c r="J516" s="168">
        <f>iferror(I516*360,"")</f>
        <v/>
      </c>
      <c r="K516" s="168">
        <f>J516*0.1</f>
        <v/>
      </c>
    </row>
    <row r="517" ht="54.75" customHeight="1" s="211">
      <c r="A517" s="164">
        <f>Accounts!A517</f>
        <v/>
      </c>
      <c r="B517" s="12" t="n"/>
      <c r="C517" s="65" t="n"/>
      <c r="D517" s="165">
        <f>Accounts!K517</f>
        <v/>
      </c>
      <c r="E517" s="166" t="n">
        <v>0.6</v>
      </c>
      <c r="F517" s="167">
        <f>Accounts!K517*E517</f>
        <v/>
      </c>
      <c r="G517" s="166" t="n">
        <v>0.4</v>
      </c>
      <c r="H517" s="167">
        <f>F517*G517</f>
        <v/>
      </c>
      <c r="I517" s="168">
        <f>if(or(eq(Accounts!J517,"No Valet"),eq(Accounts!J517,"Has Valet")), H517 * AVERAGE(Accounts!J$2:J$36),H517*Accounts!J517)</f>
        <v/>
      </c>
      <c r="J517" s="168">
        <f>iferror(I517*360,"")</f>
        <v/>
      </c>
      <c r="K517" s="168">
        <f>J517*0.1</f>
        <v/>
      </c>
    </row>
    <row r="518" ht="54.75" customHeight="1" s="211">
      <c r="A518" s="164">
        <f>Accounts!A518</f>
        <v/>
      </c>
      <c r="B518" s="12" t="n"/>
      <c r="C518" s="65" t="n"/>
      <c r="D518" s="165">
        <f>Accounts!K518</f>
        <v/>
      </c>
      <c r="E518" s="166" t="n">
        <v>0.6</v>
      </c>
      <c r="F518" s="167">
        <f>Accounts!K518*E518</f>
        <v/>
      </c>
      <c r="G518" s="166" t="n">
        <v>0.4</v>
      </c>
      <c r="H518" s="167">
        <f>F518*G518</f>
        <v/>
      </c>
      <c r="I518" s="168">
        <f>if(or(eq(Accounts!J518,"No Valet"),eq(Accounts!J518,"Has Valet")), H518 * AVERAGE(Accounts!J$2:J$36),H518*Accounts!J518)</f>
        <v/>
      </c>
      <c r="J518" s="168">
        <f>iferror(I518*360,"")</f>
        <v/>
      </c>
      <c r="K518" s="168">
        <f>J518*0.1</f>
        <v/>
      </c>
    </row>
    <row r="519" ht="54.75" customHeight="1" s="211">
      <c r="A519" s="164">
        <f>Accounts!A519</f>
        <v/>
      </c>
      <c r="B519" s="12" t="n"/>
      <c r="C519" s="65" t="n"/>
      <c r="D519" s="165">
        <f>Accounts!K519</f>
        <v/>
      </c>
      <c r="E519" s="166" t="n">
        <v>0.6</v>
      </c>
      <c r="F519" s="167">
        <f>Accounts!K519*E519</f>
        <v/>
      </c>
      <c r="G519" s="166" t="n">
        <v>0.4</v>
      </c>
      <c r="H519" s="167">
        <f>F519*G519</f>
        <v/>
      </c>
      <c r="I519" s="168">
        <f>if(or(eq(Accounts!J519,"No Valet"),eq(Accounts!J519,"Has Valet")), H519 * AVERAGE(Accounts!J$2:J$36),H519*Accounts!J519)</f>
        <v/>
      </c>
      <c r="J519" s="168">
        <f>iferror(I519*360,"")</f>
        <v/>
      </c>
      <c r="K519" s="168">
        <f>J519*0.1</f>
        <v/>
      </c>
    </row>
    <row r="520" ht="54.75" customHeight="1" s="211">
      <c r="A520" s="164">
        <f>Accounts!A520</f>
        <v/>
      </c>
      <c r="B520" s="12" t="n"/>
      <c r="C520" s="65" t="n"/>
      <c r="D520" s="165">
        <f>Accounts!K520</f>
        <v/>
      </c>
      <c r="E520" s="166" t="n">
        <v>0.6</v>
      </c>
      <c r="F520" s="167">
        <f>Accounts!K520*E520</f>
        <v/>
      </c>
      <c r="G520" s="166" t="n">
        <v>0.4</v>
      </c>
      <c r="H520" s="167">
        <f>F520*G520</f>
        <v/>
      </c>
      <c r="I520" s="168">
        <f>if(or(eq(Accounts!J520,"No Valet"),eq(Accounts!J520,"Has Valet")), H520 * AVERAGE(Accounts!J$2:J$36),H520*Accounts!J520)</f>
        <v/>
      </c>
      <c r="J520" s="168">
        <f>iferror(I520*360,"")</f>
        <v/>
      </c>
      <c r="K520" s="168">
        <f>J520*0.1</f>
        <v/>
      </c>
    </row>
    <row r="521" ht="54.75" customHeight="1" s="211">
      <c r="A521" s="164">
        <f>Accounts!A521</f>
        <v/>
      </c>
      <c r="B521" s="12" t="n"/>
      <c r="C521" s="65" t="n"/>
      <c r="D521" s="165">
        <f>Accounts!K521</f>
        <v/>
      </c>
      <c r="E521" s="166" t="n">
        <v>0.6</v>
      </c>
      <c r="F521" s="167">
        <f>Accounts!K521*E521</f>
        <v/>
      </c>
      <c r="G521" s="166" t="n">
        <v>0.4</v>
      </c>
      <c r="H521" s="167">
        <f>F521*G521</f>
        <v/>
      </c>
      <c r="I521" s="168">
        <f>if(or(eq(Accounts!J521,"No Valet"),eq(Accounts!J521,"Has Valet")), H521 * AVERAGE(Accounts!J$2:J$36),H521*Accounts!J521)</f>
        <v/>
      </c>
      <c r="J521" s="168">
        <f>iferror(I521*360,"")</f>
        <v/>
      </c>
      <c r="K521" s="168">
        <f>J521*0.1</f>
        <v/>
      </c>
    </row>
    <row r="522" ht="54.75" customHeight="1" s="211">
      <c r="A522" s="164">
        <f>Accounts!A522</f>
        <v/>
      </c>
      <c r="B522" s="12" t="n"/>
      <c r="C522" s="65" t="n"/>
      <c r="D522" s="165">
        <f>Accounts!K522</f>
        <v/>
      </c>
      <c r="E522" s="166" t="n">
        <v>0.6</v>
      </c>
      <c r="F522" s="167">
        <f>Accounts!K522*E522</f>
        <v/>
      </c>
      <c r="G522" s="166" t="n">
        <v>0.4</v>
      </c>
      <c r="H522" s="167">
        <f>F522*G522</f>
        <v/>
      </c>
      <c r="I522" s="168">
        <f>if(or(eq(Accounts!J522,"No Valet"),eq(Accounts!J522,"Has Valet")), H522 * AVERAGE(Accounts!J$2:J$36),H522*Accounts!J522)</f>
        <v/>
      </c>
      <c r="J522" s="168">
        <f>iferror(I522*360,"")</f>
        <v/>
      </c>
      <c r="K522" s="168">
        <f>J522*0.1</f>
        <v/>
      </c>
    </row>
    <row r="523" ht="54.75" customHeight="1" s="211">
      <c r="A523" s="164">
        <f>Accounts!A523</f>
        <v/>
      </c>
      <c r="B523" s="12" t="n"/>
      <c r="C523" s="65" t="n"/>
      <c r="D523" s="165">
        <f>Accounts!K523</f>
        <v/>
      </c>
      <c r="E523" s="166" t="n">
        <v>0.6</v>
      </c>
      <c r="F523" s="167">
        <f>Accounts!K523*E523</f>
        <v/>
      </c>
      <c r="G523" s="166" t="n">
        <v>0.4</v>
      </c>
      <c r="H523" s="167">
        <f>F523*G523</f>
        <v/>
      </c>
      <c r="I523" s="168">
        <f>if(or(eq(Accounts!J523,"No Valet"),eq(Accounts!J523,"Has Valet")), H523 * AVERAGE(Accounts!J$2:J$36),H523*Accounts!J523)</f>
        <v/>
      </c>
      <c r="J523" s="168">
        <f>iferror(I523*360,"")</f>
        <v/>
      </c>
      <c r="K523" s="168">
        <f>J523*0.1</f>
        <v/>
      </c>
    </row>
    <row r="524" ht="54.75" customHeight="1" s="211">
      <c r="A524" s="164">
        <f>Accounts!A524</f>
        <v/>
      </c>
      <c r="B524" s="12" t="n"/>
      <c r="C524" s="65" t="n"/>
      <c r="D524" s="165">
        <f>Accounts!K524</f>
        <v/>
      </c>
      <c r="E524" s="166" t="n">
        <v>0.6</v>
      </c>
      <c r="F524" s="167">
        <f>Accounts!K524*E524</f>
        <v/>
      </c>
      <c r="G524" s="166" t="n">
        <v>0.4</v>
      </c>
      <c r="H524" s="167">
        <f>F524*G524</f>
        <v/>
      </c>
      <c r="I524" s="168">
        <f>if(or(eq(Accounts!J524,"No Valet"),eq(Accounts!J524,"Has Valet")), H524 * AVERAGE(Accounts!J$2:J$36),H524*Accounts!J524)</f>
        <v/>
      </c>
      <c r="J524" s="168">
        <f>iferror(I524*360,"")</f>
        <v/>
      </c>
      <c r="K524" s="168">
        <f>J524*0.1</f>
        <v/>
      </c>
    </row>
    <row r="525" ht="54.75" customHeight="1" s="211">
      <c r="A525" s="164">
        <f>Accounts!A525</f>
        <v/>
      </c>
      <c r="B525" s="12" t="n"/>
      <c r="C525" s="65" t="n"/>
      <c r="D525" s="165">
        <f>Accounts!K525</f>
        <v/>
      </c>
      <c r="E525" s="166" t="n">
        <v>0.6</v>
      </c>
      <c r="F525" s="167">
        <f>Accounts!K525*E525</f>
        <v/>
      </c>
      <c r="G525" s="166" t="n">
        <v>0.4</v>
      </c>
      <c r="H525" s="167">
        <f>F525*G525</f>
        <v/>
      </c>
      <c r="I525" s="168">
        <f>if(or(eq(Accounts!J525,"No Valet"),eq(Accounts!J525,"Has Valet")), H525 * AVERAGE(Accounts!J$2:J$36),H525*Accounts!J525)</f>
        <v/>
      </c>
      <c r="J525" s="168">
        <f>iferror(I525*360,"")</f>
        <v/>
      </c>
      <c r="K525" s="168">
        <f>J525*0.1</f>
        <v/>
      </c>
    </row>
    <row r="526" ht="54.75" customHeight="1" s="211">
      <c r="A526" s="164">
        <f>Accounts!A526</f>
        <v/>
      </c>
      <c r="B526" s="12" t="n"/>
      <c r="C526" s="65" t="n"/>
      <c r="D526" s="165">
        <f>Accounts!K526</f>
        <v/>
      </c>
      <c r="E526" s="166" t="n">
        <v>0.6</v>
      </c>
      <c r="F526" s="167">
        <f>Accounts!K526*E526</f>
        <v/>
      </c>
      <c r="G526" s="166" t="n">
        <v>0.4</v>
      </c>
      <c r="H526" s="167">
        <f>F526*G526</f>
        <v/>
      </c>
      <c r="I526" s="168">
        <f>if(or(eq(Accounts!J526,"No Valet"),eq(Accounts!J526,"Has Valet")), H526 * AVERAGE(Accounts!J$2:J$36),H526*Accounts!J526)</f>
        <v/>
      </c>
      <c r="J526" s="168">
        <f>iferror(I526*360,"")</f>
        <v/>
      </c>
      <c r="K526" s="168">
        <f>J526*0.1</f>
        <v/>
      </c>
    </row>
    <row r="527" ht="54.75" customHeight="1" s="211">
      <c r="A527" s="164">
        <f>Accounts!A527</f>
        <v/>
      </c>
      <c r="B527" s="12" t="n"/>
      <c r="C527" s="65" t="n"/>
      <c r="D527" s="165">
        <f>Accounts!K527</f>
        <v/>
      </c>
      <c r="E527" s="166" t="n">
        <v>0.6</v>
      </c>
      <c r="F527" s="167">
        <f>Accounts!K527*E527</f>
        <v/>
      </c>
      <c r="G527" s="166" t="n">
        <v>0.4</v>
      </c>
      <c r="H527" s="167">
        <f>F527*G527</f>
        <v/>
      </c>
      <c r="I527" s="168">
        <f>if(or(eq(Accounts!J527,"No Valet"),eq(Accounts!J527,"Has Valet")), H527 * AVERAGE(Accounts!J$2:J$36),H527*Accounts!J527)</f>
        <v/>
      </c>
      <c r="J527" s="168">
        <f>iferror(I527*360,"")</f>
        <v/>
      </c>
      <c r="K527" s="168">
        <f>J527*0.1</f>
        <v/>
      </c>
    </row>
    <row r="528" ht="54.75" customHeight="1" s="211">
      <c r="A528" s="164">
        <f>Accounts!A528</f>
        <v/>
      </c>
      <c r="B528" s="12" t="n"/>
      <c r="C528" s="65" t="n"/>
      <c r="D528" s="165">
        <f>Accounts!K528</f>
        <v/>
      </c>
      <c r="E528" s="166" t="n">
        <v>0.6</v>
      </c>
      <c r="F528" s="167">
        <f>Accounts!K528*E528</f>
        <v/>
      </c>
      <c r="G528" s="166" t="n">
        <v>0.4</v>
      </c>
      <c r="H528" s="167">
        <f>F528*G528</f>
        <v/>
      </c>
      <c r="I528" s="168">
        <f>if(or(eq(Accounts!J528,"No Valet"),eq(Accounts!J528,"Has Valet")), H528 * AVERAGE(Accounts!J$2:J$36),H528*Accounts!J528)</f>
        <v/>
      </c>
      <c r="J528" s="168">
        <f>iferror(I528*360,"")</f>
        <v/>
      </c>
      <c r="K528" s="168">
        <f>J528*0.1</f>
        <v/>
      </c>
    </row>
    <row r="529" ht="54.75" customHeight="1" s="211">
      <c r="A529" s="164">
        <f>Accounts!A529</f>
        <v/>
      </c>
      <c r="B529" s="12" t="n"/>
      <c r="C529" s="65" t="n"/>
      <c r="D529" s="165">
        <f>Accounts!K529</f>
        <v/>
      </c>
      <c r="E529" s="166" t="n">
        <v>0.6</v>
      </c>
      <c r="F529" s="167">
        <f>Accounts!K529*E529</f>
        <v/>
      </c>
      <c r="G529" s="166" t="n">
        <v>0.4</v>
      </c>
      <c r="H529" s="167">
        <f>F529*G529</f>
        <v/>
      </c>
      <c r="I529" s="168">
        <f>if(or(eq(Accounts!J529,"No Valet"),eq(Accounts!J529,"Has Valet")), H529 * AVERAGE(Accounts!J$2:J$36),H529*Accounts!J529)</f>
        <v/>
      </c>
      <c r="J529" s="168">
        <f>iferror(I529*360,"")</f>
        <v/>
      </c>
      <c r="K529" s="168">
        <f>J529*0.1</f>
        <v/>
      </c>
    </row>
    <row r="530" ht="54.75" customHeight="1" s="211">
      <c r="A530" s="164">
        <f>Accounts!A530</f>
        <v/>
      </c>
      <c r="B530" s="12" t="n"/>
      <c r="C530" s="65" t="n"/>
      <c r="D530" s="165">
        <f>Accounts!K530</f>
        <v/>
      </c>
      <c r="E530" s="166" t="n">
        <v>0.6</v>
      </c>
      <c r="F530" s="167">
        <f>Accounts!K530*E530</f>
        <v/>
      </c>
      <c r="G530" s="166" t="n">
        <v>0.4</v>
      </c>
      <c r="H530" s="167">
        <f>F530*G530</f>
        <v/>
      </c>
      <c r="I530" s="168">
        <f>if(or(eq(Accounts!J530,"No Valet"),eq(Accounts!J530,"Has Valet")), H530 * AVERAGE(Accounts!J$2:J$36),H530*Accounts!J530)</f>
        <v/>
      </c>
      <c r="J530" s="168">
        <f>iferror(I530*360,"")</f>
        <v/>
      </c>
      <c r="K530" s="168">
        <f>J530*0.1</f>
        <v/>
      </c>
    </row>
    <row r="531" ht="54.75" customHeight="1" s="211">
      <c r="A531" s="164">
        <f>Accounts!A531</f>
        <v/>
      </c>
      <c r="B531" s="12" t="n"/>
      <c r="C531" s="65" t="n"/>
      <c r="D531" s="165">
        <f>Accounts!K531</f>
        <v/>
      </c>
      <c r="E531" s="166" t="n">
        <v>0.6</v>
      </c>
      <c r="F531" s="167">
        <f>Accounts!K531*E531</f>
        <v/>
      </c>
      <c r="G531" s="166" t="n">
        <v>0.4</v>
      </c>
      <c r="H531" s="167">
        <f>F531*G531</f>
        <v/>
      </c>
      <c r="I531" s="168">
        <f>if(or(eq(Accounts!J531,"No Valet"),eq(Accounts!J531,"Has Valet")), H531 * AVERAGE(Accounts!J$2:J$36),H531*Accounts!J531)</f>
        <v/>
      </c>
      <c r="J531" s="168">
        <f>iferror(I531*360,"")</f>
        <v/>
      </c>
      <c r="K531" s="168">
        <f>J531*0.1</f>
        <v/>
      </c>
    </row>
    <row r="532" ht="54.75" customHeight="1" s="211">
      <c r="A532" s="164">
        <f>Accounts!A532</f>
        <v/>
      </c>
      <c r="B532" s="12" t="n"/>
      <c r="C532" s="65" t="n"/>
      <c r="D532" s="165">
        <f>Accounts!K532</f>
        <v/>
      </c>
      <c r="E532" s="166" t="n">
        <v>0.6</v>
      </c>
      <c r="F532" s="167">
        <f>Accounts!K532*E532</f>
        <v/>
      </c>
      <c r="G532" s="166" t="n">
        <v>0.4</v>
      </c>
      <c r="H532" s="167">
        <f>F532*G532</f>
        <v/>
      </c>
      <c r="I532" s="168">
        <f>if(or(eq(Accounts!J532,"No Valet"),eq(Accounts!J532,"Has Valet")), H532 * AVERAGE(Accounts!J$2:J$36),H532*Accounts!J532)</f>
        <v/>
      </c>
      <c r="J532" s="168">
        <f>iferror(I532*360,"")</f>
        <v/>
      </c>
      <c r="K532" s="168">
        <f>J532*0.1</f>
        <v/>
      </c>
    </row>
    <row r="533" ht="54.75" customHeight="1" s="211">
      <c r="A533" s="164">
        <f>Accounts!A533</f>
        <v/>
      </c>
      <c r="B533" s="12" t="n"/>
      <c r="C533" s="65" t="n"/>
      <c r="D533" s="165">
        <f>Accounts!K533</f>
        <v/>
      </c>
      <c r="E533" s="166" t="n">
        <v>0.6</v>
      </c>
      <c r="F533" s="167">
        <f>Accounts!K533*E533</f>
        <v/>
      </c>
      <c r="G533" s="166" t="n">
        <v>0.4</v>
      </c>
      <c r="H533" s="167">
        <f>F533*G533</f>
        <v/>
      </c>
      <c r="I533" s="168">
        <f>if(or(eq(Accounts!J533,"No Valet"),eq(Accounts!J533,"Has Valet")), H533 * AVERAGE(Accounts!J$2:J$36),H533*Accounts!J533)</f>
        <v/>
      </c>
      <c r="J533" s="168">
        <f>iferror(I533*360,"")</f>
        <v/>
      </c>
      <c r="K533" s="168">
        <f>J533*0.1</f>
        <v/>
      </c>
    </row>
    <row r="534" ht="54.75" customHeight="1" s="211">
      <c r="A534" s="164">
        <f>Accounts!A534</f>
        <v/>
      </c>
      <c r="B534" s="12" t="n"/>
      <c r="C534" s="65" t="n"/>
      <c r="D534" s="165">
        <f>Accounts!K534</f>
        <v/>
      </c>
      <c r="E534" s="166" t="n">
        <v>0.6</v>
      </c>
      <c r="F534" s="167">
        <f>Accounts!K534*E534</f>
        <v/>
      </c>
      <c r="G534" s="166" t="n">
        <v>0.4</v>
      </c>
      <c r="H534" s="167">
        <f>F534*G534</f>
        <v/>
      </c>
      <c r="I534" s="168">
        <f>if(or(eq(Accounts!J534,"No Valet"),eq(Accounts!J534,"Has Valet")), H534 * AVERAGE(Accounts!J$2:J$36),H534*Accounts!J534)</f>
        <v/>
      </c>
      <c r="J534" s="168">
        <f>iferror(I534*360,"")</f>
        <v/>
      </c>
      <c r="K534" s="168">
        <f>J534*0.1</f>
        <v/>
      </c>
    </row>
    <row r="535" ht="54.75" customHeight="1" s="211">
      <c r="A535" s="164">
        <f>Accounts!A535</f>
        <v/>
      </c>
      <c r="B535" s="12" t="n"/>
      <c r="C535" s="65" t="n"/>
      <c r="D535" s="165">
        <f>Accounts!K535</f>
        <v/>
      </c>
      <c r="E535" s="166" t="n">
        <v>0.6</v>
      </c>
      <c r="F535" s="167">
        <f>Accounts!K535*E535</f>
        <v/>
      </c>
      <c r="G535" s="166" t="n">
        <v>0.4</v>
      </c>
      <c r="H535" s="167">
        <f>F535*G535</f>
        <v/>
      </c>
      <c r="I535" s="168">
        <f>if(or(eq(Accounts!J535,"No Valet"),eq(Accounts!J535,"Has Valet")), H535 * AVERAGE(Accounts!J$2:J$36),H535*Accounts!J535)</f>
        <v/>
      </c>
      <c r="J535" s="168">
        <f>iferror(I535*360,"")</f>
        <v/>
      </c>
      <c r="K535" s="168">
        <f>J535*0.1</f>
        <v/>
      </c>
    </row>
    <row r="536" ht="54.75" customHeight="1" s="211">
      <c r="A536" s="164">
        <f>Accounts!A536</f>
        <v/>
      </c>
      <c r="B536" s="12" t="n"/>
      <c r="C536" s="65" t="n"/>
      <c r="D536" s="165">
        <f>Accounts!K536</f>
        <v/>
      </c>
      <c r="E536" s="166" t="n">
        <v>0.6</v>
      </c>
      <c r="F536" s="167">
        <f>Accounts!K536*E536</f>
        <v/>
      </c>
      <c r="G536" s="166" t="n">
        <v>0.4</v>
      </c>
      <c r="H536" s="167">
        <f>F536*G536</f>
        <v/>
      </c>
      <c r="I536" s="168">
        <f>if(or(eq(Accounts!J536,"No Valet"),eq(Accounts!J536,"Has Valet")), H536 * AVERAGE(Accounts!J$2:J$36),H536*Accounts!J536)</f>
        <v/>
      </c>
      <c r="J536" s="168">
        <f>iferror(I536*360,"")</f>
        <v/>
      </c>
      <c r="K536" s="168">
        <f>J536*0.1</f>
        <v/>
      </c>
    </row>
    <row r="537" ht="54.75" customHeight="1" s="211">
      <c r="A537" s="164">
        <f>Accounts!A537</f>
        <v/>
      </c>
      <c r="B537" s="12" t="n"/>
      <c r="C537" s="65" t="n"/>
      <c r="D537" s="165">
        <f>Accounts!K537</f>
        <v/>
      </c>
      <c r="E537" s="166" t="n">
        <v>0.6</v>
      </c>
      <c r="F537" s="167">
        <f>Accounts!K537*E537</f>
        <v/>
      </c>
      <c r="G537" s="166" t="n">
        <v>0.4</v>
      </c>
      <c r="H537" s="167">
        <f>F537*G537</f>
        <v/>
      </c>
      <c r="I537" s="168">
        <f>if(or(eq(Accounts!J537,"No Valet"),eq(Accounts!J537,"Has Valet")), H537 * AVERAGE(Accounts!J$2:J$36),H537*Accounts!J537)</f>
        <v/>
      </c>
      <c r="J537" s="168">
        <f>iferror(I537*360,"")</f>
        <v/>
      </c>
      <c r="K537" s="168">
        <f>J537*0.1</f>
        <v/>
      </c>
    </row>
    <row r="538" ht="54.75" customHeight="1" s="211">
      <c r="A538" s="164">
        <f>Accounts!A538</f>
        <v/>
      </c>
      <c r="B538" s="12" t="n"/>
      <c r="C538" s="65" t="n"/>
      <c r="D538" s="165">
        <f>Accounts!K538</f>
        <v/>
      </c>
      <c r="E538" s="166" t="n">
        <v>0.6</v>
      </c>
      <c r="F538" s="167">
        <f>Accounts!K538*E538</f>
        <v/>
      </c>
      <c r="G538" s="166" t="n">
        <v>0.4</v>
      </c>
      <c r="H538" s="167">
        <f>F538*G538</f>
        <v/>
      </c>
      <c r="I538" s="168">
        <f>if(or(eq(Accounts!J538,"No Valet"),eq(Accounts!J538,"Has Valet")), H538 * AVERAGE(Accounts!J$2:J$36),H538*Accounts!J538)</f>
        <v/>
      </c>
      <c r="J538" s="168">
        <f>iferror(I538*360,"")</f>
        <v/>
      </c>
      <c r="K538" s="168">
        <f>J538*0.1</f>
        <v/>
      </c>
    </row>
    <row r="539" ht="54.75" customHeight="1" s="211">
      <c r="A539" s="164">
        <f>Accounts!A539</f>
        <v/>
      </c>
      <c r="B539" s="12" t="n"/>
      <c r="C539" s="65" t="n"/>
      <c r="D539" s="165">
        <f>Accounts!K539</f>
        <v/>
      </c>
      <c r="E539" s="166" t="n">
        <v>0.6</v>
      </c>
      <c r="F539" s="167">
        <f>Accounts!K539*E539</f>
        <v/>
      </c>
      <c r="G539" s="166" t="n">
        <v>0.4</v>
      </c>
      <c r="H539" s="167">
        <f>F539*G539</f>
        <v/>
      </c>
      <c r="I539" s="168">
        <f>if(or(eq(Accounts!J539,"No Valet"),eq(Accounts!J539,"Has Valet")), H539 * AVERAGE(Accounts!J$2:J$36),H539*Accounts!J539)</f>
        <v/>
      </c>
      <c r="J539" s="168">
        <f>iferror(I539*360,"")</f>
        <v/>
      </c>
      <c r="K539" s="168">
        <f>J539*0.1</f>
        <v/>
      </c>
    </row>
    <row r="540" ht="54.75" customHeight="1" s="211">
      <c r="A540" s="164">
        <f>Accounts!A540</f>
        <v/>
      </c>
      <c r="B540" s="12" t="n"/>
      <c r="C540" s="65" t="n"/>
      <c r="D540" s="165">
        <f>Accounts!K540</f>
        <v/>
      </c>
      <c r="E540" s="166" t="n">
        <v>0.6</v>
      </c>
      <c r="F540" s="167">
        <f>Accounts!K540*E540</f>
        <v/>
      </c>
      <c r="G540" s="166" t="n">
        <v>0.4</v>
      </c>
      <c r="H540" s="167">
        <f>F540*G540</f>
        <v/>
      </c>
      <c r="I540" s="168">
        <f>if(or(eq(Accounts!J540,"No Valet"),eq(Accounts!J540,"Has Valet")), H540 * AVERAGE(Accounts!J$2:J$36),H540*Accounts!J540)</f>
        <v/>
      </c>
      <c r="J540" s="168">
        <f>iferror(I540*360,"")</f>
        <v/>
      </c>
      <c r="K540" s="168">
        <f>J540*0.1</f>
        <v/>
      </c>
    </row>
    <row r="541" ht="54.75" customHeight="1" s="211">
      <c r="A541" s="164">
        <f>Accounts!A541</f>
        <v/>
      </c>
      <c r="B541" s="12" t="n"/>
      <c r="C541" s="65" t="n"/>
      <c r="D541" s="165">
        <f>Accounts!K541</f>
        <v/>
      </c>
      <c r="E541" s="166" t="n">
        <v>0.6</v>
      </c>
      <c r="F541" s="167">
        <f>Accounts!K541*E541</f>
        <v/>
      </c>
      <c r="G541" s="166" t="n">
        <v>0.4</v>
      </c>
      <c r="H541" s="167">
        <f>F541*G541</f>
        <v/>
      </c>
      <c r="I541" s="168">
        <f>if(or(eq(Accounts!J541,"No Valet"),eq(Accounts!J541,"Has Valet")), H541 * AVERAGE(Accounts!J$2:J$36),H541*Accounts!J541)</f>
        <v/>
      </c>
      <c r="J541" s="168">
        <f>iferror(I541*360,"")</f>
        <v/>
      </c>
      <c r="K541" s="168">
        <f>J541*0.1</f>
        <v/>
      </c>
    </row>
    <row r="542" ht="54.75" customHeight="1" s="211">
      <c r="A542" s="164">
        <f>Accounts!A542</f>
        <v/>
      </c>
      <c r="B542" s="12" t="n"/>
      <c r="C542" s="65" t="n"/>
      <c r="D542" s="165">
        <f>Accounts!K542</f>
        <v/>
      </c>
      <c r="E542" s="166" t="n">
        <v>0.6</v>
      </c>
      <c r="F542" s="167">
        <f>Accounts!K542*E542</f>
        <v/>
      </c>
      <c r="G542" s="166" t="n">
        <v>0.4</v>
      </c>
      <c r="H542" s="167">
        <f>F542*G542</f>
        <v/>
      </c>
      <c r="I542" s="168">
        <f>if(or(eq(Accounts!J542,"No Valet"),eq(Accounts!J542,"Has Valet")), H542 * AVERAGE(Accounts!J$2:J$36),H542*Accounts!J542)</f>
        <v/>
      </c>
      <c r="J542" s="168">
        <f>iferror(I542*360,"")</f>
        <v/>
      </c>
      <c r="K542" s="168">
        <f>J542*0.1</f>
        <v/>
      </c>
    </row>
    <row r="543" ht="54.75" customHeight="1" s="211">
      <c r="A543" s="164">
        <f>Accounts!A543</f>
        <v/>
      </c>
      <c r="B543" s="12" t="n"/>
      <c r="C543" s="65" t="n"/>
      <c r="D543" s="165">
        <f>Accounts!K543</f>
        <v/>
      </c>
      <c r="E543" s="166" t="n">
        <v>0.6</v>
      </c>
      <c r="F543" s="167">
        <f>Accounts!K543*E543</f>
        <v/>
      </c>
      <c r="G543" s="166" t="n">
        <v>0.4</v>
      </c>
      <c r="H543" s="167">
        <f>F543*G543</f>
        <v/>
      </c>
      <c r="I543" s="168">
        <f>if(or(eq(Accounts!J543,"No Valet"),eq(Accounts!J543,"Has Valet")), H543 * AVERAGE(Accounts!J$2:J$36),H543*Accounts!J543)</f>
        <v/>
      </c>
      <c r="J543" s="168">
        <f>iferror(I543*360,"")</f>
        <v/>
      </c>
      <c r="K543" s="168">
        <f>J543*0.1</f>
        <v/>
      </c>
    </row>
    <row r="544" ht="54.75" customHeight="1" s="211">
      <c r="A544" s="164">
        <f>Accounts!A544</f>
        <v/>
      </c>
      <c r="B544" s="12" t="n"/>
      <c r="C544" s="65" t="n"/>
      <c r="D544" s="165">
        <f>Accounts!K544</f>
        <v/>
      </c>
      <c r="E544" s="166" t="n">
        <v>0.6</v>
      </c>
      <c r="F544" s="167">
        <f>Accounts!K544*E544</f>
        <v/>
      </c>
      <c r="G544" s="166" t="n">
        <v>0.4</v>
      </c>
      <c r="H544" s="167">
        <f>F544*G544</f>
        <v/>
      </c>
      <c r="I544" s="168">
        <f>if(or(eq(Accounts!J544,"No Valet"),eq(Accounts!J544,"Has Valet")), H544 * AVERAGE(Accounts!J$2:J$36),H544*Accounts!J544)</f>
        <v/>
      </c>
      <c r="J544" s="168">
        <f>iferror(I544*360,"")</f>
        <v/>
      </c>
      <c r="K544" s="168">
        <f>J544*0.1</f>
        <v/>
      </c>
    </row>
    <row r="545" ht="54.75" customHeight="1" s="211">
      <c r="A545" s="164">
        <f>Accounts!A545</f>
        <v/>
      </c>
      <c r="B545" s="12" t="n"/>
      <c r="C545" s="65" t="n"/>
      <c r="D545" s="165">
        <f>Accounts!K545</f>
        <v/>
      </c>
      <c r="E545" s="166" t="n">
        <v>0.6</v>
      </c>
      <c r="F545" s="167">
        <f>Accounts!K545*E545</f>
        <v/>
      </c>
      <c r="G545" s="166" t="n">
        <v>0.4</v>
      </c>
      <c r="H545" s="167">
        <f>F545*G545</f>
        <v/>
      </c>
      <c r="I545" s="168">
        <f>if(or(eq(Accounts!J545,"No Valet"),eq(Accounts!J545,"Has Valet")), H545 * AVERAGE(Accounts!J$2:J$36),H545*Accounts!J545)</f>
        <v/>
      </c>
      <c r="J545" s="168">
        <f>iferror(I545*360,"")</f>
        <v/>
      </c>
      <c r="K545" s="168">
        <f>J545*0.1</f>
        <v/>
      </c>
    </row>
    <row r="546" ht="54.75" customHeight="1" s="211">
      <c r="A546" s="164">
        <f>Accounts!A546</f>
        <v/>
      </c>
      <c r="B546" s="12" t="n"/>
      <c r="C546" s="65" t="n"/>
      <c r="D546" s="165">
        <f>Accounts!K546</f>
        <v/>
      </c>
      <c r="E546" s="166" t="n">
        <v>0.6</v>
      </c>
      <c r="F546" s="167">
        <f>Accounts!K546*E546</f>
        <v/>
      </c>
      <c r="G546" s="166" t="n">
        <v>0.4</v>
      </c>
      <c r="H546" s="167">
        <f>F546*G546</f>
        <v/>
      </c>
      <c r="I546" s="168">
        <f>if(or(eq(Accounts!J546,"No Valet"),eq(Accounts!J546,"Has Valet")), H546 * AVERAGE(Accounts!J$2:J$36),H546*Accounts!J546)</f>
        <v/>
      </c>
      <c r="J546" s="168">
        <f>iferror(I546*360,"")</f>
        <v/>
      </c>
      <c r="K546" s="168">
        <f>J546*0.1</f>
        <v/>
      </c>
    </row>
    <row r="547" ht="54.75" customHeight="1" s="211">
      <c r="A547" s="164">
        <f>Accounts!A547</f>
        <v/>
      </c>
      <c r="B547" s="12" t="n"/>
      <c r="C547" s="65" t="n"/>
      <c r="D547" s="165">
        <f>Accounts!K547</f>
        <v/>
      </c>
      <c r="E547" s="166" t="n">
        <v>0.6</v>
      </c>
      <c r="F547" s="167">
        <f>Accounts!K547*E547</f>
        <v/>
      </c>
      <c r="G547" s="166" t="n">
        <v>0.4</v>
      </c>
      <c r="H547" s="167">
        <f>F547*G547</f>
        <v/>
      </c>
      <c r="I547" s="168">
        <f>if(or(eq(Accounts!J547,"No Valet"),eq(Accounts!J547,"Has Valet")), H547 * AVERAGE(Accounts!J$2:J$36),H547*Accounts!J547)</f>
        <v/>
      </c>
      <c r="J547" s="168">
        <f>iferror(I547*360,"")</f>
        <v/>
      </c>
      <c r="K547" s="168">
        <f>J547*0.1</f>
        <v/>
      </c>
    </row>
    <row r="548" ht="54.75" customHeight="1" s="211">
      <c r="A548" s="164">
        <f>Accounts!A548</f>
        <v/>
      </c>
      <c r="B548" s="12" t="n"/>
      <c r="C548" s="65" t="n"/>
      <c r="D548" s="165">
        <f>Accounts!K548</f>
        <v/>
      </c>
      <c r="E548" s="166" t="n">
        <v>0.6</v>
      </c>
      <c r="F548" s="167">
        <f>Accounts!K548*E548</f>
        <v/>
      </c>
      <c r="G548" s="166" t="n">
        <v>0.4</v>
      </c>
      <c r="H548" s="167">
        <f>F548*G548</f>
        <v/>
      </c>
      <c r="I548" s="168">
        <f>if(or(eq(Accounts!J548,"No Valet"),eq(Accounts!J548,"Has Valet")), H548 * AVERAGE(Accounts!J$2:J$36),H548*Accounts!J548)</f>
        <v/>
      </c>
      <c r="J548" s="168">
        <f>iferror(I548*360,"")</f>
        <v/>
      </c>
      <c r="K548" s="168">
        <f>J548*0.1</f>
        <v/>
      </c>
    </row>
    <row r="549" ht="54.75" customHeight="1" s="211">
      <c r="A549" s="164">
        <f>Accounts!A549</f>
        <v/>
      </c>
      <c r="B549" s="12" t="n"/>
      <c r="C549" s="65" t="n"/>
      <c r="D549" s="165">
        <f>Accounts!K549</f>
        <v/>
      </c>
      <c r="E549" s="166" t="n">
        <v>0.6</v>
      </c>
      <c r="F549" s="167">
        <f>Accounts!K549*E549</f>
        <v/>
      </c>
      <c r="G549" s="166" t="n">
        <v>0.4</v>
      </c>
      <c r="H549" s="167">
        <f>F549*G549</f>
        <v/>
      </c>
      <c r="I549" s="168">
        <f>if(or(eq(Accounts!J549,"No Valet"),eq(Accounts!J549,"Has Valet")), H549 * AVERAGE(Accounts!J$2:J$36),H549*Accounts!J549)</f>
        <v/>
      </c>
      <c r="J549" s="168">
        <f>iferror(I549*360,"")</f>
        <v/>
      </c>
      <c r="K549" s="168">
        <f>J549*0.1</f>
        <v/>
      </c>
    </row>
    <row r="550" ht="54.75" customHeight="1" s="211">
      <c r="A550" s="164">
        <f>Accounts!A550</f>
        <v/>
      </c>
      <c r="B550" s="12" t="n"/>
      <c r="C550" s="65" t="n"/>
      <c r="D550" s="165">
        <f>Accounts!K550</f>
        <v/>
      </c>
      <c r="E550" s="166" t="n">
        <v>0.6</v>
      </c>
      <c r="F550" s="167">
        <f>Accounts!K550*E550</f>
        <v/>
      </c>
      <c r="G550" s="166" t="n">
        <v>0.4</v>
      </c>
      <c r="H550" s="167">
        <f>F550*G550</f>
        <v/>
      </c>
      <c r="I550" s="168">
        <f>if(or(eq(Accounts!J550,"No Valet"),eq(Accounts!J550,"Has Valet")), H550 * AVERAGE(Accounts!J$2:J$36),H550*Accounts!J550)</f>
        <v/>
      </c>
      <c r="J550" s="168">
        <f>iferror(I550*360,"")</f>
        <v/>
      </c>
      <c r="K550" s="168">
        <f>J550*0.1</f>
        <v/>
      </c>
    </row>
    <row r="551" ht="54.75" customHeight="1" s="211">
      <c r="A551" s="164">
        <f>Accounts!A551</f>
        <v/>
      </c>
      <c r="B551" s="12" t="n"/>
      <c r="C551" s="65" t="n"/>
      <c r="D551" s="165">
        <f>Accounts!K551</f>
        <v/>
      </c>
      <c r="E551" s="166" t="n">
        <v>0.6</v>
      </c>
      <c r="F551" s="167">
        <f>Accounts!K551*E551</f>
        <v/>
      </c>
      <c r="G551" s="166" t="n">
        <v>0.4</v>
      </c>
      <c r="H551" s="167">
        <f>F551*G551</f>
        <v/>
      </c>
      <c r="I551" s="168">
        <f>if(or(eq(Accounts!J551,"No Valet"),eq(Accounts!J551,"Has Valet")), H551 * AVERAGE(Accounts!J$2:J$36),H551*Accounts!J551)</f>
        <v/>
      </c>
      <c r="J551" s="168">
        <f>iferror(I551*360,"")</f>
        <v/>
      </c>
      <c r="K551" s="168">
        <f>J551*0.1</f>
        <v/>
      </c>
    </row>
    <row r="552" ht="54.75" customHeight="1" s="211">
      <c r="A552" s="164">
        <f>Accounts!A552</f>
        <v/>
      </c>
      <c r="B552" s="12" t="n"/>
      <c r="C552" s="65" t="n"/>
      <c r="D552" s="165">
        <f>Accounts!K552</f>
        <v/>
      </c>
      <c r="E552" s="166" t="n">
        <v>0.6</v>
      </c>
      <c r="F552" s="167">
        <f>Accounts!K552*E552</f>
        <v/>
      </c>
      <c r="G552" s="166" t="n">
        <v>0.4</v>
      </c>
      <c r="H552" s="167">
        <f>F552*G552</f>
        <v/>
      </c>
      <c r="I552" s="168">
        <f>if(or(eq(Accounts!J552,"No Valet"),eq(Accounts!J552,"Has Valet")), H552 * AVERAGE(Accounts!J$2:J$36),H552*Accounts!J552)</f>
        <v/>
      </c>
      <c r="J552" s="168">
        <f>iferror(I552*360,"")</f>
        <v/>
      </c>
      <c r="K552" s="168">
        <f>J552*0.1</f>
        <v/>
      </c>
    </row>
    <row r="553" ht="54.75" customHeight="1" s="211">
      <c r="A553" s="164">
        <f>Accounts!A553</f>
        <v/>
      </c>
      <c r="B553" s="12" t="n"/>
      <c r="C553" s="65" t="n"/>
      <c r="D553" s="165">
        <f>Accounts!K553</f>
        <v/>
      </c>
      <c r="E553" s="166" t="n">
        <v>0.6</v>
      </c>
      <c r="F553" s="167">
        <f>Accounts!K553*E553</f>
        <v/>
      </c>
      <c r="G553" s="166" t="n">
        <v>0.4</v>
      </c>
      <c r="H553" s="167">
        <f>F553*G553</f>
        <v/>
      </c>
      <c r="I553" s="168">
        <f>if(or(eq(Accounts!J553,"No Valet"),eq(Accounts!J553,"Has Valet")), H553 * AVERAGE(Accounts!J$2:J$36),H553*Accounts!J553)</f>
        <v/>
      </c>
      <c r="J553" s="168">
        <f>iferror(I553*360,"")</f>
        <v/>
      </c>
      <c r="K553" s="168">
        <f>J553*0.1</f>
        <v/>
      </c>
    </row>
    <row r="554" ht="54.75" customHeight="1" s="211">
      <c r="A554" s="164">
        <f>Accounts!A554</f>
        <v/>
      </c>
      <c r="B554" s="12" t="n"/>
      <c r="C554" s="65" t="n"/>
      <c r="D554" s="165">
        <f>Accounts!K554</f>
        <v/>
      </c>
      <c r="E554" s="166" t="n">
        <v>0.6</v>
      </c>
      <c r="F554" s="167">
        <f>Accounts!K554*E554</f>
        <v/>
      </c>
      <c r="G554" s="166" t="n">
        <v>0.4</v>
      </c>
      <c r="H554" s="167">
        <f>F554*G554</f>
        <v/>
      </c>
      <c r="I554" s="168">
        <f>if(or(eq(Accounts!J554,"No Valet"),eq(Accounts!J554,"Has Valet")), H554 * AVERAGE(Accounts!J$2:J$36),H554*Accounts!J554)</f>
        <v/>
      </c>
      <c r="J554" s="168">
        <f>iferror(I554*360,"")</f>
        <v/>
      </c>
      <c r="K554" s="168">
        <f>J554*0.1</f>
        <v/>
      </c>
    </row>
    <row r="555" ht="54.75" customHeight="1" s="211">
      <c r="A555" s="164">
        <f>Accounts!A555</f>
        <v/>
      </c>
      <c r="B555" s="12" t="n"/>
      <c r="C555" s="65" t="n"/>
      <c r="D555" s="165">
        <f>Accounts!K555</f>
        <v/>
      </c>
      <c r="E555" s="166" t="n">
        <v>0.6</v>
      </c>
      <c r="F555" s="167">
        <f>Accounts!K555*E555</f>
        <v/>
      </c>
      <c r="G555" s="166" t="n">
        <v>0.4</v>
      </c>
      <c r="H555" s="167">
        <f>F555*G555</f>
        <v/>
      </c>
      <c r="I555" s="168">
        <f>if(or(eq(Accounts!J555,"No Valet"),eq(Accounts!J555,"Has Valet")), H555 * AVERAGE(Accounts!J$2:J$36),H555*Accounts!J555)</f>
        <v/>
      </c>
      <c r="J555" s="168">
        <f>iferror(I555*360,"")</f>
        <v/>
      </c>
      <c r="K555" s="168">
        <f>J555*0.1</f>
        <v/>
      </c>
    </row>
    <row r="556" ht="54.75" customHeight="1" s="211">
      <c r="A556" s="164">
        <f>Accounts!A556</f>
        <v/>
      </c>
      <c r="B556" s="12" t="n"/>
      <c r="C556" s="65" t="n"/>
      <c r="D556" s="165">
        <f>Accounts!K556</f>
        <v/>
      </c>
      <c r="E556" s="166" t="n">
        <v>0.6</v>
      </c>
      <c r="F556" s="167">
        <f>Accounts!K556*E556</f>
        <v/>
      </c>
      <c r="G556" s="166" t="n">
        <v>0.4</v>
      </c>
      <c r="H556" s="167">
        <f>F556*G556</f>
        <v/>
      </c>
      <c r="I556" s="168">
        <f>if(or(eq(Accounts!J556,"No Valet"),eq(Accounts!J556,"Has Valet")), H556 * AVERAGE(Accounts!J$2:J$36),H556*Accounts!J556)</f>
        <v/>
      </c>
      <c r="J556" s="168">
        <f>iferror(I556*360,"")</f>
        <v/>
      </c>
      <c r="K556" s="168">
        <f>J556*0.1</f>
        <v/>
      </c>
    </row>
    <row r="557" ht="54.75" customHeight="1" s="211">
      <c r="A557" s="164">
        <f>Accounts!A557</f>
        <v/>
      </c>
      <c r="B557" s="12" t="n"/>
      <c r="C557" s="65" t="n"/>
      <c r="D557" s="165">
        <f>Accounts!K557</f>
        <v/>
      </c>
      <c r="E557" s="166" t="n">
        <v>0.6</v>
      </c>
      <c r="F557" s="167">
        <f>Accounts!K557*E557</f>
        <v/>
      </c>
      <c r="G557" s="166" t="n">
        <v>0.4</v>
      </c>
      <c r="H557" s="167">
        <f>F557*G557</f>
        <v/>
      </c>
      <c r="I557" s="168">
        <f>if(or(eq(Accounts!J557,"No Valet"),eq(Accounts!J557,"Has Valet")), H557 * AVERAGE(Accounts!J$2:J$36),H557*Accounts!J557)</f>
        <v/>
      </c>
      <c r="J557" s="168">
        <f>iferror(I557*360,"")</f>
        <v/>
      </c>
      <c r="K557" s="168">
        <f>J557*0.1</f>
        <v/>
      </c>
    </row>
    <row r="558" ht="54.75" customHeight="1" s="211">
      <c r="A558" s="164">
        <f>Accounts!A558</f>
        <v/>
      </c>
      <c r="B558" s="12" t="n"/>
      <c r="C558" s="65" t="n"/>
      <c r="D558" s="165">
        <f>Accounts!K558</f>
        <v/>
      </c>
      <c r="E558" s="166" t="n">
        <v>0.6</v>
      </c>
      <c r="F558" s="167">
        <f>Accounts!K558*E558</f>
        <v/>
      </c>
      <c r="G558" s="166" t="n">
        <v>0.4</v>
      </c>
      <c r="H558" s="167">
        <f>F558*G558</f>
        <v/>
      </c>
      <c r="I558" s="168">
        <f>if(or(eq(Accounts!J558,"No Valet"),eq(Accounts!J558,"Has Valet")), H558 * AVERAGE(Accounts!J$2:J$36),H558*Accounts!J558)</f>
        <v/>
      </c>
      <c r="J558" s="168">
        <f>iferror(I558*360,"")</f>
        <v/>
      </c>
      <c r="K558" s="168">
        <f>J558*0.1</f>
        <v/>
      </c>
    </row>
    <row r="559" ht="54.75" customHeight="1" s="211">
      <c r="A559" s="164">
        <f>Accounts!A559</f>
        <v/>
      </c>
      <c r="B559" s="12" t="n"/>
      <c r="C559" s="65" t="n"/>
      <c r="D559" s="165">
        <f>Accounts!K559</f>
        <v/>
      </c>
      <c r="E559" s="166" t="n">
        <v>0.6</v>
      </c>
      <c r="F559" s="167">
        <f>Accounts!K559*E559</f>
        <v/>
      </c>
      <c r="G559" s="166" t="n">
        <v>0.4</v>
      </c>
      <c r="H559" s="167">
        <f>F559*G559</f>
        <v/>
      </c>
      <c r="I559" s="168">
        <f>if(or(eq(Accounts!J559,"No Valet"),eq(Accounts!J559,"Has Valet")), H559 * AVERAGE(Accounts!J$2:J$36),H559*Accounts!J559)</f>
        <v/>
      </c>
      <c r="J559" s="168">
        <f>iferror(I559*360,"")</f>
        <v/>
      </c>
      <c r="K559" s="168">
        <f>J559*0.1</f>
        <v/>
      </c>
    </row>
    <row r="560" ht="54.75" customHeight="1" s="211">
      <c r="A560" s="164">
        <f>Accounts!A560</f>
        <v/>
      </c>
      <c r="B560" s="12" t="n"/>
      <c r="C560" s="65" t="n"/>
      <c r="D560" s="165">
        <f>Accounts!K560</f>
        <v/>
      </c>
      <c r="E560" s="166" t="n">
        <v>0.6</v>
      </c>
      <c r="F560" s="167">
        <f>Accounts!K560*E560</f>
        <v/>
      </c>
      <c r="G560" s="166" t="n">
        <v>0.4</v>
      </c>
      <c r="H560" s="167">
        <f>F560*G560</f>
        <v/>
      </c>
      <c r="I560" s="168">
        <f>if(or(eq(Accounts!J560,"No Valet"),eq(Accounts!J560,"Has Valet")), H560 * AVERAGE(Accounts!J$2:J$36),H560*Accounts!J560)</f>
        <v/>
      </c>
      <c r="J560" s="168">
        <f>iferror(I560*360,"")</f>
        <v/>
      </c>
      <c r="K560" s="168">
        <f>J560*0.1</f>
        <v/>
      </c>
    </row>
    <row r="561" ht="54.75" customHeight="1" s="211">
      <c r="A561" s="164">
        <f>Accounts!A561</f>
        <v/>
      </c>
      <c r="B561" s="12" t="n"/>
      <c r="C561" s="65" t="n"/>
      <c r="D561" s="165">
        <f>Accounts!K561</f>
        <v/>
      </c>
      <c r="E561" s="166" t="n">
        <v>0.6</v>
      </c>
      <c r="F561" s="167">
        <f>Accounts!K561*E561</f>
        <v/>
      </c>
      <c r="G561" s="166" t="n">
        <v>0.4</v>
      </c>
      <c r="H561" s="167">
        <f>F561*G561</f>
        <v/>
      </c>
      <c r="I561" s="168">
        <f>if(or(eq(Accounts!J561,"No Valet"),eq(Accounts!J561,"Has Valet")), H561 * AVERAGE(Accounts!J$2:J$36),H561*Accounts!J561)</f>
        <v/>
      </c>
      <c r="J561" s="168">
        <f>iferror(I561*360,"")</f>
        <v/>
      </c>
      <c r="K561" s="168">
        <f>J561*0.1</f>
        <v/>
      </c>
    </row>
    <row r="562" ht="54.75" customHeight="1" s="211">
      <c r="A562" s="164">
        <f>Accounts!A562</f>
        <v/>
      </c>
      <c r="B562" s="12" t="n"/>
      <c r="C562" s="65" t="n"/>
      <c r="D562" s="165">
        <f>Accounts!K562</f>
        <v/>
      </c>
      <c r="E562" s="166" t="n">
        <v>0.6</v>
      </c>
      <c r="F562" s="167">
        <f>Accounts!K562*E562</f>
        <v/>
      </c>
      <c r="G562" s="166" t="n">
        <v>0.4</v>
      </c>
      <c r="H562" s="167">
        <f>F562*G562</f>
        <v/>
      </c>
      <c r="I562" s="168">
        <f>if(or(eq(Accounts!J562,"No Valet"),eq(Accounts!J562,"Has Valet")), H562 * AVERAGE(Accounts!J$2:J$36),H562*Accounts!J562)</f>
        <v/>
      </c>
      <c r="J562" s="168">
        <f>iferror(I562*360,"")</f>
        <v/>
      </c>
      <c r="K562" s="168">
        <f>J562*0.1</f>
        <v/>
      </c>
    </row>
    <row r="563" ht="54.75" customHeight="1" s="211">
      <c r="A563" s="164">
        <f>Accounts!A563</f>
        <v/>
      </c>
      <c r="B563" s="12" t="n"/>
      <c r="C563" s="65" t="n"/>
      <c r="D563" s="165">
        <f>Accounts!K563</f>
        <v/>
      </c>
      <c r="E563" s="166" t="n">
        <v>0.6</v>
      </c>
      <c r="F563" s="167">
        <f>Accounts!K563*E563</f>
        <v/>
      </c>
      <c r="G563" s="166" t="n">
        <v>0.4</v>
      </c>
      <c r="H563" s="167">
        <f>F563*G563</f>
        <v/>
      </c>
      <c r="I563" s="168">
        <f>if(or(eq(Accounts!J563,"No Valet"),eq(Accounts!J563,"Has Valet")), H563 * AVERAGE(Accounts!J$2:J$36),H563*Accounts!J563)</f>
        <v/>
      </c>
      <c r="J563" s="168">
        <f>iferror(I563*360,"")</f>
        <v/>
      </c>
      <c r="K563" s="168">
        <f>J563*0.1</f>
        <v/>
      </c>
    </row>
    <row r="564" ht="54.75" customHeight="1" s="211">
      <c r="A564" s="164">
        <f>Accounts!A564</f>
        <v/>
      </c>
      <c r="B564" s="12" t="n"/>
      <c r="C564" s="65" t="n"/>
      <c r="D564" s="165">
        <f>Accounts!K564</f>
        <v/>
      </c>
      <c r="E564" s="166" t="n">
        <v>0.6</v>
      </c>
      <c r="F564" s="167">
        <f>Accounts!K564*E564</f>
        <v/>
      </c>
      <c r="G564" s="166" t="n">
        <v>0.4</v>
      </c>
      <c r="H564" s="167">
        <f>F564*G564</f>
        <v/>
      </c>
      <c r="I564" s="168">
        <f>if(or(eq(Accounts!J564,"No Valet"),eq(Accounts!J564,"Has Valet")), H564 * AVERAGE(Accounts!J$2:J$36),H564*Accounts!J564)</f>
        <v/>
      </c>
      <c r="J564" s="168">
        <f>iferror(I564*360,"")</f>
        <v/>
      </c>
      <c r="K564" s="168">
        <f>J564*0.1</f>
        <v/>
      </c>
    </row>
    <row r="565" ht="54.75" customHeight="1" s="211">
      <c r="A565" s="164">
        <f>Accounts!A565</f>
        <v/>
      </c>
      <c r="B565" s="12" t="n"/>
      <c r="C565" s="65" t="n"/>
      <c r="D565" s="165">
        <f>Accounts!K565</f>
        <v/>
      </c>
      <c r="E565" s="166" t="n">
        <v>0.6</v>
      </c>
      <c r="F565" s="167">
        <f>Accounts!K565*E565</f>
        <v/>
      </c>
      <c r="G565" s="166" t="n">
        <v>0.4</v>
      </c>
      <c r="H565" s="167">
        <f>F565*G565</f>
        <v/>
      </c>
      <c r="I565" s="168">
        <f>if(or(eq(Accounts!J565,"No Valet"),eq(Accounts!J565,"Has Valet")), H565 * AVERAGE(Accounts!J$2:J$36),H565*Accounts!J565)</f>
        <v/>
      </c>
      <c r="J565" s="168">
        <f>iferror(I565*360,"")</f>
        <v/>
      </c>
      <c r="K565" s="168">
        <f>J565*0.1</f>
        <v/>
      </c>
    </row>
    <row r="566" ht="54.75" customHeight="1" s="211">
      <c r="A566" s="164">
        <f>Accounts!A566</f>
        <v/>
      </c>
      <c r="B566" s="12" t="n"/>
      <c r="C566" s="65" t="n"/>
      <c r="D566" s="165">
        <f>Accounts!K566</f>
        <v/>
      </c>
      <c r="E566" s="166" t="n">
        <v>0.6</v>
      </c>
      <c r="F566" s="167">
        <f>Accounts!K566*E566</f>
        <v/>
      </c>
      <c r="G566" s="166" t="n">
        <v>0.4</v>
      </c>
      <c r="H566" s="167">
        <f>F566*G566</f>
        <v/>
      </c>
      <c r="I566" s="168">
        <f>if(or(eq(Accounts!J566,"No Valet"),eq(Accounts!J566,"Has Valet")), H566 * AVERAGE(Accounts!J$2:J$36),H566*Accounts!J566)</f>
        <v/>
      </c>
      <c r="J566" s="168">
        <f>iferror(I566*360,"")</f>
        <v/>
      </c>
      <c r="K566" s="168">
        <f>J566*0.1</f>
        <v/>
      </c>
    </row>
    <row r="567" ht="54.75" customHeight="1" s="211">
      <c r="A567" s="164">
        <f>Accounts!A567</f>
        <v/>
      </c>
      <c r="B567" s="12" t="n"/>
      <c r="C567" s="65" t="n"/>
      <c r="D567" s="165">
        <f>Accounts!K567</f>
        <v/>
      </c>
      <c r="E567" s="166" t="n">
        <v>0.6</v>
      </c>
      <c r="F567" s="167">
        <f>Accounts!K567*E567</f>
        <v/>
      </c>
      <c r="G567" s="166" t="n">
        <v>0.4</v>
      </c>
      <c r="H567" s="167">
        <f>F567*G567</f>
        <v/>
      </c>
      <c r="I567" s="168">
        <f>if(or(eq(Accounts!J567,"No Valet"),eq(Accounts!J567,"Has Valet")), H567 * AVERAGE(Accounts!J$2:J$36),H567*Accounts!J567)</f>
        <v/>
      </c>
      <c r="J567" s="168">
        <f>iferror(I567*360,"")</f>
        <v/>
      </c>
      <c r="K567" s="168">
        <f>J567*0.1</f>
        <v/>
      </c>
    </row>
    <row r="568" ht="54.75" customHeight="1" s="211">
      <c r="A568" s="164">
        <f>Accounts!A568</f>
        <v/>
      </c>
      <c r="B568" s="12" t="n"/>
      <c r="C568" s="65" t="n"/>
      <c r="D568" s="165">
        <f>Accounts!K568</f>
        <v/>
      </c>
      <c r="E568" s="166" t="n">
        <v>0.6</v>
      </c>
      <c r="F568" s="167">
        <f>Accounts!K568*E568</f>
        <v/>
      </c>
      <c r="G568" s="166" t="n">
        <v>0.4</v>
      </c>
      <c r="H568" s="167">
        <f>F568*G568</f>
        <v/>
      </c>
      <c r="I568" s="168">
        <f>if(or(eq(Accounts!J568,"No Valet"),eq(Accounts!J568,"Has Valet")), H568 * AVERAGE(Accounts!J$2:J$36),H568*Accounts!J568)</f>
        <v/>
      </c>
      <c r="J568" s="168">
        <f>iferror(I568*360,"")</f>
        <v/>
      </c>
      <c r="K568" s="168">
        <f>J568*0.1</f>
        <v/>
      </c>
    </row>
    <row r="569" ht="54.75" customHeight="1" s="211">
      <c r="A569" s="164">
        <f>Accounts!A569</f>
        <v/>
      </c>
      <c r="B569" s="12" t="n"/>
      <c r="C569" s="65" t="n"/>
      <c r="D569" s="165">
        <f>Accounts!K569</f>
        <v/>
      </c>
      <c r="E569" s="166" t="n">
        <v>0.6</v>
      </c>
      <c r="F569" s="167">
        <f>Accounts!K569*E569</f>
        <v/>
      </c>
      <c r="G569" s="166" t="n">
        <v>0.4</v>
      </c>
      <c r="H569" s="167">
        <f>F569*G569</f>
        <v/>
      </c>
      <c r="I569" s="168">
        <f>if(or(eq(Accounts!J569,"No Valet"),eq(Accounts!J569,"Has Valet")), H569 * AVERAGE(Accounts!J$2:J$36),H569*Accounts!J569)</f>
        <v/>
      </c>
      <c r="J569" s="168">
        <f>iferror(I569*360,"")</f>
        <v/>
      </c>
      <c r="K569" s="168">
        <f>J569*0.1</f>
        <v/>
      </c>
    </row>
    <row r="570" ht="54.75" customHeight="1" s="211">
      <c r="A570" s="164">
        <f>Accounts!A570</f>
        <v/>
      </c>
      <c r="B570" s="12" t="n"/>
      <c r="C570" s="65" t="n"/>
      <c r="D570" s="165">
        <f>Accounts!K570</f>
        <v/>
      </c>
      <c r="E570" s="166" t="n">
        <v>0.6</v>
      </c>
      <c r="F570" s="167">
        <f>Accounts!K570*E570</f>
        <v/>
      </c>
      <c r="G570" s="166" t="n">
        <v>0.4</v>
      </c>
      <c r="H570" s="167">
        <f>F570*G570</f>
        <v/>
      </c>
      <c r="I570" s="168">
        <f>if(or(eq(Accounts!J570,"No Valet"),eq(Accounts!J570,"Has Valet")), H570 * AVERAGE(Accounts!J$2:J$36),H570*Accounts!J570)</f>
        <v/>
      </c>
      <c r="J570" s="168">
        <f>iferror(I570*360,"")</f>
        <v/>
      </c>
      <c r="K570" s="168">
        <f>J570*0.1</f>
        <v/>
      </c>
    </row>
    <row r="571" ht="54.75" customHeight="1" s="211">
      <c r="A571" s="164">
        <f>Accounts!A571</f>
        <v/>
      </c>
      <c r="B571" s="12" t="n"/>
      <c r="C571" s="65" t="n"/>
      <c r="D571" s="165">
        <f>Accounts!K571</f>
        <v/>
      </c>
      <c r="E571" s="166" t="n">
        <v>0.6</v>
      </c>
      <c r="F571" s="167">
        <f>Accounts!K571*E571</f>
        <v/>
      </c>
      <c r="G571" s="166" t="n">
        <v>0.4</v>
      </c>
      <c r="H571" s="167">
        <f>F571*G571</f>
        <v/>
      </c>
      <c r="I571" s="168">
        <f>if(or(eq(Accounts!J571,"No Valet"),eq(Accounts!J571,"Has Valet")), H571 * AVERAGE(Accounts!J$2:J$36),H571*Accounts!J571)</f>
        <v/>
      </c>
      <c r="J571" s="168">
        <f>iferror(I571*360,"")</f>
        <v/>
      </c>
      <c r="K571" s="168">
        <f>J571*0.1</f>
        <v/>
      </c>
    </row>
    <row r="572" ht="54.75" customHeight="1" s="211">
      <c r="A572" s="164">
        <f>Accounts!A572</f>
        <v/>
      </c>
      <c r="B572" s="12" t="n"/>
      <c r="C572" s="65" t="n"/>
      <c r="D572" s="165">
        <f>Accounts!K572</f>
        <v/>
      </c>
      <c r="E572" s="166" t="n">
        <v>0.6</v>
      </c>
      <c r="F572" s="167">
        <f>Accounts!K572*E572</f>
        <v/>
      </c>
      <c r="G572" s="166" t="n">
        <v>0.4</v>
      </c>
      <c r="H572" s="167">
        <f>F572*G572</f>
        <v/>
      </c>
      <c r="I572" s="168">
        <f>if(or(eq(Accounts!J572,"No Valet"),eq(Accounts!J572,"Has Valet")), H572 * AVERAGE(Accounts!J$2:J$36),H572*Accounts!J572)</f>
        <v/>
      </c>
      <c r="J572" s="168">
        <f>iferror(I572*360,"")</f>
        <v/>
      </c>
      <c r="K572" s="168">
        <f>J572*0.1</f>
        <v/>
      </c>
    </row>
    <row r="573" ht="54.75" customHeight="1" s="211">
      <c r="A573" s="164">
        <f>Accounts!A573</f>
        <v/>
      </c>
      <c r="B573" s="12" t="n"/>
      <c r="C573" s="65" t="n"/>
      <c r="D573" s="165">
        <f>Accounts!K573</f>
        <v/>
      </c>
      <c r="E573" s="166" t="n">
        <v>0.6</v>
      </c>
      <c r="F573" s="167">
        <f>Accounts!K573*E573</f>
        <v/>
      </c>
      <c r="G573" s="166" t="n">
        <v>0.4</v>
      </c>
      <c r="H573" s="167">
        <f>F573*G573</f>
        <v/>
      </c>
      <c r="I573" s="168">
        <f>if(or(eq(Accounts!J573,"No Valet"),eq(Accounts!J573,"Has Valet")), H573 * AVERAGE(Accounts!J$2:J$36),H573*Accounts!J573)</f>
        <v/>
      </c>
      <c r="J573" s="168">
        <f>iferror(I573*360,"")</f>
        <v/>
      </c>
      <c r="K573" s="168">
        <f>J573*0.1</f>
        <v/>
      </c>
    </row>
    <row r="574" ht="54.75" customHeight="1" s="211">
      <c r="A574" s="164">
        <f>Accounts!A574</f>
        <v/>
      </c>
      <c r="B574" s="12" t="n"/>
      <c r="C574" s="65" t="n"/>
      <c r="D574" s="165">
        <f>Accounts!K574</f>
        <v/>
      </c>
      <c r="E574" s="166" t="n">
        <v>0.6</v>
      </c>
      <c r="F574" s="167">
        <f>Accounts!K574*E574</f>
        <v/>
      </c>
      <c r="G574" s="166" t="n">
        <v>0.4</v>
      </c>
      <c r="H574" s="167">
        <f>F574*G574</f>
        <v/>
      </c>
      <c r="I574" s="168">
        <f>if(or(eq(Accounts!J574,"No Valet"),eq(Accounts!J574,"Has Valet")), H574 * AVERAGE(Accounts!J$2:J$36),H574*Accounts!J574)</f>
        <v/>
      </c>
      <c r="J574" s="168">
        <f>iferror(I574*360,"")</f>
        <v/>
      </c>
      <c r="K574" s="168">
        <f>J574*0.1</f>
        <v/>
      </c>
    </row>
    <row r="575" ht="54.75" customHeight="1" s="211">
      <c r="A575" s="164">
        <f>Accounts!A575</f>
        <v/>
      </c>
      <c r="B575" s="12" t="n"/>
      <c r="C575" s="65" t="n"/>
      <c r="D575" s="165">
        <f>Accounts!K575</f>
        <v/>
      </c>
      <c r="E575" s="166" t="n">
        <v>0.6</v>
      </c>
      <c r="F575" s="167">
        <f>Accounts!K575*E575</f>
        <v/>
      </c>
      <c r="G575" s="166" t="n">
        <v>0.4</v>
      </c>
      <c r="H575" s="167">
        <f>F575*G575</f>
        <v/>
      </c>
      <c r="I575" s="168">
        <f>if(or(eq(Accounts!J575,"No Valet"),eq(Accounts!J575,"Has Valet")), H575 * AVERAGE(Accounts!J$2:J$36),H575*Accounts!J575)</f>
        <v/>
      </c>
      <c r="J575" s="168">
        <f>iferror(I575*360,"")</f>
        <v/>
      </c>
      <c r="K575" s="168">
        <f>J575*0.1</f>
        <v/>
      </c>
    </row>
    <row r="576" ht="54.75" customHeight="1" s="211">
      <c r="A576" s="164">
        <f>Accounts!A576</f>
        <v/>
      </c>
      <c r="B576" s="12" t="n"/>
      <c r="C576" s="65" t="n"/>
      <c r="D576" s="165">
        <f>Accounts!K576</f>
        <v/>
      </c>
      <c r="E576" s="166" t="n">
        <v>0.6</v>
      </c>
      <c r="F576" s="167">
        <f>Accounts!K576*E576</f>
        <v/>
      </c>
      <c r="G576" s="166" t="n">
        <v>0.4</v>
      </c>
      <c r="H576" s="167">
        <f>F576*G576</f>
        <v/>
      </c>
      <c r="I576" s="168">
        <f>if(or(eq(Accounts!J576,"No Valet"),eq(Accounts!J576,"Has Valet")), H576 * AVERAGE(Accounts!J$2:J$36),H576*Accounts!J576)</f>
        <v/>
      </c>
      <c r="J576" s="168">
        <f>iferror(I576*360,"")</f>
        <v/>
      </c>
      <c r="K576" s="168">
        <f>J576*0.1</f>
        <v/>
      </c>
    </row>
    <row r="577" ht="54.75" customHeight="1" s="211">
      <c r="A577" s="164">
        <f>Accounts!A577</f>
        <v/>
      </c>
      <c r="B577" s="12" t="n"/>
      <c r="C577" s="65" t="n"/>
      <c r="D577" s="165">
        <f>Accounts!K577</f>
        <v/>
      </c>
      <c r="E577" s="166" t="n">
        <v>0.6</v>
      </c>
      <c r="F577" s="167">
        <f>Accounts!K577*E577</f>
        <v/>
      </c>
      <c r="G577" s="166" t="n">
        <v>0.4</v>
      </c>
      <c r="H577" s="167">
        <f>F577*G577</f>
        <v/>
      </c>
      <c r="I577" s="168">
        <f>if(or(eq(Accounts!J577,"No Valet"),eq(Accounts!J577,"Has Valet")), H577 * AVERAGE(Accounts!J$2:J$36),H577*Accounts!J577)</f>
        <v/>
      </c>
      <c r="J577" s="168">
        <f>iferror(I577*360,"")</f>
        <v/>
      </c>
      <c r="K577" s="168">
        <f>J577*0.1</f>
        <v/>
      </c>
    </row>
    <row r="578" ht="54.75" customHeight="1" s="211">
      <c r="A578" s="164">
        <f>Accounts!A578</f>
        <v/>
      </c>
      <c r="B578" s="12" t="n"/>
      <c r="C578" s="65" t="n"/>
      <c r="D578" s="165">
        <f>Accounts!K578</f>
        <v/>
      </c>
      <c r="E578" s="166" t="n">
        <v>0.6</v>
      </c>
      <c r="F578" s="167">
        <f>Accounts!K578*E578</f>
        <v/>
      </c>
      <c r="G578" s="166" t="n">
        <v>0.4</v>
      </c>
      <c r="H578" s="167">
        <f>F578*G578</f>
        <v/>
      </c>
      <c r="I578" s="168">
        <f>if(or(eq(Accounts!J578,"No Valet"),eq(Accounts!J578,"Has Valet")), H578 * AVERAGE(Accounts!J$2:J$36),H578*Accounts!J578)</f>
        <v/>
      </c>
      <c r="J578" s="168">
        <f>iferror(I578*360,"")</f>
        <v/>
      </c>
      <c r="K578" s="168">
        <f>J578*0.1</f>
        <v/>
      </c>
    </row>
    <row r="579" ht="54.75" customHeight="1" s="211">
      <c r="A579" s="164">
        <f>Accounts!A579</f>
        <v/>
      </c>
      <c r="B579" s="12" t="n"/>
      <c r="C579" s="65" t="n"/>
      <c r="D579" s="165">
        <f>Accounts!K579</f>
        <v/>
      </c>
      <c r="E579" s="166" t="n">
        <v>0.6</v>
      </c>
      <c r="F579" s="167">
        <f>Accounts!K579*E579</f>
        <v/>
      </c>
      <c r="G579" s="166" t="n">
        <v>0.4</v>
      </c>
      <c r="H579" s="167">
        <f>F579*G579</f>
        <v/>
      </c>
      <c r="I579" s="168">
        <f>if(or(eq(Accounts!J579,"No Valet"),eq(Accounts!J579,"Has Valet")), H579 * AVERAGE(Accounts!J$2:J$36),H579*Accounts!J579)</f>
        <v/>
      </c>
      <c r="J579" s="168">
        <f>iferror(I579*360,"")</f>
        <v/>
      </c>
      <c r="K579" s="168">
        <f>J579*0.1</f>
        <v/>
      </c>
    </row>
    <row r="580" ht="54.75" customHeight="1" s="211">
      <c r="A580" s="164">
        <f>Accounts!A580</f>
        <v/>
      </c>
      <c r="B580" s="12" t="n"/>
      <c r="C580" s="65" t="n"/>
      <c r="D580" s="165">
        <f>Accounts!K580</f>
        <v/>
      </c>
      <c r="E580" s="166" t="n">
        <v>0.6</v>
      </c>
      <c r="F580" s="167">
        <f>Accounts!K580*E580</f>
        <v/>
      </c>
      <c r="G580" s="166" t="n">
        <v>0.4</v>
      </c>
      <c r="H580" s="167">
        <f>F580*G580</f>
        <v/>
      </c>
      <c r="I580" s="168">
        <f>if(or(eq(Accounts!J580,"No Valet"),eq(Accounts!J580,"Has Valet")), H580 * AVERAGE(Accounts!J$2:J$36),H580*Accounts!J580)</f>
        <v/>
      </c>
      <c r="J580" s="168">
        <f>iferror(I580*360,"")</f>
        <v/>
      </c>
      <c r="K580" s="168">
        <f>J580*0.1</f>
        <v/>
      </c>
    </row>
    <row r="581" ht="54.75" customHeight="1" s="211">
      <c r="A581" s="164">
        <f>Accounts!A581</f>
        <v/>
      </c>
      <c r="B581" s="12" t="n"/>
      <c r="C581" s="65" t="n"/>
      <c r="D581" s="165">
        <f>Accounts!K581</f>
        <v/>
      </c>
      <c r="E581" s="166" t="n">
        <v>0.6</v>
      </c>
      <c r="F581" s="167">
        <f>Accounts!K581*E581</f>
        <v/>
      </c>
      <c r="G581" s="166" t="n">
        <v>0.4</v>
      </c>
      <c r="H581" s="167">
        <f>F581*G581</f>
        <v/>
      </c>
      <c r="I581" s="168">
        <f>if(or(eq(Accounts!J581,"No Valet"),eq(Accounts!J581,"Has Valet")), H581 * AVERAGE(Accounts!J$2:J$36),H581*Accounts!J581)</f>
        <v/>
      </c>
      <c r="J581" s="168">
        <f>iferror(I581*360,"")</f>
        <v/>
      </c>
      <c r="K581" s="168">
        <f>J581*0.1</f>
        <v/>
      </c>
    </row>
    <row r="582" ht="54.75" customHeight="1" s="211">
      <c r="A582" s="164">
        <f>Accounts!A582</f>
        <v/>
      </c>
      <c r="B582" s="12" t="n"/>
      <c r="C582" s="65" t="n"/>
      <c r="D582" s="165">
        <f>Accounts!K582</f>
        <v/>
      </c>
      <c r="E582" s="166" t="n">
        <v>0.6</v>
      </c>
      <c r="F582" s="167">
        <f>Accounts!K582*E582</f>
        <v/>
      </c>
      <c r="G582" s="166" t="n">
        <v>0.4</v>
      </c>
      <c r="H582" s="167">
        <f>F582*G582</f>
        <v/>
      </c>
      <c r="I582" s="168">
        <f>if(or(eq(Accounts!J582,"No Valet"),eq(Accounts!J582,"Has Valet")), H582 * AVERAGE(Accounts!J$2:J$36),H582*Accounts!J582)</f>
        <v/>
      </c>
      <c r="J582" s="168">
        <f>iferror(I582*360,"")</f>
        <v/>
      </c>
      <c r="K582" s="168">
        <f>J582*0.1</f>
        <v/>
      </c>
    </row>
    <row r="583" ht="54.75" customHeight="1" s="211">
      <c r="A583" s="164">
        <f>Accounts!A583</f>
        <v/>
      </c>
      <c r="B583" s="12" t="n"/>
      <c r="C583" s="65" t="n"/>
      <c r="D583" s="165">
        <f>Accounts!K583</f>
        <v/>
      </c>
      <c r="E583" s="166" t="n">
        <v>0.6</v>
      </c>
      <c r="F583" s="167">
        <f>Accounts!K583*E583</f>
        <v/>
      </c>
      <c r="G583" s="166" t="n">
        <v>0.4</v>
      </c>
      <c r="H583" s="167">
        <f>F583*G583</f>
        <v/>
      </c>
      <c r="I583" s="168">
        <f>if(or(eq(Accounts!J583,"No Valet"),eq(Accounts!J583,"Has Valet")), H583 * AVERAGE(Accounts!J$2:J$36),H583*Accounts!J583)</f>
        <v/>
      </c>
      <c r="J583" s="168">
        <f>iferror(I583*360,"")</f>
        <v/>
      </c>
      <c r="K583" s="168">
        <f>J583*0.1</f>
        <v/>
      </c>
    </row>
    <row r="584" ht="54.75" customHeight="1" s="211">
      <c r="A584" s="164">
        <f>Accounts!A584</f>
        <v/>
      </c>
      <c r="B584" s="12" t="n"/>
      <c r="C584" s="65" t="n"/>
      <c r="D584" s="165">
        <f>Accounts!K584</f>
        <v/>
      </c>
      <c r="E584" s="166" t="n">
        <v>0.6</v>
      </c>
      <c r="F584" s="167">
        <f>Accounts!K584*E584</f>
        <v/>
      </c>
      <c r="G584" s="166" t="n">
        <v>0.4</v>
      </c>
      <c r="H584" s="167">
        <f>F584*G584</f>
        <v/>
      </c>
      <c r="I584" s="168">
        <f>if(or(eq(Accounts!J584,"No Valet"),eq(Accounts!J584,"Has Valet")), H584 * AVERAGE(Accounts!J$2:J$36),H584*Accounts!J584)</f>
        <v/>
      </c>
      <c r="J584" s="168">
        <f>iferror(I584*360,"")</f>
        <v/>
      </c>
      <c r="K584" s="168">
        <f>J584*0.1</f>
        <v/>
      </c>
    </row>
    <row r="585" ht="54.75" customHeight="1" s="211">
      <c r="A585" s="164">
        <f>Accounts!A585</f>
        <v/>
      </c>
      <c r="B585" s="12" t="n"/>
      <c r="C585" s="65" t="n"/>
      <c r="D585" s="165">
        <f>Accounts!K585</f>
        <v/>
      </c>
      <c r="E585" s="166" t="n">
        <v>0.6</v>
      </c>
      <c r="F585" s="167">
        <f>Accounts!K585*E585</f>
        <v/>
      </c>
      <c r="G585" s="166" t="n">
        <v>0.4</v>
      </c>
      <c r="H585" s="167">
        <f>F585*G585</f>
        <v/>
      </c>
      <c r="I585" s="168">
        <f>if(or(eq(Accounts!J585,"No Valet"),eq(Accounts!J585,"Has Valet")), H585 * AVERAGE(Accounts!J$2:J$36),H585*Accounts!J585)</f>
        <v/>
      </c>
      <c r="J585" s="168">
        <f>iferror(I585*360,"")</f>
        <v/>
      </c>
      <c r="K585" s="168">
        <f>J585*0.1</f>
        <v/>
      </c>
    </row>
    <row r="586" ht="54.75" customHeight="1" s="211">
      <c r="A586" s="164">
        <f>Accounts!A586</f>
        <v/>
      </c>
      <c r="B586" s="12" t="n"/>
      <c r="C586" s="65" t="n"/>
      <c r="D586" s="165">
        <f>Accounts!K586</f>
        <v/>
      </c>
      <c r="E586" s="166" t="n">
        <v>0.6</v>
      </c>
      <c r="F586" s="167">
        <f>Accounts!K586*E586</f>
        <v/>
      </c>
      <c r="G586" s="166" t="n">
        <v>0.4</v>
      </c>
      <c r="H586" s="167">
        <f>F586*G586</f>
        <v/>
      </c>
      <c r="I586" s="168">
        <f>if(or(eq(Accounts!J586,"No Valet"),eq(Accounts!J586,"Has Valet")), H586 * AVERAGE(Accounts!J$2:J$36),H586*Accounts!J586)</f>
        <v/>
      </c>
      <c r="J586" s="168">
        <f>iferror(I586*360,"")</f>
        <v/>
      </c>
      <c r="K586" s="168">
        <f>J586*0.1</f>
        <v/>
      </c>
    </row>
    <row r="587" ht="54.75" customHeight="1" s="211">
      <c r="A587" s="164">
        <f>Accounts!A587</f>
        <v/>
      </c>
      <c r="B587" s="12" t="n"/>
      <c r="C587" s="65" t="n"/>
      <c r="D587" s="165">
        <f>Accounts!K587</f>
        <v/>
      </c>
      <c r="E587" s="166" t="n">
        <v>0.6</v>
      </c>
      <c r="F587" s="167">
        <f>Accounts!K587*E587</f>
        <v/>
      </c>
      <c r="G587" s="166" t="n">
        <v>0.4</v>
      </c>
      <c r="H587" s="167">
        <f>F587*G587</f>
        <v/>
      </c>
      <c r="I587" s="168">
        <f>if(or(eq(Accounts!J587,"No Valet"),eq(Accounts!J587,"Has Valet")), H587 * AVERAGE(Accounts!J$2:J$36),H587*Accounts!J587)</f>
        <v/>
      </c>
      <c r="J587" s="168">
        <f>iferror(I587*360,"")</f>
        <v/>
      </c>
      <c r="K587" s="168">
        <f>J587*0.1</f>
        <v/>
      </c>
    </row>
    <row r="588" ht="54.75" customHeight="1" s="211">
      <c r="A588" s="164">
        <f>Accounts!A588</f>
        <v/>
      </c>
      <c r="B588" s="12" t="n"/>
      <c r="C588" s="65" t="n"/>
      <c r="D588" s="165">
        <f>Accounts!K588</f>
        <v/>
      </c>
      <c r="E588" s="166" t="n">
        <v>0.6</v>
      </c>
      <c r="F588" s="167">
        <f>Accounts!K588*E588</f>
        <v/>
      </c>
      <c r="G588" s="166" t="n">
        <v>0.4</v>
      </c>
      <c r="H588" s="167">
        <f>F588*G588</f>
        <v/>
      </c>
      <c r="I588" s="168">
        <f>if(or(eq(Accounts!J588,"No Valet"),eq(Accounts!J588,"Has Valet")), H588 * AVERAGE(Accounts!J$2:J$36),H588*Accounts!J588)</f>
        <v/>
      </c>
      <c r="J588" s="168">
        <f>iferror(I588*360,"")</f>
        <v/>
      </c>
      <c r="K588" s="168">
        <f>J588*0.1</f>
        <v/>
      </c>
    </row>
    <row r="589" ht="54.75" customHeight="1" s="211">
      <c r="A589" s="164">
        <f>Accounts!A589</f>
        <v/>
      </c>
      <c r="B589" s="12" t="n"/>
      <c r="C589" s="65" t="n"/>
      <c r="D589" s="165">
        <f>Accounts!K589</f>
        <v/>
      </c>
      <c r="E589" s="166" t="n">
        <v>0.6</v>
      </c>
      <c r="F589" s="167">
        <f>Accounts!K589*E589</f>
        <v/>
      </c>
      <c r="G589" s="166" t="n">
        <v>0.4</v>
      </c>
      <c r="H589" s="167">
        <f>F589*G589</f>
        <v/>
      </c>
      <c r="I589" s="168">
        <f>if(or(eq(Accounts!J589,"No Valet"),eq(Accounts!J589,"Has Valet")), H589 * AVERAGE(Accounts!J$2:J$36),H589*Accounts!J589)</f>
        <v/>
      </c>
      <c r="J589" s="168">
        <f>iferror(I589*360,"")</f>
        <v/>
      </c>
      <c r="K589" s="168">
        <f>J589*0.1</f>
        <v/>
      </c>
    </row>
    <row r="590" ht="54.75" customHeight="1" s="211">
      <c r="A590" s="164">
        <f>Accounts!A590</f>
        <v/>
      </c>
      <c r="B590" s="12" t="n"/>
      <c r="C590" s="65" t="n"/>
      <c r="D590" s="165">
        <f>Accounts!K590</f>
        <v/>
      </c>
      <c r="E590" s="166" t="n">
        <v>0.6</v>
      </c>
      <c r="F590" s="167">
        <f>Accounts!K590*E590</f>
        <v/>
      </c>
      <c r="G590" s="166" t="n">
        <v>0.4</v>
      </c>
      <c r="H590" s="167">
        <f>F590*G590</f>
        <v/>
      </c>
      <c r="I590" s="168">
        <f>if(or(eq(Accounts!J590,"No Valet"),eq(Accounts!J590,"Has Valet")), H590 * AVERAGE(Accounts!J$2:J$36),H590*Accounts!J590)</f>
        <v/>
      </c>
      <c r="J590" s="168">
        <f>iferror(I590*360,"")</f>
        <v/>
      </c>
      <c r="K590" s="168">
        <f>J590*0.1</f>
        <v/>
      </c>
    </row>
    <row r="591" ht="54.75" customHeight="1" s="211">
      <c r="A591" s="164">
        <f>Accounts!A591</f>
        <v/>
      </c>
      <c r="B591" s="12" t="n"/>
      <c r="C591" s="65" t="n"/>
      <c r="D591" s="165">
        <f>Accounts!K591</f>
        <v/>
      </c>
      <c r="E591" s="166" t="n">
        <v>0.6</v>
      </c>
      <c r="F591" s="167">
        <f>Accounts!K591*E591</f>
        <v/>
      </c>
      <c r="G591" s="166" t="n">
        <v>0.4</v>
      </c>
      <c r="H591" s="167">
        <f>F591*G591</f>
        <v/>
      </c>
      <c r="I591" s="168">
        <f>if(or(eq(Accounts!J591,"No Valet"),eq(Accounts!J591,"Has Valet")), H591 * AVERAGE(Accounts!J$2:J$36),H591*Accounts!J591)</f>
        <v/>
      </c>
      <c r="J591" s="168">
        <f>iferror(I591*360,"")</f>
        <v/>
      </c>
      <c r="K591" s="168">
        <f>J591*0.1</f>
        <v/>
      </c>
    </row>
    <row r="592" ht="54.75" customHeight="1" s="211">
      <c r="A592" s="164">
        <f>Accounts!A592</f>
        <v/>
      </c>
      <c r="B592" s="12" t="n"/>
      <c r="C592" s="65" t="n"/>
      <c r="D592" s="165">
        <f>Accounts!K592</f>
        <v/>
      </c>
      <c r="E592" s="166" t="n">
        <v>0.6</v>
      </c>
      <c r="F592" s="167">
        <f>Accounts!K592*E592</f>
        <v/>
      </c>
      <c r="G592" s="166" t="n">
        <v>0.4</v>
      </c>
      <c r="H592" s="167">
        <f>F592*G592</f>
        <v/>
      </c>
      <c r="I592" s="168">
        <f>if(or(eq(Accounts!J592,"No Valet"),eq(Accounts!J592,"Has Valet")), H592 * AVERAGE(Accounts!J$2:J$36),H592*Accounts!J592)</f>
        <v/>
      </c>
      <c r="J592" s="168">
        <f>iferror(I592*360,"")</f>
        <v/>
      </c>
      <c r="K592" s="168">
        <f>J592*0.1</f>
        <v/>
      </c>
    </row>
    <row r="593" ht="54.75" customHeight="1" s="211">
      <c r="A593" s="164">
        <f>Accounts!A593</f>
        <v/>
      </c>
      <c r="B593" s="12" t="n"/>
      <c r="C593" s="65" t="n"/>
      <c r="D593" s="165">
        <f>Accounts!K593</f>
        <v/>
      </c>
      <c r="E593" s="166" t="n">
        <v>0.6</v>
      </c>
      <c r="F593" s="167">
        <f>Accounts!K593*E593</f>
        <v/>
      </c>
      <c r="G593" s="166" t="n">
        <v>0.4</v>
      </c>
      <c r="H593" s="167">
        <f>F593*G593</f>
        <v/>
      </c>
      <c r="I593" s="168">
        <f>if(or(eq(Accounts!J593,"No Valet"),eq(Accounts!J593,"Has Valet")), H593 * AVERAGE(Accounts!J$2:J$36),H593*Accounts!J593)</f>
        <v/>
      </c>
      <c r="J593" s="168">
        <f>iferror(I593*360,"")</f>
        <v/>
      </c>
      <c r="K593" s="168">
        <f>J593*0.1</f>
        <v/>
      </c>
    </row>
    <row r="594" ht="54.75" customHeight="1" s="211">
      <c r="A594" s="164">
        <f>Accounts!A594</f>
        <v/>
      </c>
      <c r="B594" s="12" t="n"/>
      <c r="C594" s="65" t="n"/>
      <c r="D594" s="165">
        <f>Accounts!K594</f>
        <v/>
      </c>
      <c r="E594" s="166" t="n">
        <v>0.6</v>
      </c>
      <c r="F594" s="167">
        <f>Accounts!K594*E594</f>
        <v/>
      </c>
      <c r="G594" s="166" t="n">
        <v>0.4</v>
      </c>
      <c r="H594" s="167">
        <f>F594*G594</f>
        <v/>
      </c>
      <c r="I594" s="168">
        <f>if(or(eq(Accounts!J594,"No Valet"),eq(Accounts!J594,"Has Valet")), H594 * AVERAGE(Accounts!J$2:J$36),H594*Accounts!J594)</f>
        <v/>
      </c>
      <c r="J594" s="168">
        <f>iferror(I594*360,"")</f>
        <v/>
      </c>
      <c r="K594" s="168">
        <f>J594*0.1</f>
        <v/>
      </c>
    </row>
    <row r="595" ht="54.75" customHeight="1" s="211">
      <c r="A595" s="164">
        <f>Accounts!A595</f>
        <v/>
      </c>
      <c r="B595" s="12" t="n"/>
      <c r="C595" s="65" t="n"/>
      <c r="D595" s="165">
        <f>Accounts!K595</f>
        <v/>
      </c>
      <c r="E595" s="166" t="n">
        <v>0.6</v>
      </c>
      <c r="F595" s="167">
        <f>Accounts!K595*E595</f>
        <v/>
      </c>
      <c r="G595" s="166" t="n">
        <v>0.4</v>
      </c>
      <c r="H595" s="167">
        <f>F595*G595</f>
        <v/>
      </c>
      <c r="I595" s="168">
        <f>if(or(eq(Accounts!J595,"No Valet"),eq(Accounts!J595,"Has Valet")), H595 * AVERAGE(Accounts!J$2:J$36),H595*Accounts!J595)</f>
        <v/>
      </c>
      <c r="J595" s="168">
        <f>iferror(I595*360,"")</f>
        <v/>
      </c>
      <c r="K595" s="168">
        <f>J595*0.1</f>
        <v/>
      </c>
    </row>
    <row r="596" ht="54.75" customHeight="1" s="211">
      <c r="A596" s="164">
        <f>Accounts!A596</f>
        <v/>
      </c>
      <c r="B596" s="12" t="n"/>
      <c r="C596" s="65" t="n"/>
      <c r="D596" s="165">
        <f>Accounts!K596</f>
        <v/>
      </c>
      <c r="E596" s="166" t="n">
        <v>0.6</v>
      </c>
      <c r="F596" s="167">
        <f>Accounts!K596*E596</f>
        <v/>
      </c>
      <c r="G596" s="166" t="n">
        <v>0.4</v>
      </c>
      <c r="H596" s="167">
        <f>F596*G596</f>
        <v/>
      </c>
      <c r="I596" s="168">
        <f>if(or(eq(Accounts!J596,"No Valet"),eq(Accounts!J596,"Has Valet")), H596 * AVERAGE(Accounts!J$2:J$36),H596*Accounts!J596)</f>
        <v/>
      </c>
      <c r="J596" s="168">
        <f>iferror(I596*360,"")</f>
        <v/>
      </c>
      <c r="K596" s="168">
        <f>J596*0.1</f>
        <v/>
      </c>
    </row>
    <row r="597" ht="54.75" customHeight="1" s="211">
      <c r="A597" s="164">
        <f>Accounts!A597</f>
        <v/>
      </c>
      <c r="B597" s="12" t="n"/>
      <c r="C597" s="65" t="n"/>
      <c r="D597" s="165">
        <f>Accounts!K597</f>
        <v/>
      </c>
      <c r="E597" s="166" t="n">
        <v>0.6</v>
      </c>
      <c r="F597" s="167">
        <f>Accounts!K597*E597</f>
        <v/>
      </c>
      <c r="G597" s="166" t="n">
        <v>0.4</v>
      </c>
      <c r="H597" s="167">
        <f>F597*G597</f>
        <v/>
      </c>
      <c r="I597" s="168">
        <f>if(or(eq(Accounts!J597,"No Valet"),eq(Accounts!J597,"Has Valet")), H597 * AVERAGE(Accounts!J$2:J$36),H597*Accounts!J597)</f>
        <v/>
      </c>
      <c r="J597" s="168">
        <f>iferror(I597*360,"")</f>
        <v/>
      </c>
      <c r="K597" s="168">
        <f>J597*0.1</f>
        <v/>
      </c>
    </row>
    <row r="598" ht="54.75" customHeight="1" s="211">
      <c r="A598" s="164">
        <f>Accounts!A598</f>
        <v/>
      </c>
      <c r="B598" s="12" t="n"/>
      <c r="C598" s="65" t="n"/>
      <c r="D598" s="165">
        <f>Accounts!K598</f>
        <v/>
      </c>
      <c r="E598" s="166" t="n">
        <v>0.6</v>
      </c>
      <c r="F598" s="167">
        <f>Accounts!K598*E598</f>
        <v/>
      </c>
      <c r="G598" s="166" t="n">
        <v>0.4</v>
      </c>
      <c r="H598" s="167">
        <f>F598*G598</f>
        <v/>
      </c>
      <c r="I598" s="168">
        <f>if(or(eq(Accounts!J598,"No Valet"),eq(Accounts!J598,"Has Valet")), H598 * AVERAGE(Accounts!J$2:J$36),H598*Accounts!J598)</f>
        <v/>
      </c>
      <c r="J598" s="168">
        <f>iferror(I598*360,"")</f>
        <v/>
      </c>
      <c r="K598" s="168">
        <f>J598*0.1</f>
        <v/>
      </c>
    </row>
    <row r="599" ht="54.75" customHeight="1" s="211">
      <c r="A599" s="164">
        <f>Accounts!A599</f>
        <v/>
      </c>
      <c r="B599" s="12" t="n"/>
      <c r="C599" s="65" t="n"/>
      <c r="D599" s="165">
        <f>Accounts!K599</f>
        <v/>
      </c>
      <c r="E599" s="166" t="n">
        <v>0.6</v>
      </c>
      <c r="F599" s="167">
        <f>Accounts!K599*E599</f>
        <v/>
      </c>
      <c r="G599" s="166" t="n">
        <v>0.4</v>
      </c>
      <c r="H599" s="167">
        <f>F599*G599</f>
        <v/>
      </c>
      <c r="I599" s="168">
        <f>if(or(eq(Accounts!J599,"No Valet"),eq(Accounts!J599,"Has Valet")), H599 * AVERAGE(Accounts!J$2:J$36),H599*Accounts!J599)</f>
        <v/>
      </c>
      <c r="J599" s="168">
        <f>iferror(I599*360,"")</f>
        <v/>
      </c>
      <c r="K599" s="168">
        <f>J599*0.1</f>
        <v/>
      </c>
    </row>
    <row r="600" ht="54.75" customHeight="1" s="211">
      <c r="A600" s="164">
        <f>Accounts!A600</f>
        <v/>
      </c>
      <c r="B600" s="12" t="n"/>
      <c r="C600" s="65" t="n"/>
      <c r="D600" s="165">
        <f>Accounts!K600</f>
        <v/>
      </c>
      <c r="E600" s="166" t="n">
        <v>0.6</v>
      </c>
      <c r="F600" s="167">
        <f>Accounts!K600*E600</f>
        <v/>
      </c>
      <c r="G600" s="166" t="n">
        <v>0.4</v>
      </c>
      <c r="H600" s="167">
        <f>F600*G600</f>
        <v/>
      </c>
      <c r="I600" s="168">
        <f>if(or(eq(Accounts!J600,"No Valet"),eq(Accounts!J600,"Has Valet")), H600 * AVERAGE(Accounts!J$2:J$36),H600*Accounts!J600)</f>
        <v/>
      </c>
      <c r="J600" s="168">
        <f>iferror(I600*360,"")</f>
        <v/>
      </c>
      <c r="K600" s="168">
        <f>J600*0.1</f>
        <v/>
      </c>
    </row>
    <row r="601" ht="54.75" customHeight="1" s="211">
      <c r="A601" s="164">
        <f>Accounts!A601</f>
        <v/>
      </c>
      <c r="B601" s="12" t="n"/>
      <c r="C601" s="65" t="n"/>
      <c r="D601" s="165">
        <f>Accounts!K601</f>
        <v/>
      </c>
      <c r="E601" s="166" t="n">
        <v>0.6</v>
      </c>
      <c r="F601" s="167">
        <f>Accounts!K601*E601</f>
        <v/>
      </c>
      <c r="G601" s="166" t="n">
        <v>0.4</v>
      </c>
      <c r="H601" s="167">
        <f>F601*G601</f>
        <v/>
      </c>
      <c r="I601" s="168">
        <f>if(or(eq(Accounts!J601,"No Valet"),eq(Accounts!J601,"Has Valet")), H601 * AVERAGE(Accounts!J$2:J$36),H601*Accounts!J601)</f>
        <v/>
      </c>
      <c r="J601" s="168">
        <f>iferror(I601*360,"")</f>
        <v/>
      </c>
      <c r="K601" s="168">
        <f>J601*0.1</f>
        <v/>
      </c>
    </row>
    <row r="602" ht="54.75" customHeight="1" s="211">
      <c r="A602" s="164">
        <f>Accounts!A602</f>
        <v/>
      </c>
      <c r="B602" s="12" t="n"/>
      <c r="C602" s="65" t="n"/>
      <c r="D602" s="165">
        <f>Accounts!K602</f>
        <v/>
      </c>
      <c r="E602" s="166" t="n">
        <v>0.6</v>
      </c>
      <c r="F602" s="167">
        <f>Accounts!K602*E602</f>
        <v/>
      </c>
      <c r="G602" s="166" t="n">
        <v>0.4</v>
      </c>
      <c r="H602" s="167">
        <f>F602*G602</f>
        <v/>
      </c>
      <c r="I602" s="168">
        <f>if(or(eq(Accounts!J602,"No Valet"),eq(Accounts!J602,"Has Valet")), H602 * AVERAGE(Accounts!J$2:J$36),H602*Accounts!J602)</f>
        <v/>
      </c>
      <c r="J602" s="168">
        <f>iferror(I602*360,"")</f>
        <v/>
      </c>
      <c r="K602" s="168">
        <f>J602*0.1</f>
        <v/>
      </c>
    </row>
    <row r="603" ht="54.75" customHeight="1" s="211">
      <c r="A603" s="164">
        <f>Accounts!A603</f>
        <v/>
      </c>
      <c r="B603" s="12" t="n"/>
      <c r="C603" s="65" t="n"/>
      <c r="D603" s="165">
        <f>Accounts!K603</f>
        <v/>
      </c>
      <c r="E603" s="166" t="n">
        <v>0.6</v>
      </c>
      <c r="F603" s="167">
        <f>Accounts!K603*E603</f>
        <v/>
      </c>
      <c r="G603" s="166" t="n">
        <v>0.4</v>
      </c>
      <c r="H603" s="167">
        <f>F603*G603</f>
        <v/>
      </c>
      <c r="I603" s="168">
        <f>if(or(eq(Accounts!J603,"No Valet"),eq(Accounts!J603,"Has Valet")), H603 * AVERAGE(Accounts!J$2:J$36),H603*Accounts!J603)</f>
        <v/>
      </c>
      <c r="J603" s="168">
        <f>iferror(I603*360,"")</f>
        <v/>
      </c>
      <c r="K603" s="168">
        <f>J603*0.1</f>
        <v/>
      </c>
    </row>
    <row r="604" ht="54.75" customHeight="1" s="211">
      <c r="A604" s="164">
        <f>Accounts!A604</f>
        <v/>
      </c>
      <c r="B604" s="12" t="n"/>
      <c r="C604" s="65" t="n"/>
      <c r="D604" s="165">
        <f>Accounts!K604</f>
        <v/>
      </c>
      <c r="E604" s="166" t="n">
        <v>0.6</v>
      </c>
      <c r="F604" s="167">
        <f>Accounts!K604*E604</f>
        <v/>
      </c>
      <c r="G604" s="166" t="n">
        <v>0.4</v>
      </c>
      <c r="H604" s="167">
        <f>F604*G604</f>
        <v/>
      </c>
      <c r="I604" s="168">
        <f>if(or(eq(Accounts!J604,"No Valet"),eq(Accounts!J604,"Has Valet")), H604 * AVERAGE(Accounts!J$2:J$36),H604*Accounts!J604)</f>
        <v/>
      </c>
      <c r="J604" s="168">
        <f>iferror(I604*360,"")</f>
        <v/>
      </c>
      <c r="K604" s="168">
        <f>J604*0.1</f>
        <v/>
      </c>
    </row>
    <row r="605" ht="54.75" customHeight="1" s="211">
      <c r="A605" s="164">
        <f>Accounts!A605</f>
        <v/>
      </c>
      <c r="B605" s="12" t="n"/>
      <c r="C605" s="65" t="n"/>
      <c r="D605" s="165">
        <f>Accounts!K605</f>
        <v/>
      </c>
      <c r="E605" s="166" t="n">
        <v>0.6</v>
      </c>
      <c r="F605" s="167">
        <f>Accounts!K605*E605</f>
        <v/>
      </c>
      <c r="G605" s="166" t="n">
        <v>0.4</v>
      </c>
      <c r="H605" s="167">
        <f>F605*G605</f>
        <v/>
      </c>
      <c r="I605" s="168">
        <f>if(or(eq(Accounts!J605,"No Valet"),eq(Accounts!J605,"Has Valet")), H605 * AVERAGE(Accounts!J$2:J$36),H605*Accounts!J605)</f>
        <v/>
      </c>
      <c r="J605" s="168">
        <f>iferror(I605*360,"")</f>
        <v/>
      </c>
      <c r="K605" s="168">
        <f>J605*0.1</f>
        <v/>
      </c>
    </row>
    <row r="606" ht="54.75" customHeight="1" s="211">
      <c r="A606" s="164">
        <f>Accounts!A606</f>
        <v/>
      </c>
      <c r="B606" s="12" t="n"/>
      <c r="C606" s="65" t="n"/>
      <c r="D606" s="165">
        <f>Accounts!K606</f>
        <v/>
      </c>
      <c r="E606" s="166" t="n">
        <v>0.6</v>
      </c>
      <c r="F606" s="167">
        <f>Accounts!K606*E606</f>
        <v/>
      </c>
      <c r="G606" s="166" t="n">
        <v>0.4</v>
      </c>
      <c r="H606" s="167">
        <f>F606*G606</f>
        <v/>
      </c>
      <c r="I606" s="168">
        <f>if(or(eq(Accounts!J606,"No Valet"),eq(Accounts!J606,"Has Valet")), H606 * AVERAGE(Accounts!J$2:J$36),H606*Accounts!J606)</f>
        <v/>
      </c>
      <c r="J606" s="168">
        <f>iferror(I606*360,"")</f>
        <v/>
      </c>
      <c r="K606" s="168">
        <f>J606*0.1</f>
        <v/>
      </c>
    </row>
    <row r="607" ht="54.75" customHeight="1" s="211">
      <c r="A607" s="164">
        <f>Accounts!A607</f>
        <v/>
      </c>
      <c r="B607" s="12" t="n"/>
      <c r="C607" s="65" t="n"/>
      <c r="D607" s="165">
        <f>Accounts!K607</f>
        <v/>
      </c>
      <c r="E607" s="166" t="n">
        <v>0.6</v>
      </c>
      <c r="F607" s="167">
        <f>Accounts!K607*E607</f>
        <v/>
      </c>
      <c r="G607" s="166" t="n">
        <v>0.4</v>
      </c>
      <c r="H607" s="167">
        <f>F607*G607</f>
        <v/>
      </c>
      <c r="I607" s="168">
        <f>if(or(eq(Accounts!J607,"No Valet"),eq(Accounts!J607,"Has Valet")), H607 * AVERAGE(Accounts!J$2:J$36),H607*Accounts!J607)</f>
        <v/>
      </c>
      <c r="J607" s="168">
        <f>iferror(I607*360,"")</f>
        <v/>
      </c>
      <c r="K607" s="168">
        <f>J607*0.1</f>
        <v/>
      </c>
    </row>
    <row r="608" ht="54.75" customHeight="1" s="211">
      <c r="A608" s="164">
        <f>Accounts!A608</f>
        <v/>
      </c>
      <c r="B608" s="12" t="n"/>
      <c r="C608" s="65" t="n"/>
      <c r="D608" s="165">
        <f>Accounts!K608</f>
        <v/>
      </c>
      <c r="E608" s="166" t="n">
        <v>0.6</v>
      </c>
      <c r="F608" s="167">
        <f>Accounts!K608*E608</f>
        <v/>
      </c>
      <c r="G608" s="166" t="n">
        <v>0.4</v>
      </c>
      <c r="H608" s="167">
        <f>F608*G608</f>
        <v/>
      </c>
      <c r="I608" s="168">
        <f>if(or(eq(Accounts!J608,"No Valet"),eq(Accounts!J608,"Has Valet")), H608 * AVERAGE(Accounts!J$2:J$36),H608*Accounts!J608)</f>
        <v/>
      </c>
      <c r="J608" s="168">
        <f>iferror(I608*360,"")</f>
        <v/>
      </c>
      <c r="K608" s="168">
        <f>J608*0.1</f>
        <v/>
      </c>
    </row>
    <row r="609" ht="54.75" customHeight="1" s="211">
      <c r="A609" s="164">
        <f>Accounts!A609</f>
        <v/>
      </c>
      <c r="B609" s="12" t="n"/>
      <c r="C609" s="65" t="n"/>
      <c r="D609" s="165">
        <f>Accounts!K609</f>
        <v/>
      </c>
      <c r="E609" s="166" t="n">
        <v>0.6</v>
      </c>
      <c r="F609" s="167">
        <f>Accounts!K609*E609</f>
        <v/>
      </c>
      <c r="G609" s="166" t="n">
        <v>0.4</v>
      </c>
      <c r="H609" s="167">
        <f>F609*G609</f>
        <v/>
      </c>
      <c r="I609" s="168">
        <f>if(or(eq(Accounts!J609,"No Valet"),eq(Accounts!J609,"Has Valet")), H609 * AVERAGE(Accounts!J$2:J$36),H609*Accounts!J609)</f>
        <v/>
      </c>
      <c r="J609" s="168">
        <f>iferror(I609*360,"")</f>
        <v/>
      </c>
      <c r="K609" s="168">
        <f>J609*0.1</f>
        <v/>
      </c>
    </row>
    <row r="610" ht="54.75" customHeight="1" s="211">
      <c r="A610" s="164">
        <f>Accounts!A610</f>
        <v/>
      </c>
      <c r="B610" s="12" t="n"/>
      <c r="C610" s="65" t="n"/>
      <c r="D610" s="165">
        <f>Accounts!K610</f>
        <v/>
      </c>
      <c r="E610" s="166" t="n">
        <v>0.6</v>
      </c>
      <c r="F610" s="167">
        <f>Accounts!K610*E610</f>
        <v/>
      </c>
      <c r="G610" s="166" t="n">
        <v>0.4</v>
      </c>
      <c r="H610" s="167">
        <f>F610*G610</f>
        <v/>
      </c>
      <c r="I610" s="168">
        <f>if(or(eq(Accounts!J610,"No Valet"),eq(Accounts!J610,"Has Valet")), H610 * AVERAGE(Accounts!J$2:J$36),H610*Accounts!J610)</f>
        <v/>
      </c>
      <c r="J610" s="168">
        <f>iferror(I610*360,"")</f>
        <v/>
      </c>
      <c r="K610" s="168">
        <f>J610*0.1</f>
        <v/>
      </c>
    </row>
    <row r="611" ht="54.75" customHeight="1" s="211">
      <c r="A611" s="164">
        <f>Accounts!A611</f>
        <v/>
      </c>
      <c r="B611" s="12" t="n"/>
      <c r="C611" s="65" t="n"/>
      <c r="D611" s="165">
        <f>Accounts!K611</f>
        <v/>
      </c>
      <c r="E611" s="166" t="n">
        <v>0.6</v>
      </c>
      <c r="F611" s="167">
        <f>Accounts!K611*E611</f>
        <v/>
      </c>
      <c r="G611" s="166" t="n">
        <v>0.4</v>
      </c>
      <c r="H611" s="167">
        <f>F611*G611</f>
        <v/>
      </c>
      <c r="I611" s="168">
        <f>if(or(eq(Accounts!J611,"No Valet"),eq(Accounts!J611,"Has Valet")), H611 * AVERAGE(Accounts!J$2:J$36),H611*Accounts!J611)</f>
        <v/>
      </c>
      <c r="J611" s="168">
        <f>iferror(I611*360,"")</f>
        <v/>
      </c>
      <c r="K611" s="168">
        <f>J611*0.1</f>
        <v/>
      </c>
    </row>
    <row r="612" ht="54.75" customHeight="1" s="211">
      <c r="A612" s="164">
        <f>Accounts!A612</f>
        <v/>
      </c>
      <c r="B612" s="12" t="n"/>
      <c r="C612" s="65" t="n"/>
      <c r="D612" s="165">
        <f>Accounts!K612</f>
        <v/>
      </c>
      <c r="E612" s="166" t="n">
        <v>0.6</v>
      </c>
      <c r="F612" s="167">
        <f>Accounts!K612*E612</f>
        <v/>
      </c>
      <c r="G612" s="166" t="n">
        <v>0.4</v>
      </c>
      <c r="H612" s="167">
        <f>F612*G612</f>
        <v/>
      </c>
      <c r="I612" s="168">
        <f>if(or(eq(Accounts!J612,"No Valet"),eq(Accounts!J612,"Has Valet")), H612 * AVERAGE(Accounts!J$2:J$36),H612*Accounts!J612)</f>
        <v/>
      </c>
      <c r="J612" s="168">
        <f>iferror(I612*360,"")</f>
        <v/>
      </c>
      <c r="K612" s="168">
        <f>J612*0.1</f>
        <v/>
      </c>
    </row>
    <row r="613" ht="54.75" customHeight="1" s="211">
      <c r="A613" s="164">
        <f>Accounts!A613</f>
        <v/>
      </c>
      <c r="B613" s="12" t="n"/>
      <c r="C613" s="65" t="n"/>
      <c r="D613" s="165">
        <f>Accounts!K613</f>
        <v/>
      </c>
      <c r="E613" s="166" t="n">
        <v>0.6</v>
      </c>
      <c r="F613" s="167">
        <f>Accounts!K613*E613</f>
        <v/>
      </c>
      <c r="G613" s="166" t="n">
        <v>0.4</v>
      </c>
      <c r="H613" s="167">
        <f>F613*G613</f>
        <v/>
      </c>
      <c r="I613" s="168">
        <f>if(or(eq(Accounts!J613,"No Valet"),eq(Accounts!J613,"Has Valet")), H613 * AVERAGE(Accounts!J$2:J$36),H613*Accounts!J613)</f>
        <v/>
      </c>
      <c r="J613" s="168">
        <f>iferror(I613*360,"")</f>
        <v/>
      </c>
      <c r="K613" s="168">
        <f>J613*0.1</f>
        <v/>
      </c>
    </row>
    <row r="614" ht="54.75" customHeight="1" s="211">
      <c r="A614" s="164">
        <f>Accounts!A614</f>
        <v/>
      </c>
      <c r="B614" s="12" t="n"/>
      <c r="C614" s="65" t="n"/>
      <c r="D614" s="165">
        <f>Accounts!K614</f>
        <v/>
      </c>
      <c r="E614" s="166" t="n">
        <v>0.6</v>
      </c>
      <c r="F614" s="167">
        <f>Accounts!K614*E614</f>
        <v/>
      </c>
      <c r="G614" s="166" t="n">
        <v>0.4</v>
      </c>
      <c r="H614" s="167">
        <f>F614*G614</f>
        <v/>
      </c>
      <c r="I614" s="168">
        <f>if(or(eq(Accounts!J614,"No Valet"),eq(Accounts!J614,"Has Valet")), H614 * AVERAGE(Accounts!J$2:J$36),H614*Accounts!J614)</f>
        <v/>
      </c>
      <c r="J614" s="168">
        <f>iferror(I614*360,"")</f>
        <v/>
      </c>
      <c r="K614" s="168">
        <f>J614*0.1</f>
        <v/>
      </c>
    </row>
    <row r="615" ht="54.75" customHeight="1" s="211">
      <c r="A615" s="164">
        <f>Accounts!A615</f>
        <v/>
      </c>
      <c r="B615" s="12" t="n"/>
      <c r="C615" s="65" t="n"/>
      <c r="D615" s="165">
        <f>Accounts!K615</f>
        <v/>
      </c>
      <c r="E615" s="166" t="n">
        <v>0.6</v>
      </c>
      <c r="F615" s="167">
        <f>Accounts!K615*E615</f>
        <v/>
      </c>
      <c r="G615" s="166" t="n">
        <v>0.4</v>
      </c>
      <c r="H615" s="167">
        <f>F615*G615</f>
        <v/>
      </c>
      <c r="I615" s="168">
        <f>if(or(eq(Accounts!J615,"No Valet"),eq(Accounts!J615,"Has Valet")), H615 * AVERAGE(Accounts!J$2:J$36),H615*Accounts!J615)</f>
        <v/>
      </c>
      <c r="J615" s="168">
        <f>iferror(I615*360,"")</f>
        <v/>
      </c>
      <c r="K615" s="168">
        <f>J615*0.1</f>
        <v/>
      </c>
    </row>
    <row r="616" ht="54.75" customHeight="1" s="211">
      <c r="A616" s="164">
        <f>Accounts!A616</f>
        <v/>
      </c>
      <c r="B616" s="12" t="n"/>
      <c r="C616" s="65" t="n"/>
      <c r="D616" s="165">
        <f>Accounts!K616</f>
        <v/>
      </c>
      <c r="E616" s="166" t="n">
        <v>0.6</v>
      </c>
      <c r="F616" s="167">
        <f>Accounts!K616*E616</f>
        <v/>
      </c>
      <c r="G616" s="166" t="n">
        <v>0.4</v>
      </c>
      <c r="H616" s="167">
        <f>F616*G616</f>
        <v/>
      </c>
      <c r="I616" s="168">
        <f>if(or(eq(Accounts!J616,"No Valet"),eq(Accounts!J616,"Has Valet")), H616 * AVERAGE(Accounts!J$2:J$36),H616*Accounts!J616)</f>
        <v/>
      </c>
      <c r="J616" s="168">
        <f>iferror(I616*360,"")</f>
        <v/>
      </c>
      <c r="K616" s="168">
        <f>J616*0.1</f>
        <v/>
      </c>
    </row>
    <row r="617" ht="54.75" customHeight="1" s="211">
      <c r="A617" s="164">
        <f>Accounts!A617</f>
        <v/>
      </c>
      <c r="B617" s="12" t="n"/>
      <c r="C617" s="65" t="n"/>
      <c r="D617" s="165">
        <f>Accounts!K617</f>
        <v/>
      </c>
      <c r="E617" s="166" t="n">
        <v>0.6</v>
      </c>
      <c r="F617" s="167">
        <f>Accounts!K617*E617</f>
        <v/>
      </c>
      <c r="G617" s="166" t="n">
        <v>0.4</v>
      </c>
      <c r="H617" s="167">
        <f>F617*G617</f>
        <v/>
      </c>
      <c r="I617" s="168">
        <f>if(or(eq(Accounts!J617,"No Valet"),eq(Accounts!J617,"Has Valet")), H617 * AVERAGE(Accounts!J$2:J$36),H617*Accounts!J617)</f>
        <v/>
      </c>
      <c r="J617" s="168">
        <f>iferror(I617*360,"")</f>
        <v/>
      </c>
      <c r="K617" s="168">
        <f>J617*0.1</f>
        <v/>
      </c>
    </row>
    <row r="618" ht="54.75" customHeight="1" s="211">
      <c r="A618" s="164">
        <f>Accounts!A618</f>
        <v/>
      </c>
      <c r="B618" s="12" t="n"/>
      <c r="C618" s="65" t="n"/>
      <c r="D618" s="165">
        <f>Accounts!K618</f>
        <v/>
      </c>
      <c r="E618" s="166" t="n">
        <v>0.6</v>
      </c>
      <c r="F618" s="167">
        <f>Accounts!K618*E618</f>
        <v/>
      </c>
      <c r="G618" s="166" t="n">
        <v>0.4</v>
      </c>
      <c r="H618" s="167">
        <f>F618*G618</f>
        <v/>
      </c>
      <c r="I618" s="168">
        <f>if(or(eq(Accounts!J618,"No Valet"),eq(Accounts!J618,"Has Valet")), H618 * AVERAGE(Accounts!J$2:J$36),H618*Accounts!J618)</f>
        <v/>
      </c>
      <c r="J618" s="168">
        <f>iferror(I618*360,"")</f>
        <v/>
      </c>
      <c r="K618" s="168">
        <f>J618*0.1</f>
        <v/>
      </c>
    </row>
    <row r="619" ht="54.75" customHeight="1" s="211">
      <c r="A619" s="164">
        <f>Accounts!A619</f>
        <v/>
      </c>
      <c r="B619" s="12" t="n"/>
      <c r="C619" s="65" t="n"/>
      <c r="D619" s="165">
        <f>Accounts!K619</f>
        <v/>
      </c>
      <c r="E619" s="166" t="n">
        <v>0.6</v>
      </c>
      <c r="F619" s="167">
        <f>Accounts!K619*E619</f>
        <v/>
      </c>
      <c r="G619" s="166" t="n">
        <v>0.4</v>
      </c>
      <c r="H619" s="167">
        <f>F619*G619</f>
        <v/>
      </c>
      <c r="I619" s="168">
        <f>if(or(eq(Accounts!J619,"No Valet"),eq(Accounts!J619,"Has Valet")), H619 * AVERAGE(Accounts!J$2:J$36),H619*Accounts!J619)</f>
        <v/>
      </c>
      <c r="J619" s="168">
        <f>iferror(I619*360,"")</f>
        <v/>
      </c>
      <c r="K619" s="168">
        <f>J619*0.1</f>
        <v/>
      </c>
    </row>
    <row r="620" ht="54.75" customHeight="1" s="211">
      <c r="A620" s="164">
        <f>Accounts!A620</f>
        <v/>
      </c>
      <c r="B620" s="12" t="n"/>
      <c r="C620" s="65" t="n"/>
      <c r="D620" s="165">
        <f>Accounts!K620</f>
        <v/>
      </c>
      <c r="E620" s="166" t="n">
        <v>0.6</v>
      </c>
      <c r="F620" s="167">
        <f>Accounts!K620*E620</f>
        <v/>
      </c>
      <c r="G620" s="166" t="n">
        <v>0.4</v>
      </c>
      <c r="H620" s="167">
        <f>F620*G620</f>
        <v/>
      </c>
      <c r="I620" s="168">
        <f>if(or(eq(Accounts!J620,"No Valet"),eq(Accounts!J620,"Has Valet")), H620 * AVERAGE(Accounts!J$2:J$36),H620*Accounts!J620)</f>
        <v/>
      </c>
      <c r="J620" s="168">
        <f>iferror(I620*360,"")</f>
        <v/>
      </c>
      <c r="K620" s="168">
        <f>J620*0.1</f>
        <v/>
      </c>
    </row>
    <row r="621" ht="54.75" customHeight="1" s="211">
      <c r="A621" s="164">
        <f>Accounts!A621</f>
        <v/>
      </c>
      <c r="B621" s="12" t="n"/>
      <c r="C621" s="65" t="n"/>
      <c r="D621" s="165">
        <f>Accounts!K621</f>
        <v/>
      </c>
      <c r="E621" s="166" t="n">
        <v>0.6</v>
      </c>
      <c r="F621" s="167">
        <f>Accounts!K621*E621</f>
        <v/>
      </c>
      <c r="G621" s="166" t="n">
        <v>0.4</v>
      </c>
      <c r="H621" s="167">
        <f>F621*G621</f>
        <v/>
      </c>
      <c r="I621" s="168">
        <f>if(or(eq(Accounts!J621,"No Valet"),eq(Accounts!J621,"Has Valet")), H621 * AVERAGE(Accounts!J$2:J$36),H621*Accounts!J621)</f>
        <v/>
      </c>
      <c r="J621" s="168">
        <f>iferror(I621*360,"")</f>
        <v/>
      </c>
      <c r="K621" s="168">
        <f>J621*0.1</f>
        <v/>
      </c>
    </row>
    <row r="622" ht="54.75" customHeight="1" s="211">
      <c r="A622" s="164">
        <f>Accounts!A622</f>
        <v/>
      </c>
      <c r="B622" s="12" t="n"/>
      <c r="C622" s="65" t="n"/>
      <c r="D622" s="165">
        <f>Accounts!K622</f>
        <v/>
      </c>
      <c r="E622" s="166" t="n">
        <v>0.6</v>
      </c>
      <c r="F622" s="167">
        <f>Accounts!K622*E622</f>
        <v/>
      </c>
      <c r="G622" s="166" t="n">
        <v>0.4</v>
      </c>
      <c r="H622" s="167">
        <f>F622*G622</f>
        <v/>
      </c>
      <c r="I622" s="168">
        <f>if(or(eq(Accounts!J622,"No Valet"),eq(Accounts!J622,"Has Valet")), H622 * AVERAGE(Accounts!J$2:J$36),H622*Accounts!J622)</f>
        <v/>
      </c>
      <c r="J622" s="168">
        <f>iferror(I622*360,"")</f>
        <v/>
      </c>
      <c r="K622" s="168">
        <f>J622*0.1</f>
        <v/>
      </c>
    </row>
    <row r="623" ht="54.75" customHeight="1" s="211">
      <c r="A623" s="164">
        <f>Accounts!A623</f>
        <v/>
      </c>
      <c r="B623" s="12" t="n"/>
      <c r="C623" s="65" t="n"/>
      <c r="D623" s="165">
        <f>Accounts!K623</f>
        <v/>
      </c>
      <c r="E623" s="166" t="n">
        <v>0.6</v>
      </c>
      <c r="F623" s="167">
        <f>Accounts!K623*E623</f>
        <v/>
      </c>
      <c r="G623" s="166" t="n">
        <v>0.4</v>
      </c>
      <c r="H623" s="167">
        <f>F623*G623</f>
        <v/>
      </c>
      <c r="I623" s="168">
        <f>if(or(eq(Accounts!J623,"No Valet"),eq(Accounts!J623,"Has Valet")), H623 * AVERAGE(Accounts!J$2:J$36),H623*Accounts!J623)</f>
        <v/>
      </c>
      <c r="J623" s="168">
        <f>iferror(I623*360,"")</f>
        <v/>
      </c>
      <c r="K623" s="168">
        <f>J623*0.1</f>
        <v/>
      </c>
    </row>
    <row r="624" ht="54.75" customHeight="1" s="211">
      <c r="A624" s="164">
        <f>Accounts!A624</f>
        <v/>
      </c>
      <c r="B624" s="12" t="n"/>
      <c r="C624" s="65" t="n"/>
      <c r="D624" s="165">
        <f>Accounts!K624</f>
        <v/>
      </c>
      <c r="E624" s="166" t="n">
        <v>0.6</v>
      </c>
      <c r="F624" s="167">
        <f>Accounts!K624*E624</f>
        <v/>
      </c>
      <c r="G624" s="166" t="n">
        <v>0.4</v>
      </c>
      <c r="H624" s="167">
        <f>F624*G624</f>
        <v/>
      </c>
      <c r="I624" s="168">
        <f>if(or(eq(Accounts!J624,"No Valet"),eq(Accounts!J624,"Has Valet")), H624 * AVERAGE(Accounts!J$2:J$36),H624*Accounts!J624)</f>
        <v/>
      </c>
      <c r="J624" s="168">
        <f>iferror(I624*360,"")</f>
        <v/>
      </c>
      <c r="K624" s="168">
        <f>J624*0.1</f>
        <v/>
      </c>
    </row>
    <row r="625" ht="54.75" customHeight="1" s="211">
      <c r="A625" s="164">
        <f>Accounts!A625</f>
        <v/>
      </c>
      <c r="B625" s="12" t="n"/>
      <c r="C625" s="65" t="n"/>
      <c r="D625" s="165">
        <f>Accounts!K625</f>
        <v/>
      </c>
      <c r="E625" s="166" t="n">
        <v>0.6</v>
      </c>
      <c r="F625" s="167">
        <f>Accounts!K625*E625</f>
        <v/>
      </c>
      <c r="G625" s="166" t="n">
        <v>0.4</v>
      </c>
      <c r="H625" s="167">
        <f>F625*G625</f>
        <v/>
      </c>
      <c r="I625" s="168">
        <f>if(or(eq(Accounts!J625,"No Valet"),eq(Accounts!J625,"Has Valet")), H625 * AVERAGE(Accounts!J$2:J$36),H625*Accounts!J625)</f>
        <v/>
      </c>
      <c r="J625" s="168">
        <f>iferror(I625*360,"")</f>
        <v/>
      </c>
      <c r="K625" s="168">
        <f>J625*0.1</f>
        <v/>
      </c>
    </row>
    <row r="626" ht="54.75" customHeight="1" s="211">
      <c r="A626" s="164">
        <f>Accounts!A626</f>
        <v/>
      </c>
      <c r="B626" s="12" t="n"/>
      <c r="C626" s="65" t="n"/>
      <c r="D626" s="165">
        <f>Accounts!K626</f>
        <v/>
      </c>
      <c r="E626" s="166" t="n">
        <v>0.6</v>
      </c>
      <c r="F626" s="167">
        <f>Accounts!K626*E626</f>
        <v/>
      </c>
      <c r="G626" s="166" t="n">
        <v>0.4</v>
      </c>
      <c r="H626" s="167">
        <f>F626*G626</f>
        <v/>
      </c>
      <c r="I626" s="168">
        <f>if(or(eq(Accounts!J626,"No Valet"),eq(Accounts!J626,"Has Valet")), H626 * AVERAGE(Accounts!J$2:J$36),H626*Accounts!J626)</f>
        <v/>
      </c>
      <c r="J626" s="168">
        <f>iferror(I626*360,"")</f>
        <v/>
      </c>
      <c r="K626" s="168">
        <f>J626*0.1</f>
        <v/>
      </c>
    </row>
    <row r="627" ht="54.75" customHeight="1" s="211">
      <c r="A627" s="164">
        <f>Accounts!A627</f>
        <v/>
      </c>
      <c r="B627" s="12" t="n"/>
      <c r="C627" s="65" t="n"/>
      <c r="D627" s="165">
        <f>Accounts!K627</f>
        <v/>
      </c>
      <c r="E627" s="166" t="n">
        <v>0.6</v>
      </c>
      <c r="F627" s="167">
        <f>Accounts!K627*E627</f>
        <v/>
      </c>
      <c r="G627" s="166" t="n">
        <v>0.4</v>
      </c>
      <c r="H627" s="167">
        <f>F627*G627</f>
        <v/>
      </c>
      <c r="I627" s="168">
        <f>if(or(eq(Accounts!J627,"No Valet"),eq(Accounts!J627,"Has Valet")), H627 * AVERAGE(Accounts!J$2:J$36),H627*Accounts!J627)</f>
        <v/>
      </c>
      <c r="J627" s="168">
        <f>iferror(I627*360,"")</f>
        <v/>
      </c>
      <c r="K627" s="168">
        <f>J627*0.1</f>
        <v/>
      </c>
    </row>
    <row r="628" ht="54.75" customHeight="1" s="211">
      <c r="A628" s="164">
        <f>Accounts!A628</f>
        <v/>
      </c>
      <c r="B628" s="12" t="n"/>
      <c r="C628" s="65" t="n"/>
      <c r="D628" s="165">
        <f>Accounts!K628</f>
        <v/>
      </c>
      <c r="E628" s="166" t="n">
        <v>0.6</v>
      </c>
      <c r="F628" s="167">
        <f>Accounts!K628*E628</f>
        <v/>
      </c>
      <c r="G628" s="166" t="n">
        <v>0.4</v>
      </c>
      <c r="H628" s="167">
        <f>F628*G628</f>
        <v/>
      </c>
      <c r="I628" s="168">
        <f>if(or(eq(Accounts!J628,"No Valet"),eq(Accounts!J628,"Has Valet")), H628 * AVERAGE(Accounts!J$2:J$36),H628*Accounts!J628)</f>
        <v/>
      </c>
      <c r="J628" s="168">
        <f>iferror(I628*360,"")</f>
        <v/>
      </c>
      <c r="K628" s="168">
        <f>J628*0.1</f>
        <v/>
      </c>
    </row>
    <row r="629" ht="54.75" customHeight="1" s="211">
      <c r="A629" s="164">
        <f>Accounts!A629</f>
        <v/>
      </c>
      <c r="B629" s="12" t="n"/>
      <c r="C629" s="65" t="n"/>
      <c r="D629" s="165">
        <f>Accounts!K629</f>
        <v/>
      </c>
      <c r="E629" s="166" t="n">
        <v>0.6</v>
      </c>
      <c r="F629" s="167">
        <f>Accounts!K629*E629</f>
        <v/>
      </c>
      <c r="G629" s="166" t="n">
        <v>0.4</v>
      </c>
      <c r="H629" s="167">
        <f>F629*G629</f>
        <v/>
      </c>
      <c r="I629" s="168">
        <f>if(or(eq(Accounts!J629,"No Valet"),eq(Accounts!J629,"Has Valet")), H629 * AVERAGE(Accounts!J$2:J$36),H629*Accounts!J629)</f>
        <v/>
      </c>
      <c r="J629" s="168">
        <f>iferror(I629*360,"")</f>
        <v/>
      </c>
      <c r="K629" s="168">
        <f>J629*0.1</f>
        <v/>
      </c>
    </row>
    <row r="630" ht="54.75" customHeight="1" s="211">
      <c r="A630" s="164">
        <f>Accounts!A630</f>
        <v/>
      </c>
      <c r="B630" s="12" t="n"/>
      <c r="C630" s="65" t="n"/>
      <c r="D630" s="165">
        <f>Accounts!K630</f>
        <v/>
      </c>
      <c r="E630" s="166" t="n">
        <v>0.6</v>
      </c>
      <c r="F630" s="167">
        <f>Accounts!K630*E630</f>
        <v/>
      </c>
      <c r="G630" s="166" t="n">
        <v>0.4</v>
      </c>
      <c r="H630" s="167">
        <f>F630*G630</f>
        <v/>
      </c>
      <c r="I630" s="168">
        <f>if(or(eq(Accounts!J630,"No Valet"),eq(Accounts!J630,"Has Valet")), H630 * AVERAGE(Accounts!J$2:J$36),H630*Accounts!J630)</f>
        <v/>
      </c>
      <c r="J630" s="168">
        <f>iferror(I630*360,"")</f>
        <v/>
      </c>
      <c r="K630" s="168">
        <f>J630*0.1</f>
        <v/>
      </c>
    </row>
    <row r="631" ht="54.75" customHeight="1" s="211">
      <c r="A631" s="164">
        <f>Accounts!A631</f>
        <v/>
      </c>
      <c r="B631" s="12" t="n"/>
      <c r="C631" s="65" t="n"/>
      <c r="D631" s="165">
        <f>Accounts!K631</f>
        <v/>
      </c>
      <c r="E631" s="166" t="n">
        <v>0.6</v>
      </c>
      <c r="F631" s="167">
        <f>Accounts!K631*E631</f>
        <v/>
      </c>
      <c r="G631" s="166" t="n">
        <v>0.4</v>
      </c>
      <c r="H631" s="167">
        <f>F631*G631</f>
        <v/>
      </c>
      <c r="I631" s="168">
        <f>if(or(eq(Accounts!J631,"No Valet"),eq(Accounts!J631,"Has Valet")), H631 * AVERAGE(Accounts!J$2:J$36),H631*Accounts!J631)</f>
        <v/>
      </c>
      <c r="J631" s="168">
        <f>iferror(I631*360,"")</f>
        <v/>
      </c>
      <c r="K631" s="168">
        <f>J631*0.1</f>
        <v/>
      </c>
    </row>
    <row r="632" ht="54.75" customHeight="1" s="211">
      <c r="A632" s="164">
        <f>Accounts!A632</f>
        <v/>
      </c>
      <c r="B632" s="12" t="n"/>
      <c r="C632" s="65" t="n"/>
      <c r="D632" s="165">
        <f>Accounts!K632</f>
        <v/>
      </c>
      <c r="E632" s="166" t="n">
        <v>0.6</v>
      </c>
      <c r="F632" s="167">
        <f>Accounts!K632*E632</f>
        <v/>
      </c>
      <c r="G632" s="166" t="n">
        <v>0.4</v>
      </c>
      <c r="H632" s="167">
        <f>F632*G632</f>
        <v/>
      </c>
      <c r="I632" s="168">
        <f>if(or(eq(Accounts!J632,"No Valet"),eq(Accounts!J632,"Has Valet")), H632 * AVERAGE(Accounts!J$2:J$36),H632*Accounts!J632)</f>
        <v/>
      </c>
      <c r="J632" s="168">
        <f>iferror(I632*360,"")</f>
        <v/>
      </c>
      <c r="K632" s="168">
        <f>J632*0.1</f>
        <v/>
      </c>
    </row>
    <row r="633" ht="54.75" customHeight="1" s="211">
      <c r="A633" s="164">
        <f>Accounts!A633</f>
        <v/>
      </c>
      <c r="B633" s="12" t="n"/>
      <c r="C633" s="65" t="n"/>
      <c r="D633" s="165">
        <f>Accounts!K633</f>
        <v/>
      </c>
      <c r="E633" s="166" t="n">
        <v>0.6</v>
      </c>
      <c r="F633" s="167">
        <f>Accounts!K633*E633</f>
        <v/>
      </c>
      <c r="G633" s="166" t="n">
        <v>0.4</v>
      </c>
      <c r="H633" s="167">
        <f>F633*G633</f>
        <v/>
      </c>
      <c r="I633" s="168">
        <f>if(or(eq(Accounts!J633,"No Valet"),eq(Accounts!J633,"Has Valet")), H633 * AVERAGE(Accounts!J$2:J$36),H633*Accounts!J633)</f>
        <v/>
      </c>
      <c r="J633" s="168">
        <f>iferror(I633*360,"")</f>
        <v/>
      </c>
      <c r="K633" s="168">
        <f>J633*0.1</f>
        <v/>
      </c>
    </row>
    <row r="634" ht="54.75" customHeight="1" s="211">
      <c r="A634" s="164">
        <f>Accounts!A634</f>
        <v/>
      </c>
      <c r="B634" s="12" t="n"/>
      <c r="C634" s="65" t="n"/>
      <c r="D634" s="165">
        <f>Accounts!K634</f>
        <v/>
      </c>
      <c r="E634" s="166" t="n">
        <v>0.6</v>
      </c>
      <c r="F634" s="167">
        <f>Accounts!K634*E634</f>
        <v/>
      </c>
      <c r="G634" s="166" t="n">
        <v>0.4</v>
      </c>
      <c r="H634" s="167">
        <f>F634*G634</f>
        <v/>
      </c>
      <c r="I634" s="168">
        <f>if(or(eq(Accounts!J634,"No Valet"),eq(Accounts!J634,"Has Valet")), H634 * AVERAGE(Accounts!J$2:J$36),H634*Accounts!J634)</f>
        <v/>
      </c>
      <c r="J634" s="168">
        <f>iferror(I634*360,"")</f>
        <v/>
      </c>
      <c r="K634" s="168">
        <f>J634*0.1</f>
        <v/>
      </c>
    </row>
    <row r="635" ht="54.75" customHeight="1" s="211">
      <c r="A635" s="164">
        <f>Accounts!A635</f>
        <v/>
      </c>
      <c r="B635" s="12" t="n"/>
      <c r="C635" s="65" t="n"/>
      <c r="D635" s="165">
        <f>Accounts!K635</f>
        <v/>
      </c>
      <c r="E635" s="166" t="n">
        <v>0.6</v>
      </c>
      <c r="F635" s="167">
        <f>Accounts!K635*E635</f>
        <v/>
      </c>
      <c r="G635" s="166" t="n">
        <v>0.4</v>
      </c>
      <c r="H635" s="167">
        <f>F635*G635</f>
        <v/>
      </c>
      <c r="I635" s="168">
        <f>if(or(eq(Accounts!J635,"No Valet"),eq(Accounts!J635,"Has Valet")), H635 * AVERAGE(Accounts!J$2:J$36),H635*Accounts!J635)</f>
        <v/>
      </c>
      <c r="J635" s="168">
        <f>iferror(I635*360,"")</f>
        <v/>
      </c>
      <c r="K635" s="168">
        <f>J635*0.1</f>
        <v/>
      </c>
    </row>
    <row r="636" ht="54.75" customHeight="1" s="211">
      <c r="A636" s="164">
        <f>Accounts!A636</f>
        <v/>
      </c>
      <c r="B636" s="12" t="n"/>
      <c r="C636" s="65" t="n"/>
      <c r="D636" s="165">
        <f>Accounts!K636</f>
        <v/>
      </c>
      <c r="E636" s="166" t="n">
        <v>0.6</v>
      </c>
      <c r="F636" s="167">
        <f>Accounts!K636*E636</f>
        <v/>
      </c>
      <c r="G636" s="166" t="n">
        <v>0.4</v>
      </c>
      <c r="H636" s="167">
        <f>F636*G636</f>
        <v/>
      </c>
      <c r="I636" s="168">
        <f>if(or(eq(Accounts!J636,"No Valet"),eq(Accounts!J636,"Has Valet")), H636 * AVERAGE(Accounts!J$2:J$36),H636*Accounts!J636)</f>
        <v/>
      </c>
      <c r="J636" s="168">
        <f>iferror(I636*360,"")</f>
        <v/>
      </c>
      <c r="K636" s="168">
        <f>J636*0.1</f>
        <v/>
      </c>
    </row>
    <row r="637" ht="54.75" customHeight="1" s="211">
      <c r="A637" s="164">
        <f>Accounts!A637</f>
        <v/>
      </c>
      <c r="B637" s="12" t="n"/>
      <c r="C637" s="65" t="n"/>
      <c r="D637" s="165">
        <f>Accounts!K637</f>
        <v/>
      </c>
      <c r="E637" s="166" t="n">
        <v>0.6</v>
      </c>
      <c r="F637" s="167">
        <f>Accounts!K637*E637</f>
        <v/>
      </c>
      <c r="G637" s="166" t="n">
        <v>0.4</v>
      </c>
      <c r="H637" s="167">
        <f>F637*G637</f>
        <v/>
      </c>
      <c r="I637" s="168">
        <f>if(or(eq(Accounts!J637,"No Valet"),eq(Accounts!J637,"Has Valet")), H637 * AVERAGE(Accounts!J$2:J$36),H637*Accounts!J637)</f>
        <v/>
      </c>
      <c r="J637" s="168">
        <f>iferror(I637*360,"")</f>
        <v/>
      </c>
      <c r="K637" s="168">
        <f>J637*0.1</f>
        <v/>
      </c>
    </row>
    <row r="638" ht="54.75" customHeight="1" s="211">
      <c r="A638" s="164">
        <f>Accounts!A638</f>
        <v/>
      </c>
      <c r="B638" s="12" t="n"/>
      <c r="C638" s="65" t="n"/>
      <c r="D638" s="165">
        <f>Accounts!K638</f>
        <v/>
      </c>
      <c r="E638" s="166" t="n">
        <v>0.6</v>
      </c>
      <c r="F638" s="167">
        <f>Accounts!K638*E638</f>
        <v/>
      </c>
      <c r="G638" s="166" t="n">
        <v>0.4</v>
      </c>
      <c r="H638" s="167">
        <f>F638*G638</f>
        <v/>
      </c>
      <c r="I638" s="168">
        <f>if(or(eq(Accounts!J638,"No Valet"),eq(Accounts!J638,"Has Valet")), H638 * AVERAGE(Accounts!J$2:J$36),H638*Accounts!J638)</f>
        <v/>
      </c>
      <c r="J638" s="168">
        <f>iferror(I638*360,"")</f>
        <v/>
      </c>
      <c r="K638" s="168">
        <f>J638*0.1</f>
        <v/>
      </c>
    </row>
    <row r="639" ht="54.75" customHeight="1" s="211">
      <c r="A639" s="164">
        <f>Accounts!A639</f>
        <v/>
      </c>
      <c r="B639" s="12" t="n"/>
      <c r="C639" s="65" t="n"/>
      <c r="D639" s="165">
        <f>Accounts!K639</f>
        <v/>
      </c>
      <c r="E639" s="166" t="n">
        <v>0.6</v>
      </c>
      <c r="F639" s="167">
        <f>Accounts!K639*E639</f>
        <v/>
      </c>
      <c r="G639" s="166" t="n">
        <v>0.4</v>
      </c>
      <c r="H639" s="167">
        <f>F639*G639</f>
        <v/>
      </c>
      <c r="I639" s="168">
        <f>if(or(eq(Accounts!J639,"No Valet"),eq(Accounts!J639,"Has Valet")), H639 * AVERAGE(Accounts!J$2:J$36),H639*Accounts!J639)</f>
        <v/>
      </c>
      <c r="J639" s="168">
        <f>iferror(I639*360,"")</f>
        <v/>
      </c>
      <c r="K639" s="168">
        <f>J639*0.1</f>
        <v/>
      </c>
    </row>
    <row r="640" ht="54.75" customHeight="1" s="211">
      <c r="A640" s="164">
        <f>Accounts!A640</f>
        <v/>
      </c>
      <c r="B640" s="12" t="n"/>
      <c r="C640" s="65" t="n"/>
      <c r="D640" s="165">
        <f>Accounts!K640</f>
        <v/>
      </c>
      <c r="E640" s="166" t="n">
        <v>0.6</v>
      </c>
      <c r="F640" s="167">
        <f>Accounts!K640*E640</f>
        <v/>
      </c>
      <c r="G640" s="166" t="n">
        <v>0.4</v>
      </c>
      <c r="H640" s="167">
        <f>F640*G640</f>
        <v/>
      </c>
      <c r="I640" s="168">
        <f>if(or(eq(Accounts!J640,"No Valet"),eq(Accounts!J640,"Has Valet")), H640 * AVERAGE(Accounts!J$2:J$36),H640*Accounts!J640)</f>
        <v/>
      </c>
      <c r="J640" s="168">
        <f>iferror(I640*360,"")</f>
        <v/>
      </c>
      <c r="K640" s="168">
        <f>J640*0.1</f>
        <v/>
      </c>
    </row>
    <row r="641" ht="54.75" customHeight="1" s="211">
      <c r="A641" s="164">
        <f>Accounts!A641</f>
        <v/>
      </c>
      <c r="B641" s="12" t="n"/>
      <c r="C641" s="65" t="n"/>
      <c r="D641" s="165">
        <f>Accounts!K641</f>
        <v/>
      </c>
      <c r="E641" s="166" t="n">
        <v>0.6</v>
      </c>
      <c r="F641" s="167">
        <f>Accounts!K641*E641</f>
        <v/>
      </c>
      <c r="G641" s="166" t="n">
        <v>0.4</v>
      </c>
      <c r="H641" s="167">
        <f>F641*G641</f>
        <v/>
      </c>
      <c r="I641" s="168">
        <f>if(or(eq(Accounts!J641,"No Valet"),eq(Accounts!J641,"Has Valet")), H641 * AVERAGE(Accounts!J$2:J$36),H641*Accounts!J641)</f>
        <v/>
      </c>
      <c r="J641" s="168">
        <f>iferror(I641*360,"")</f>
        <v/>
      </c>
      <c r="K641" s="168">
        <f>J641*0.1</f>
        <v/>
      </c>
    </row>
    <row r="642" ht="54.75" customHeight="1" s="211">
      <c r="A642" s="164">
        <f>Accounts!A642</f>
        <v/>
      </c>
      <c r="B642" s="12" t="n"/>
      <c r="C642" s="65" t="n"/>
      <c r="D642" s="165">
        <f>Accounts!K642</f>
        <v/>
      </c>
      <c r="E642" s="166" t="n">
        <v>0.6</v>
      </c>
      <c r="F642" s="167">
        <f>Accounts!K642*E642</f>
        <v/>
      </c>
      <c r="G642" s="166" t="n">
        <v>0.4</v>
      </c>
      <c r="H642" s="167">
        <f>F642*G642</f>
        <v/>
      </c>
      <c r="I642" s="168">
        <f>if(or(eq(Accounts!J642,"No Valet"),eq(Accounts!J642,"Has Valet")), H642 * AVERAGE(Accounts!J$2:J$36),H642*Accounts!J642)</f>
        <v/>
      </c>
      <c r="J642" s="168">
        <f>iferror(I642*360,"")</f>
        <v/>
      </c>
      <c r="K642" s="168">
        <f>J642*0.1</f>
        <v/>
      </c>
    </row>
    <row r="643" ht="54.75" customHeight="1" s="211">
      <c r="A643" s="164">
        <f>Accounts!A643</f>
        <v/>
      </c>
      <c r="B643" s="12" t="n"/>
      <c r="C643" s="65" t="n"/>
      <c r="D643" s="165">
        <f>Accounts!K643</f>
        <v/>
      </c>
      <c r="E643" s="166" t="n">
        <v>0.6</v>
      </c>
      <c r="F643" s="167">
        <f>Accounts!K643*E643</f>
        <v/>
      </c>
      <c r="G643" s="166" t="n">
        <v>0.4</v>
      </c>
      <c r="H643" s="167">
        <f>F643*G643</f>
        <v/>
      </c>
      <c r="I643" s="168">
        <f>if(or(eq(Accounts!J643,"No Valet"),eq(Accounts!J643,"Has Valet")), H643 * AVERAGE(Accounts!J$2:J$36),H643*Accounts!J643)</f>
        <v/>
      </c>
      <c r="J643" s="168">
        <f>iferror(I643*360,"")</f>
        <v/>
      </c>
      <c r="K643" s="168">
        <f>J643*0.1</f>
        <v/>
      </c>
    </row>
    <row r="644" ht="54.75" customHeight="1" s="211">
      <c r="A644" s="164">
        <f>Accounts!A644</f>
        <v/>
      </c>
      <c r="B644" s="12" t="n"/>
      <c r="C644" s="65" t="n"/>
      <c r="D644" s="165">
        <f>Accounts!K644</f>
        <v/>
      </c>
      <c r="E644" s="166" t="n">
        <v>0.6</v>
      </c>
      <c r="F644" s="167">
        <f>Accounts!K644*E644</f>
        <v/>
      </c>
      <c r="G644" s="166" t="n">
        <v>0.4</v>
      </c>
      <c r="H644" s="167">
        <f>F644*G644</f>
        <v/>
      </c>
      <c r="I644" s="168">
        <f>if(or(eq(Accounts!J644,"No Valet"),eq(Accounts!J644,"Has Valet")), H644 * AVERAGE(Accounts!J$2:J$36),H644*Accounts!J644)</f>
        <v/>
      </c>
      <c r="J644" s="168">
        <f>iferror(I644*360,"")</f>
        <v/>
      </c>
      <c r="K644" s="168">
        <f>J644*0.1</f>
        <v/>
      </c>
    </row>
    <row r="645" ht="54.75" customHeight="1" s="211">
      <c r="A645" s="164">
        <f>Accounts!A645</f>
        <v/>
      </c>
      <c r="B645" s="12" t="n"/>
      <c r="C645" s="65" t="n"/>
      <c r="D645" s="165">
        <f>Accounts!K645</f>
        <v/>
      </c>
      <c r="E645" s="166" t="n">
        <v>0.6</v>
      </c>
      <c r="F645" s="167">
        <f>Accounts!K645*E645</f>
        <v/>
      </c>
      <c r="G645" s="166" t="n">
        <v>0.4</v>
      </c>
      <c r="H645" s="167">
        <f>F645*G645</f>
        <v/>
      </c>
      <c r="I645" s="168">
        <f>if(or(eq(Accounts!J645,"No Valet"),eq(Accounts!J645,"Has Valet")), H645 * AVERAGE(Accounts!J$2:J$36),H645*Accounts!J645)</f>
        <v/>
      </c>
      <c r="J645" s="168">
        <f>iferror(I645*360,"")</f>
        <v/>
      </c>
      <c r="K645" s="168">
        <f>J645*0.1</f>
        <v/>
      </c>
    </row>
    <row r="646" ht="54.75" customHeight="1" s="211">
      <c r="A646" s="164">
        <f>Accounts!A646</f>
        <v/>
      </c>
      <c r="B646" s="12" t="n"/>
      <c r="C646" s="65" t="n"/>
      <c r="D646" s="165">
        <f>Accounts!K646</f>
        <v/>
      </c>
      <c r="E646" s="166" t="n">
        <v>0.6</v>
      </c>
      <c r="F646" s="167">
        <f>Accounts!K646*E646</f>
        <v/>
      </c>
      <c r="G646" s="166" t="n">
        <v>0.4</v>
      </c>
      <c r="H646" s="167">
        <f>F646*G646</f>
        <v/>
      </c>
      <c r="I646" s="168">
        <f>if(or(eq(Accounts!J646,"No Valet"),eq(Accounts!J646,"Has Valet")), H646 * AVERAGE(Accounts!J$2:J$36),H646*Accounts!J646)</f>
        <v/>
      </c>
      <c r="J646" s="168">
        <f>iferror(I646*360,"")</f>
        <v/>
      </c>
      <c r="K646" s="168">
        <f>J646*0.1</f>
        <v/>
      </c>
    </row>
    <row r="647" ht="54.75" customHeight="1" s="211">
      <c r="A647" s="164">
        <f>Accounts!A647</f>
        <v/>
      </c>
      <c r="B647" s="12" t="n"/>
      <c r="C647" s="65" t="n"/>
      <c r="D647" s="165">
        <f>Accounts!K647</f>
        <v/>
      </c>
      <c r="E647" s="166" t="n">
        <v>0.6</v>
      </c>
      <c r="F647" s="167">
        <f>Accounts!K647*E647</f>
        <v/>
      </c>
      <c r="G647" s="166" t="n">
        <v>0.4</v>
      </c>
      <c r="H647" s="167">
        <f>F647*G647</f>
        <v/>
      </c>
      <c r="I647" s="168">
        <f>if(or(eq(Accounts!J647,"No Valet"),eq(Accounts!J647,"Has Valet")), H647 * AVERAGE(Accounts!J$2:J$36),H647*Accounts!J647)</f>
        <v/>
      </c>
      <c r="J647" s="168">
        <f>iferror(I647*360,"")</f>
        <v/>
      </c>
      <c r="K647" s="168">
        <f>J647*0.1</f>
        <v/>
      </c>
    </row>
    <row r="648" ht="54.75" customHeight="1" s="211">
      <c r="A648" s="164">
        <f>Accounts!A648</f>
        <v/>
      </c>
      <c r="B648" s="12" t="n"/>
      <c r="C648" s="65" t="n"/>
      <c r="D648" s="165">
        <f>Accounts!K648</f>
        <v/>
      </c>
      <c r="E648" s="166" t="n">
        <v>0.6</v>
      </c>
      <c r="F648" s="167">
        <f>Accounts!K648*E648</f>
        <v/>
      </c>
      <c r="G648" s="166" t="n">
        <v>0.4</v>
      </c>
      <c r="H648" s="167">
        <f>F648*G648</f>
        <v/>
      </c>
      <c r="I648" s="168">
        <f>if(or(eq(Accounts!J648,"No Valet"),eq(Accounts!J648,"Has Valet")), H648 * AVERAGE(Accounts!J$2:J$36),H648*Accounts!J648)</f>
        <v/>
      </c>
      <c r="J648" s="168">
        <f>iferror(I648*360,"")</f>
        <v/>
      </c>
      <c r="K648" s="168">
        <f>J648*0.1</f>
        <v/>
      </c>
    </row>
    <row r="649" ht="54.75" customHeight="1" s="211">
      <c r="A649" s="164">
        <f>Accounts!A649</f>
        <v/>
      </c>
      <c r="B649" s="12" t="n"/>
      <c r="C649" s="65" t="n"/>
      <c r="D649" s="165">
        <f>Accounts!K649</f>
        <v/>
      </c>
      <c r="E649" s="166" t="n">
        <v>0.6</v>
      </c>
      <c r="F649" s="167">
        <f>Accounts!K649*E649</f>
        <v/>
      </c>
      <c r="G649" s="166" t="n">
        <v>0.4</v>
      </c>
      <c r="H649" s="167">
        <f>F649*G649</f>
        <v/>
      </c>
      <c r="I649" s="168">
        <f>if(or(eq(Accounts!J649,"No Valet"),eq(Accounts!J649,"Has Valet")), H649 * AVERAGE(Accounts!J$2:J$36),H649*Accounts!J649)</f>
        <v/>
      </c>
      <c r="J649" s="168">
        <f>iferror(I649*360,"")</f>
        <v/>
      </c>
      <c r="K649" s="168">
        <f>J649*0.1</f>
        <v/>
      </c>
    </row>
    <row r="650" ht="54.75" customHeight="1" s="211">
      <c r="A650" s="164">
        <f>Accounts!A650</f>
        <v/>
      </c>
      <c r="B650" s="12" t="n"/>
      <c r="C650" s="65" t="n"/>
      <c r="D650" s="165">
        <f>Accounts!K650</f>
        <v/>
      </c>
      <c r="E650" s="166" t="n">
        <v>0.6</v>
      </c>
      <c r="F650" s="167">
        <f>Accounts!K650*E650</f>
        <v/>
      </c>
      <c r="G650" s="166" t="n">
        <v>0.4</v>
      </c>
      <c r="H650" s="167">
        <f>F650*G650</f>
        <v/>
      </c>
      <c r="I650" s="168">
        <f>if(or(eq(Accounts!J650,"No Valet"),eq(Accounts!J650,"Has Valet")), H650 * AVERAGE(Accounts!J$2:J$36),H650*Accounts!J650)</f>
        <v/>
      </c>
      <c r="J650" s="168">
        <f>iferror(I650*360,"")</f>
        <v/>
      </c>
      <c r="K650" s="168">
        <f>J650*0.1</f>
        <v/>
      </c>
    </row>
    <row r="651" ht="54.75" customHeight="1" s="211">
      <c r="A651" s="164">
        <f>Accounts!A651</f>
        <v/>
      </c>
      <c r="B651" s="12" t="n"/>
      <c r="C651" s="65" t="n"/>
      <c r="D651" s="165">
        <f>Accounts!K651</f>
        <v/>
      </c>
      <c r="E651" s="166" t="n">
        <v>0.6</v>
      </c>
      <c r="F651" s="167">
        <f>Accounts!K651*E651</f>
        <v/>
      </c>
      <c r="G651" s="166" t="n">
        <v>0.4</v>
      </c>
      <c r="H651" s="167">
        <f>F651*G651</f>
        <v/>
      </c>
      <c r="I651" s="168">
        <f>if(or(eq(Accounts!J651,"No Valet"),eq(Accounts!J651,"Has Valet")), H651 * AVERAGE(Accounts!J$2:J$36),H651*Accounts!J651)</f>
        <v/>
      </c>
      <c r="J651" s="168">
        <f>iferror(I651*360,"")</f>
        <v/>
      </c>
      <c r="K651" s="168">
        <f>J651*0.1</f>
        <v/>
      </c>
    </row>
    <row r="652" ht="54.75" customHeight="1" s="211">
      <c r="A652" s="164">
        <f>Accounts!A652</f>
        <v/>
      </c>
      <c r="B652" s="12" t="n"/>
      <c r="C652" s="65" t="n"/>
      <c r="D652" s="165">
        <f>Accounts!K652</f>
        <v/>
      </c>
      <c r="E652" s="166" t="n">
        <v>0.6</v>
      </c>
      <c r="F652" s="167">
        <f>Accounts!K652*E652</f>
        <v/>
      </c>
      <c r="G652" s="166" t="n">
        <v>0.4</v>
      </c>
      <c r="H652" s="167">
        <f>F652*G652</f>
        <v/>
      </c>
      <c r="I652" s="168">
        <f>if(or(eq(Accounts!J652,"No Valet"),eq(Accounts!J652,"Has Valet")), H652 * AVERAGE(Accounts!J$2:J$36),H652*Accounts!J652)</f>
        <v/>
      </c>
      <c r="J652" s="168">
        <f>iferror(I652*360,"")</f>
        <v/>
      </c>
      <c r="K652" s="168">
        <f>J652*0.1</f>
        <v/>
      </c>
    </row>
    <row r="653" ht="54.75" customHeight="1" s="211">
      <c r="A653" s="164">
        <f>Accounts!A653</f>
        <v/>
      </c>
      <c r="B653" s="12" t="n"/>
      <c r="C653" s="65" t="n"/>
      <c r="D653" s="165">
        <f>Accounts!K653</f>
        <v/>
      </c>
      <c r="E653" s="166" t="n">
        <v>0.6</v>
      </c>
      <c r="F653" s="167">
        <f>Accounts!K653*E653</f>
        <v/>
      </c>
      <c r="G653" s="166" t="n">
        <v>0.4</v>
      </c>
      <c r="H653" s="167">
        <f>F653*G653</f>
        <v/>
      </c>
      <c r="I653" s="168">
        <f>if(or(eq(Accounts!J653,"No Valet"),eq(Accounts!J653,"Has Valet")), H653 * AVERAGE(Accounts!J$2:J$36),H653*Accounts!J653)</f>
        <v/>
      </c>
      <c r="J653" s="168">
        <f>iferror(I653*360,"")</f>
        <v/>
      </c>
      <c r="K653" s="168">
        <f>J653*0.1</f>
        <v/>
      </c>
    </row>
    <row r="654" ht="54.75" customHeight="1" s="211">
      <c r="A654" s="164">
        <f>Accounts!A654</f>
        <v/>
      </c>
      <c r="B654" s="12" t="n"/>
      <c r="C654" s="65" t="n"/>
      <c r="D654" s="165">
        <f>Accounts!K654</f>
        <v/>
      </c>
      <c r="E654" s="166" t="n">
        <v>0.6</v>
      </c>
      <c r="F654" s="167">
        <f>Accounts!K654*E654</f>
        <v/>
      </c>
      <c r="G654" s="166" t="n">
        <v>0.4</v>
      </c>
      <c r="H654" s="167">
        <f>F654*G654</f>
        <v/>
      </c>
      <c r="I654" s="168">
        <f>if(or(eq(Accounts!J654,"No Valet"),eq(Accounts!J654,"Has Valet")), H654 * AVERAGE(Accounts!J$2:J$36),H654*Accounts!J654)</f>
        <v/>
      </c>
      <c r="J654" s="168">
        <f>iferror(I654*360,"")</f>
        <v/>
      </c>
      <c r="K654" s="168">
        <f>J654*0.1</f>
        <v/>
      </c>
    </row>
    <row r="655" ht="54.75" customHeight="1" s="211">
      <c r="A655" s="164">
        <f>Accounts!A655</f>
        <v/>
      </c>
      <c r="B655" s="12" t="n"/>
      <c r="C655" s="65" t="n"/>
      <c r="D655" s="165">
        <f>Accounts!K655</f>
        <v/>
      </c>
      <c r="E655" s="166" t="n">
        <v>0.6</v>
      </c>
      <c r="F655" s="167">
        <f>Accounts!K655*E655</f>
        <v/>
      </c>
      <c r="G655" s="166" t="n">
        <v>0.4</v>
      </c>
      <c r="H655" s="167">
        <f>F655*G655</f>
        <v/>
      </c>
      <c r="I655" s="168">
        <f>if(or(eq(Accounts!J655,"No Valet"),eq(Accounts!J655,"Has Valet")), H655 * AVERAGE(Accounts!J$2:J$36),H655*Accounts!J655)</f>
        <v/>
      </c>
      <c r="J655" s="168">
        <f>iferror(I655*360,"")</f>
        <v/>
      </c>
      <c r="K655" s="168">
        <f>J655*0.1</f>
        <v/>
      </c>
    </row>
    <row r="656" ht="54.75" customHeight="1" s="211">
      <c r="A656" s="164">
        <f>Accounts!A656</f>
        <v/>
      </c>
      <c r="B656" s="12" t="n"/>
      <c r="C656" s="65" t="n"/>
      <c r="D656" s="165">
        <f>Accounts!K656</f>
        <v/>
      </c>
      <c r="E656" s="166" t="n">
        <v>0.6</v>
      </c>
      <c r="F656" s="167">
        <f>Accounts!K656*E656</f>
        <v/>
      </c>
      <c r="G656" s="166" t="n">
        <v>0.4</v>
      </c>
      <c r="H656" s="167">
        <f>F656*G656</f>
        <v/>
      </c>
      <c r="I656" s="168">
        <f>if(or(eq(Accounts!J656,"No Valet"),eq(Accounts!J656,"Has Valet")), H656 * AVERAGE(Accounts!J$2:J$36),H656*Accounts!J656)</f>
        <v/>
      </c>
      <c r="J656" s="168">
        <f>iferror(I656*360,"")</f>
        <v/>
      </c>
      <c r="K656" s="168">
        <f>J656*0.1</f>
        <v/>
      </c>
    </row>
    <row r="657" ht="54.75" customHeight="1" s="211">
      <c r="A657" s="164">
        <f>Accounts!A657</f>
        <v/>
      </c>
      <c r="B657" s="12" t="n"/>
      <c r="C657" s="65" t="n"/>
      <c r="D657" s="165">
        <f>Accounts!K657</f>
        <v/>
      </c>
      <c r="E657" s="166" t="n">
        <v>0.6</v>
      </c>
      <c r="F657" s="167">
        <f>Accounts!K657*E657</f>
        <v/>
      </c>
      <c r="G657" s="166" t="n">
        <v>0.4</v>
      </c>
      <c r="H657" s="167">
        <f>F657*G657</f>
        <v/>
      </c>
      <c r="I657" s="168">
        <f>if(or(eq(Accounts!J657,"No Valet"),eq(Accounts!J657,"Has Valet")), H657 * AVERAGE(Accounts!J$2:J$36),H657*Accounts!J657)</f>
        <v/>
      </c>
      <c r="J657" s="168">
        <f>iferror(I657*360,"")</f>
        <v/>
      </c>
      <c r="K657" s="168">
        <f>J657*0.1</f>
        <v/>
      </c>
    </row>
    <row r="658" ht="54.75" customHeight="1" s="211">
      <c r="A658" s="164">
        <f>Accounts!A658</f>
        <v/>
      </c>
      <c r="B658" s="12" t="n"/>
      <c r="C658" s="65" t="n"/>
      <c r="D658" s="165">
        <f>Accounts!K658</f>
        <v/>
      </c>
      <c r="E658" s="166" t="n">
        <v>0.6</v>
      </c>
      <c r="F658" s="167">
        <f>Accounts!K658*E658</f>
        <v/>
      </c>
      <c r="G658" s="166" t="n">
        <v>0.4</v>
      </c>
      <c r="H658" s="167">
        <f>F658*G658</f>
        <v/>
      </c>
      <c r="I658" s="168">
        <f>if(or(eq(Accounts!J658,"No Valet"),eq(Accounts!J658,"Has Valet")), H658 * AVERAGE(Accounts!J$2:J$36),H658*Accounts!J658)</f>
        <v/>
      </c>
      <c r="J658" s="168">
        <f>iferror(I658*360,"")</f>
        <v/>
      </c>
      <c r="K658" s="168">
        <f>J658*0.1</f>
        <v/>
      </c>
    </row>
    <row r="659" ht="54.75" customHeight="1" s="211">
      <c r="A659" s="164">
        <f>Accounts!A659</f>
        <v/>
      </c>
      <c r="B659" s="12" t="n"/>
      <c r="C659" s="65" t="n"/>
      <c r="D659" s="165">
        <f>Accounts!K659</f>
        <v/>
      </c>
      <c r="E659" s="166" t="n">
        <v>0.6</v>
      </c>
      <c r="F659" s="167">
        <f>Accounts!K659*E659</f>
        <v/>
      </c>
      <c r="G659" s="166" t="n">
        <v>0.4</v>
      </c>
      <c r="H659" s="167">
        <f>F659*G659</f>
        <v/>
      </c>
      <c r="I659" s="168">
        <f>if(or(eq(Accounts!J659,"No Valet"),eq(Accounts!J659,"Has Valet")), H659 * AVERAGE(Accounts!J$2:J$36),H659*Accounts!J659)</f>
        <v/>
      </c>
      <c r="J659" s="168">
        <f>iferror(I659*360,"")</f>
        <v/>
      </c>
      <c r="K659" s="168">
        <f>J659*0.1</f>
        <v/>
      </c>
    </row>
    <row r="660" ht="54.75" customHeight="1" s="211">
      <c r="A660" s="164">
        <f>Accounts!A660</f>
        <v/>
      </c>
      <c r="B660" s="12" t="n"/>
      <c r="C660" s="65" t="n"/>
      <c r="D660" s="165">
        <f>Accounts!K660</f>
        <v/>
      </c>
      <c r="E660" s="166" t="n">
        <v>0.6</v>
      </c>
      <c r="F660" s="167">
        <f>Accounts!K660*E660</f>
        <v/>
      </c>
      <c r="G660" s="166" t="n">
        <v>0.4</v>
      </c>
      <c r="H660" s="167">
        <f>F660*G660</f>
        <v/>
      </c>
      <c r="I660" s="168">
        <f>if(or(eq(Accounts!J660,"No Valet"),eq(Accounts!J660,"Has Valet")), H660 * AVERAGE(Accounts!J$2:J$36),H660*Accounts!J660)</f>
        <v/>
      </c>
      <c r="J660" s="168">
        <f>iferror(I660*360,"")</f>
        <v/>
      </c>
      <c r="K660" s="168">
        <f>J660*0.1</f>
        <v/>
      </c>
    </row>
    <row r="661" ht="54.75" customHeight="1" s="211">
      <c r="A661" s="164">
        <f>Accounts!A661</f>
        <v/>
      </c>
      <c r="B661" s="12" t="n"/>
      <c r="C661" s="65" t="n"/>
      <c r="D661" s="165">
        <f>Accounts!K661</f>
        <v/>
      </c>
      <c r="E661" s="166" t="n">
        <v>0.6</v>
      </c>
      <c r="F661" s="167">
        <f>Accounts!K661*E661</f>
        <v/>
      </c>
      <c r="G661" s="166" t="n">
        <v>0.4</v>
      </c>
      <c r="H661" s="167">
        <f>F661*G661</f>
        <v/>
      </c>
      <c r="I661" s="168">
        <f>if(or(eq(Accounts!J661,"No Valet"),eq(Accounts!J661,"Has Valet")), H661 * AVERAGE(Accounts!J$2:J$36),H661*Accounts!J661)</f>
        <v/>
      </c>
      <c r="J661" s="168">
        <f>iferror(I661*360,"")</f>
        <v/>
      </c>
      <c r="K661" s="168">
        <f>J661*0.1</f>
        <v/>
      </c>
    </row>
    <row r="662" ht="54.75" customHeight="1" s="211">
      <c r="A662" s="164">
        <f>Accounts!A662</f>
        <v/>
      </c>
      <c r="B662" s="12" t="n"/>
      <c r="C662" s="65" t="n"/>
      <c r="D662" s="165">
        <f>Accounts!K662</f>
        <v/>
      </c>
      <c r="E662" s="166" t="n">
        <v>0.6</v>
      </c>
      <c r="F662" s="167">
        <f>Accounts!K662*E662</f>
        <v/>
      </c>
      <c r="G662" s="166" t="n">
        <v>0.4</v>
      </c>
      <c r="H662" s="167">
        <f>F662*G662</f>
        <v/>
      </c>
      <c r="I662" s="168">
        <f>if(or(eq(Accounts!J662,"No Valet"),eq(Accounts!J662,"Has Valet")), H662 * AVERAGE(Accounts!J$2:J$36),H662*Accounts!J662)</f>
        <v/>
      </c>
      <c r="J662" s="168">
        <f>iferror(I662*360,"")</f>
        <v/>
      </c>
      <c r="K662" s="168">
        <f>J662*0.1</f>
        <v/>
      </c>
    </row>
    <row r="663" ht="54.75" customHeight="1" s="211">
      <c r="A663" s="164">
        <f>Accounts!A663</f>
        <v/>
      </c>
      <c r="B663" s="12" t="n"/>
      <c r="C663" s="65" t="n"/>
      <c r="D663" s="165">
        <f>Accounts!K663</f>
        <v/>
      </c>
      <c r="E663" s="166" t="n">
        <v>0.6</v>
      </c>
      <c r="F663" s="167">
        <f>Accounts!K663*E663</f>
        <v/>
      </c>
      <c r="G663" s="166" t="n">
        <v>0.4</v>
      </c>
      <c r="H663" s="167">
        <f>F663*G663</f>
        <v/>
      </c>
      <c r="I663" s="168">
        <f>if(or(eq(Accounts!J663,"No Valet"),eq(Accounts!J663,"Has Valet")), H663 * AVERAGE(Accounts!J$2:J$36),H663*Accounts!J663)</f>
        <v/>
      </c>
      <c r="J663" s="168">
        <f>iferror(I663*360,"")</f>
        <v/>
      </c>
      <c r="K663" s="168">
        <f>J663*0.1</f>
        <v/>
      </c>
    </row>
    <row r="664" ht="54.75" customHeight="1" s="211">
      <c r="A664" s="164">
        <f>Accounts!A664</f>
        <v/>
      </c>
      <c r="B664" s="12" t="n"/>
      <c r="C664" s="65" t="n"/>
      <c r="D664" s="165">
        <f>Accounts!K664</f>
        <v/>
      </c>
      <c r="E664" s="166" t="n">
        <v>0.6</v>
      </c>
      <c r="F664" s="167">
        <f>Accounts!K664*E664</f>
        <v/>
      </c>
      <c r="G664" s="166" t="n">
        <v>0.4</v>
      </c>
      <c r="H664" s="167">
        <f>F664*G664</f>
        <v/>
      </c>
      <c r="I664" s="168">
        <f>if(or(eq(Accounts!J664,"No Valet"),eq(Accounts!J664,"Has Valet")), H664 * AVERAGE(Accounts!J$2:J$36),H664*Accounts!J664)</f>
        <v/>
      </c>
      <c r="J664" s="168">
        <f>iferror(I664*360,"")</f>
        <v/>
      </c>
      <c r="K664" s="168">
        <f>J664*0.1</f>
        <v/>
      </c>
    </row>
    <row r="665" ht="54.75" customHeight="1" s="211">
      <c r="A665" s="164">
        <f>Accounts!A665</f>
        <v/>
      </c>
      <c r="B665" s="12" t="n"/>
      <c r="C665" s="65" t="n"/>
      <c r="D665" s="165">
        <f>Accounts!K665</f>
        <v/>
      </c>
      <c r="E665" s="166" t="n">
        <v>0.6</v>
      </c>
      <c r="F665" s="167">
        <f>Accounts!K665*E665</f>
        <v/>
      </c>
      <c r="G665" s="166" t="n">
        <v>0.4</v>
      </c>
      <c r="H665" s="167">
        <f>F665*G665</f>
        <v/>
      </c>
      <c r="I665" s="168">
        <f>if(or(eq(Accounts!J665,"No Valet"),eq(Accounts!J665,"Has Valet")), H665 * AVERAGE(Accounts!J$2:J$36),H665*Accounts!J665)</f>
        <v/>
      </c>
      <c r="J665" s="168">
        <f>iferror(I665*360,"")</f>
        <v/>
      </c>
      <c r="K665" s="168">
        <f>J665*0.1</f>
        <v/>
      </c>
    </row>
    <row r="666" ht="54.75" customHeight="1" s="211">
      <c r="A666" s="164">
        <f>Accounts!A666</f>
        <v/>
      </c>
      <c r="B666" s="12" t="n"/>
      <c r="C666" s="65" t="n"/>
      <c r="D666" s="165">
        <f>Accounts!K666</f>
        <v/>
      </c>
      <c r="E666" s="166" t="n">
        <v>0.6</v>
      </c>
      <c r="F666" s="167">
        <f>Accounts!K666*E666</f>
        <v/>
      </c>
      <c r="G666" s="166" t="n">
        <v>0.4</v>
      </c>
      <c r="H666" s="167">
        <f>F666*G666</f>
        <v/>
      </c>
      <c r="I666" s="168">
        <f>if(or(eq(Accounts!J666,"No Valet"),eq(Accounts!J666,"Has Valet")), H666 * AVERAGE(Accounts!J$2:J$36),H666*Accounts!J666)</f>
        <v/>
      </c>
      <c r="J666" s="168">
        <f>iferror(I666*360,"")</f>
        <v/>
      </c>
      <c r="K666" s="168">
        <f>J666*0.1</f>
        <v/>
      </c>
    </row>
    <row r="667" ht="54.75" customHeight="1" s="211">
      <c r="A667" s="164">
        <f>Accounts!A667</f>
        <v/>
      </c>
      <c r="B667" s="12" t="n"/>
      <c r="C667" s="65" t="n"/>
      <c r="D667" s="165">
        <f>Accounts!K667</f>
        <v/>
      </c>
      <c r="E667" s="166" t="n">
        <v>0.6</v>
      </c>
      <c r="F667" s="167">
        <f>Accounts!K667*E667</f>
        <v/>
      </c>
      <c r="G667" s="166" t="n">
        <v>0.4</v>
      </c>
      <c r="H667" s="167">
        <f>F667*G667</f>
        <v/>
      </c>
      <c r="I667" s="168">
        <f>if(or(eq(Accounts!J667,"No Valet"),eq(Accounts!J667,"Has Valet")), H667 * AVERAGE(Accounts!J$2:J$36),H667*Accounts!J667)</f>
        <v/>
      </c>
      <c r="J667" s="168">
        <f>iferror(I667*360,"")</f>
        <v/>
      </c>
      <c r="K667" s="168">
        <f>J667*0.1</f>
        <v/>
      </c>
    </row>
    <row r="668" ht="54.75" customHeight="1" s="211">
      <c r="A668" s="164">
        <f>Accounts!A668</f>
        <v/>
      </c>
      <c r="B668" s="12" t="n"/>
      <c r="C668" s="65" t="n"/>
      <c r="D668" s="165">
        <f>Accounts!K668</f>
        <v/>
      </c>
      <c r="E668" s="166" t="n">
        <v>0.6</v>
      </c>
      <c r="F668" s="167">
        <f>Accounts!K668*E668</f>
        <v/>
      </c>
      <c r="G668" s="166" t="n">
        <v>0.4</v>
      </c>
      <c r="H668" s="167">
        <f>F668*G668</f>
        <v/>
      </c>
      <c r="I668" s="168">
        <f>if(or(eq(Accounts!J668,"No Valet"),eq(Accounts!J668,"Has Valet")), H668 * AVERAGE(Accounts!J$2:J$36),H668*Accounts!J668)</f>
        <v/>
      </c>
      <c r="J668" s="168">
        <f>iferror(I668*360,"")</f>
        <v/>
      </c>
      <c r="K668" s="168">
        <f>J668*0.1</f>
        <v/>
      </c>
    </row>
    <row r="669" ht="54.75" customHeight="1" s="211">
      <c r="A669" s="164">
        <f>Accounts!A669</f>
        <v/>
      </c>
      <c r="B669" s="12" t="n"/>
      <c r="C669" s="65" t="n"/>
      <c r="D669" s="165">
        <f>Accounts!K669</f>
        <v/>
      </c>
      <c r="E669" s="166" t="n">
        <v>0.6</v>
      </c>
      <c r="F669" s="167">
        <f>Accounts!K669*E669</f>
        <v/>
      </c>
      <c r="G669" s="166" t="n">
        <v>0.4</v>
      </c>
      <c r="H669" s="167">
        <f>F669*G669</f>
        <v/>
      </c>
      <c r="I669" s="168">
        <f>if(or(eq(Accounts!J669,"No Valet"),eq(Accounts!J669,"Has Valet")), H669 * AVERAGE(Accounts!J$2:J$36),H669*Accounts!J669)</f>
        <v/>
      </c>
      <c r="J669" s="168">
        <f>iferror(I669*360,"")</f>
        <v/>
      </c>
      <c r="K669" s="168">
        <f>J669*0.1</f>
        <v/>
      </c>
    </row>
    <row r="670" ht="54.75" customHeight="1" s="211">
      <c r="A670" s="164">
        <f>Accounts!A670</f>
        <v/>
      </c>
      <c r="B670" s="12" t="n"/>
      <c r="C670" s="65" t="n"/>
      <c r="D670" s="165">
        <f>Accounts!K670</f>
        <v/>
      </c>
      <c r="E670" s="166" t="n">
        <v>0.6</v>
      </c>
      <c r="F670" s="167">
        <f>Accounts!K670*E670</f>
        <v/>
      </c>
      <c r="G670" s="166" t="n">
        <v>0.4</v>
      </c>
      <c r="H670" s="167">
        <f>F670*G670</f>
        <v/>
      </c>
      <c r="I670" s="168">
        <f>if(or(eq(Accounts!J670,"No Valet"),eq(Accounts!J670,"Has Valet")), H670 * AVERAGE(Accounts!J$2:J$36),H670*Accounts!J670)</f>
        <v/>
      </c>
      <c r="J670" s="168">
        <f>iferror(I670*360,"")</f>
        <v/>
      </c>
      <c r="K670" s="168">
        <f>J670*0.1</f>
        <v/>
      </c>
    </row>
    <row r="671" ht="54.75" customHeight="1" s="211">
      <c r="A671" s="164">
        <f>Accounts!A671</f>
        <v/>
      </c>
      <c r="B671" s="12" t="n"/>
      <c r="C671" s="65" t="n"/>
      <c r="D671" s="165">
        <f>Accounts!K671</f>
        <v/>
      </c>
      <c r="E671" s="166" t="n">
        <v>0.6</v>
      </c>
      <c r="F671" s="167">
        <f>Accounts!K671*E671</f>
        <v/>
      </c>
      <c r="G671" s="166" t="n">
        <v>0.4</v>
      </c>
      <c r="H671" s="167">
        <f>F671*G671</f>
        <v/>
      </c>
      <c r="I671" s="168">
        <f>if(or(eq(Accounts!J671,"No Valet"),eq(Accounts!J671,"Has Valet")), H671 * AVERAGE(Accounts!J$2:J$36),H671*Accounts!J671)</f>
        <v/>
      </c>
      <c r="J671" s="168">
        <f>iferror(I671*360,"")</f>
        <v/>
      </c>
      <c r="K671" s="168">
        <f>J671*0.1</f>
        <v/>
      </c>
    </row>
    <row r="672" ht="54.75" customHeight="1" s="211">
      <c r="A672" s="164">
        <f>Accounts!A672</f>
        <v/>
      </c>
      <c r="B672" s="12" t="n"/>
      <c r="C672" s="65" t="n"/>
      <c r="D672" s="165">
        <f>Accounts!K672</f>
        <v/>
      </c>
      <c r="E672" s="166" t="n">
        <v>0.6</v>
      </c>
      <c r="F672" s="167">
        <f>Accounts!K672*E672</f>
        <v/>
      </c>
      <c r="G672" s="166" t="n">
        <v>0.4</v>
      </c>
      <c r="H672" s="167">
        <f>F672*G672</f>
        <v/>
      </c>
      <c r="I672" s="168">
        <f>if(or(eq(Accounts!J672,"No Valet"),eq(Accounts!J672,"Has Valet")), H672 * AVERAGE(Accounts!J$2:J$36),H672*Accounts!J672)</f>
        <v/>
      </c>
      <c r="J672" s="168">
        <f>iferror(I672*360,"")</f>
        <v/>
      </c>
      <c r="K672" s="168">
        <f>J672*0.1</f>
        <v/>
      </c>
    </row>
    <row r="673" ht="54.75" customHeight="1" s="211">
      <c r="A673" s="164">
        <f>Accounts!A673</f>
        <v/>
      </c>
      <c r="B673" s="12" t="n"/>
      <c r="C673" s="65" t="n"/>
      <c r="D673" s="165">
        <f>Accounts!K673</f>
        <v/>
      </c>
      <c r="E673" s="166" t="n">
        <v>0.6</v>
      </c>
      <c r="F673" s="167">
        <f>Accounts!K673*E673</f>
        <v/>
      </c>
      <c r="G673" s="166" t="n">
        <v>0.4</v>
      </c>
      <c r="H673" s="167">
        <f>F673*G673</f>
        <v/>
      </c>
      <c r="I673" s="168">
        <f>if(or(eq(Accounts!J673,"No Valet"),eq(Accounts!J673,"Has Valet")), H673 * AVERAGE(Accounts!J$2:J$36),H673*Accounts!J673)</f>
        <v/>
      </c>
      <c r="J673" s="168">
        <f>iferror(I673*360,"")</f>
        <v/>
      </c>
      <c r="K673" s="168">
        <f>J673*0.1</f>
        <v/>
      </c>
    </row>
    <row r="674" ht="54.75" customHeight="1" s="211">
      <c r="A674" s="164">
        <f>Accounts!A674</f>
        <v/>
      </c>
      <c r="B674" s="12" t="n"/>
      <c r="C674" s="65" t="n"/>
      <c r="D674" s="165">
        <f>Accounts!K674</f>
        <v/>
      </c>
      <c r="E674" s="166" t="n">
        <v>0.6</v>
      </c>
      <c r="F674" s="167">
        <f>Accounts!K674*E674</f>
        <v/>
      </c>
      <c r="G674" s="166" t="n">
        <v>0.4</v>
      </c>
      <c r="H674" s="167">
        <f>F674*G674</f>
        <v/>
      </c>
      <c r="I674" s="168">
        <f>if(or(eq(Accounts!J674,"No Valet"),eq(Accounts!J674,"Has Valet")), H674 * AVERAGE(Accounts!J$2:J$36),H674*Accounts!J674)</f>
        <v/>
      </c>
      <c r="J674" s="168">
        <f>iferror(I674*360,"")</f>
        <v/>
      </c>
      <c r="K674" s="168">
        <f>J674*0.1</f>
        <v/>
      </c>
    </row>
    <row r="675" ht="54.75" customHeight="1" s="211">
      <c r="A675" s="164">
        <f>Accounts!A675</f>
        <v/>
      </c>
      <c r="B675" s="12" t="n"/>
      <c r="C675" s="65" t="n"/>
      <c r="D675" s="165">
        <f>Accounts!K675</f>
        <v/>
      </c>
      <c r="E675" s="166" t="n">
        <v>0.6</v>
      </c>
      <c r="F675" s="167">
        <f>Accounts!K675*E675</f>
        <v/>
      </c>
      <c r="G675" s="166" t="n">
        <v>0.4</v>
      </c>
      <c r="H675" s="167">
        <f>F675*G675</f>
        <v/>
      </c>
      <c r="I675" s="168">
        <f>if(or(eq(Accounts!J675,"No Valet"),eq(Accounts!J675,"Has Valet")), H675 * AVERAGE(Accounts!J$2:J$36),H675*Accounts!J675)</f>
        <v/>
      </c>
      <c r="J675" s="168">
        <f>iferror(I675*360,"")</f>
        <v/>
      </c>
      <c r="K675" s="168">
        <f>J675*0.1</f>
        <v/>
      </c>
    </row>
    <row r="676" ht="54.75" customHeight="1" s="211">
      <c r="A676" s="164">
        <f>Accounts!A676</f>
        <v/>
      </c>
      <c r="B676" s="12" t="n"/>
      <c r="C676" s="65" t="n"/>
      <c r="D676" s="165">
        <f>Accounts!K676</f>
        <v/>
      </c>
      <c r="E676" s="166" t="n">
        <v>0.6</v>
      </c>
      <c r="F676" s="167">
        <f>Accounts!K676*E676</f>
        <v/>
      </c>
      <c r="G676" s="166" t="n">
        <v>0.4</v>
      </c>
      <c r="H676" s="167">
        <f>F676*G676</f>
        <v/>
      </c>
      <c r="I676" s="168">
        <f>if(or(eq(Accounts!J676,"No Valet"),eq(Accounts!J676,"Has Valet")), H676 * AVERAGE(Accounts!J$2:J$36),H676*Accounts!J676)</f>
        <v/>
      </c>
      <c r="J676" s="168">
        <f>iferror(I676*360,"")</f>
        <v/>
      </c>
      <c r="K676" s="168">
        <f>J676*0.1</f>
        <v/>
      </c>
    </row>
    <row r="677" ht="54.75" customHeight="1" s="211">
      <c r="A677" s="164">
        <f>Accounts!A677</f>
        <v/>
      </c>
      <c r="B677" s="12" t="n"/>
      <c r="C677" s="65" t="n"/>
      <c r="D677" s="165">
        <f>Accounts!K677</f>
        <v/>
      </c>
      <c r="E677" s="166" t="n">
        <v>0.6</v>
      </c>
      <c r="F677" s="167">
        <f>Accounts!K677*E677</f>
        <v/>
      </c>
      <c r="G677" s="166" t="n">
        <v>0.4</v>
      </c>
      <c r="H677" s="167">
        <f>F677*G677</f>
        <v/>
      </c>
      <c r="I677" s="168">
        <f>if(or(eq(Accounts!J677,"No Valet"),eq(Accounts!J677,"Has Valet")), H677 * AVERAGE(Accounts!J$2:J$36),H677*Accounts!J677)</f>
        <v/>
      </c>
      <c r="J677" s="168">
        <f>iferror(I677*360,"")</f>
        <v/>
      </c>
      <c r="K677" s="168">
        <f>J677*0.1</f>
        <v/>
      </c>
    </row>
    <row r="678" ht="54.75" customHeight="1" s="211">
      <c r="A678" s="164">
        <f>Accounts!A678</f>
        <v/>
      </c>
      <c r="B678" s="12" t="n"/>
      <c r="C678" s="65" t="n"/>
      <c r="D678" s="165">
        <f>Accounts!K678</f>
        <v/>
      </c>
      <c r="E678" s="166" t="n">
        <v>0.6</v>
      </c>
      <c r="F678" s="167">
        <f>Accounts!K678*E678</f>
        <v/>
      </c>
      <c r="G678" s="166" t="n">
        <v>0.4</v>
      </c>
      <c r="H678" s="167">
        <f>F678*G678</f>
        <v/>
      </c>
      <c r="I678" s="168">
        <f>if(or(eq(Accounts!J678,"No Valet"),eq(Accounts!J678,"Has Valet")), H678 * AVERAGE(Accounts!J$2:J$36),H678*Accounts!J678)</f>
        <v/>
      </c>
      <c r="J678" s="168">
        <f>iferror(I678*360,"")</f>
        <v/>
      </c>
      <c r="K678" s="168">
        <f>J678*0.1</f>
        <v/>
      </c>
    </row>
    <row r="679" ht="54.75" customHeight="1" s="211">
      <c r="A679" s="164">
        <f>Accounts!A679</f>
        <v/>
      </c>
      <c r="B679" s="12" t="n"/>
      <c r="C679" s="65" t="n"/>
      <c r="D679" s="165">
        <f>Accounts!K679</f>
        <v/>
      </c>
      <c r="E679" s="166" t="n">
        <v>0.6</v>
      </c>
      <c r="F679" s="167">
        <f>Accounts!K679*E679</f>
        <v/>
      </c>
      <c r="G679" s="166" t="n">
        <v>0.4</v>
      </c>
      <c r="H679" s="167">
        <f>F679*G679</f>
        <v/>
      </c>
      <c r="I679" s="168">
        <f>if(or(eq(Accounts!J679,"No Valet"),eq(Accounts!J679,"Has Valet")), H679 * AVERAGE(Accounts!J$2:J$36),H679*Accounts!J679)</f>
        <v/>
      </c>
      <c r="J679" s="168">
        <f>iferror(I679*360,"")</f>
        <v/>
      </c>
      <c r="K679" s="168">
        <f>J679*0.1</f>
        <v/>
      </c>
    </row>
    <row r="680" ht="54.75" customHeight="1" s="211">
      <c r="A680" s="164">
        <f>Accounts!A680</f>
        <v/>
      </c>
      <c r="B680" s="12" t="n"/>
      <c r="C680" s="65" t="n"/>
      <c r="D680" s="165">
        <f>Accounts!K680</f>
        <v/>
      </c>
      <c r="E680" s="166" t="n">
        <v>0.6</v>
      </c>
      <c r="F680" s="167">
        <f>Accounts!K680*E680</f>
        <v/>
      </c>
      <c r="G680" s="166" t="n">
        <v>0.4</v>
      </c>
      <c r="H680" s="167">
        <f>F680*G680</f>
        <v/>
      </c>
      <c r="I680" s="168">
        <f>if(or(eq(Accounts!J680,"No Valet"),eq(Accounts!J680,"Has Valet")), H680 * AVERAGE(Accounts!J$2:J$36),H680*Accounts!J680)</f>
        <v/>
      </c>
      <c r="J680" s="168">
        <f>iferror(I680*360,"")</f>
        <v/>
      </c>
      <c r="K680" s="168">
        <f>J680*0.1</f>
        <v/>
      </c>
    </row>
    <row r="681" ht="54.75" customHeight="1" s="211">
      <c r="A681" s="164">
        <f>Accounts!A681</f>
        <v/>
      </c>
      <c r="B681" s="12" t="n"/>
      <c r="C681" s="65" t="n"/>
      <c r="D681" s="165">
        <f>Accounts!K681</f>
        <v/>
      </c>
      <c r="E681" s="166" t="n">
        <v>0.6</v>
      </c>
      <c r="F681" s="167">
        <f>Accounts!K681*E681</f>
        <v/>
      </c>
      <c r="G681" s="166" t="n">
        <v>0.4</v>
      </c>
      <c r="H681" s="167">
        <f>F681*G681</f>
        <v/>
      </c>
      <c r="I681" s="168">
        <f>if(or(eq(Accounts!J681,"No Valet"),eq(Accounts!J681,"Has Valet")), H681 * AVERAGE(Accounts!J$2:J$36),H681*Accounts!J681)</f>
        <v/>
      </c>
      <c r="J681" s="168">
        <f>iferror(I681*360,"")</f>
        <v/>
      </c>
      <c r="K681" s="168">
        <f>J681*0.1</f>
        <v/>
      </c>
    </row>
    <row r="682" ht="54.75" customHeight="1" s="211">
      <c r="A682" s="164">
        <f>Accounts!A682</f>
        <v/>
      </c>
      <c r="B682" s="12" t="n"/>
      <c r="C682" s="65" t="n"/>
      <c r="D682" s="165">
        <f>Accounts!K682</f>
        <v/>
      </c>
      <c r="E682" s="166" t="n">
        <v>0.6</v>
      </c>
      <c r="F682" s="167">
        <f>Accounts!K682*E682</f>
        <v/>
      </c>
      <c r="G682" s="166" t="n">
        <v>0.4</v>
      </c>
      <c r="H682" s="167">
        <f>F682*G682</f>
        <v/>
      </c>
      <c r="I682" s="168">
        <f>if(or(eq(Accounts!J682,"No Valet"),eq(Accounts!J682,"Has Valet")), H682 * AVERAGE(Accounts!J$2:J$36),H682*Accounts!J682)</f>
        <v/>
      </c>
      <c r="J682" s="168">
        <f>iferror(I682*360,"")</f>
        <v/>
      </c>
      <c r="K682" s="168">
        <f>J682*0.1</f>
        <v/>
      </c>
    </row>
    <row r="683" ht="54.75" customHeight="1" s="211">
      <c r="A683" s="164">
        <f>Accounts!A683</f>
        <v/>
      </c>
      <c r="B683" s="12" t="n"/>
      <c r="C683" s="65" t="n"/>
      <c r="D683" s="165">
        <f>Accounts!K683</f>
        <v/>
      </c>
      <c r="E683" s="166" t="n">
        <v>0.6</v>
      </c>
      <c r="F683" s="167">
        <f>Accounts!K683*E683</f>
        <v/>
      </c>
      <c r="G683" s="166" t="n">
        <v>0.4</v>
      </c>
      <c r="H683" s="167">
        <f>F683*G683</f>
        <v/>
      </c>
      <c r="I683" s="168">
        <f>if(or(eq(Accounts!J683,"No Valet"),eq(Accounts!J683,"Has Valet")), H683 * AVERAGE(Accounts!J$2:J$36),H683*Accounts!J683)</f>
        <v/>
      </c>
      <c r="J683" s="168">
        <f>iferror(I683*360,"")</f>
        <v/>
      </c>
      <c r="K683" s="168">
        <f>J683*0.1</f>
        <v/>
      </c>
    </row>
    <row r="684" ht="54.75" customHeight="1" s="211">
      <c r="A684" s="164">
        <f>Accounts!A684</f>
        <v/>
      </c>
      <c r="B684" s="12" t="n"/>
      <c r="C684" s="65" t="n"/>
      <c r="D684" s="165">
        <f>Accounts!K684</f>
        <v/>
      </c>
      <c r="E684" s="166" t="n">
        <v>0.6</v>
      </c>
      <c r="F684" s="167">
        <f>Accounts!K684*E684</f>
        <v/>
      </c>
      <c r="G684" s="166" t="n">
        <v>0.4</v>
      </c>
      <c r="H684" s="167">
        <f>F684*G684</f>
        <v/>
      </c>
      <c r="I684" s="168">
        <f>if(or(eq(Accounts!J684,"No Valet"),eq(Accounts!J684,"Has Valet")), H684 * AVERAGE(Accounts!J$2:J$36),H684*Accounts!J684)</f>
        <v/>
      </c>
      <c r="J684" s="168">
        <f>iferror(I684*360,"")</f>
        <v/>
      </c>
      <c r="K684" s="168">
        <f>J684*0.1</f>
        <v/>
      </c>
    </row>
    <row r="685" ht="54.75" customHeight="1" s="211">
      <c r="A685" s="164">
        <f>Accounts!A685</f>
        <v/>
      </c>
      <c r="B685" s="12" t="n"/>
      <c r="C685" s="65" t="n"/>
      <c r="D685" s="165">
        <f>Accounts!K685</f>
        <v/>
      </c>
      <c r="E685" s="166" t="n">
        <v>0.6</v>
      </c>
      <c r="F685" s="167">
        <f>Accounts!K685*E685</f>
        <v/>
      </c>
      <c r="G685" s="166" t="n">
        <v>0.4</v>
      </c>
      <c r="H685" s="167">
        <f>F685*G685</f>
        <v/>
      </c>
      <c r="I685" s="168">
        <f>if(or(eq(Accounts!J685,"No Valet"),eq(Accounts!J685,"Has Valet")), H685 * AVERAGE(Accounts!J$2:J$36),H685*Accounts!J685)</f>
        <v/>
      </c>
      <c r="J685" s="168">
        <f>iferror(I685*360,"")</f>
        <v/>
      </c>
      <c r="K685" s="168">
        <f>J685*0.1</f>
        <v/>
      </c>
    </row>
    <row r="686" ht="54.75" customHeight="1" s="211">
      <c r="A686" s="164">
        <f>Accounts!A686</f>
        <v/>
      </c>
      <c r="B686" s="12" t="n"/>
      <c r="C686" s="65" t="n"/>
      <c r="D686" s="165">
        <f>Accounts!K686</f>
        <v/>
      </c>
      <c r="E686" s="166" t="n">
        <v>0.6</v>
      </c>
      <c r="F686" s="167">
        <f>Accounts!K686*E686</f>
        <v/>
      </c>
      <c r="G686" s="166" t="n">
        <v>0.4</v>
      </c>
      <c r="H686" s="167">
        <f>F686*G686</f>
        <v/>
      </c>
      <c r="I686" s="168">
        <f>if(or(eq(Accounts!J686,"No Valet"),eq(Accounts!J686,"Has Valet")), H686 * AVERAGE(Accounts!J$2:J$36),H686*Accounts!J686)</f>
        <v/>
      </c>
      <c r="J686" s="168">
        <f>iferror(I686*360,"")</f>
        <v/>
      </c>
      <c r="K686" s="168">
        <f>J686*0.1</f>
        <v/>
      </c>
    </row>
    <row r="687" ht="54.75" customHeight="1" s="211">
      <c r="A687" s="164">
        <f>Accounts!A687</f>
        <v/>
      </c>
      <c r="B687" s="12" t="n"/>
      <c r="C687" s="65" t="n"/>
      <c r="D687" s="165">
        <f>Accounts!K687</f>
        <v/>
      </c>
      <c r="E687" s="166" t="n">
        <v>0.6</v>
      </c>
      <c r="F687" s="167">
        <f>Accounts!K687*E687</f>
        <v/>
      </c>
      <c r="G687" s="166" t="n">
        <v>0.4</v>
      </c>
      <c r="H687" s="167">
        <f>F687*G687</f>
        <v/>
      </c>
      <c r="I687" s="168">
        <f>if(or(eq(Accounts!J687,"No Valet"),eq(Accounts!J687,"Has Valet")), H687 * AVERAGE(Accounts!J$2:J$36),H687*Accounts!J687)</f>
        <v/>
      </c>
      <c r="J687" s="168">
        <f>iferror(I687*360,"")</f>
        <v/>
      </c>
      <c r="K687" s="168">
        <f>J687*0.1</f>
        <v/>
      </c>
    </row>
    <row r="688" ht="54.75" customHeight="1" s="211">
      <c r="A688" s="164">
        <f>Accounts!A688</f>
        <v/>
      </c>
      <c r="B688" s="12" t="n"/>
      <c r="C688" s="65" t="n"/>
      <c r="D688" s="165">
        <f>Accounts!K688</f>
        <v/>
      </c>
      <c r="E688" s="166" t="n">
        <v>0.6</v>
      </c>
      <c r="F688" s="167">
        <f>Accounts!K688*E688</f>
        <v/>
      </c>
      <c r="G688" s="166" t="n">
        <v>0.4</v>
      </c>
      <c r="H688" s="167">
        <f>F688*G688</f>
        <v/>
      </c>
      <c r="I688" s="168">
        <f>if(or(eq(Accounts!J688,"No Valet"),eq(Accounts!J688,"Has Valet")), H688 * AVERAGE(Accounts!J$2:J$36),H688*Accounts!J688)</f>
        <v/>
      </c>
      <c r="J688" s="168">
        <f>iferror(I688*360,"")</f>
        <v/>
      </c>
      <c r="K688" s="168">
        <f>J688*0.1</f>
        <v/>
      </c>
    </row>
    <row r="689" ht="54.75" customHeight="1" s="211">
      <c r="A689" s="164">
        <f>Accounts!A689</f>
        <v/>
      </c>
      <c r="B689" s="12" t="n"/>
      <c r="C689" s="65" t="n"/>
      <c r="D689" s="165">
        <f>Accounts!K689</f>
        <v/>
      </c>
      <c r="E689" s="166" t="n">
        <v>0.6</v>
      </c>
      <c r="F689" s="167">
        <f>Accounts!K689*E689</f>
        <v/>
      </c>
      <c r="G689" s="166" t="n">
        <v>0.4</v>
      </c>
      <c r="H689" s="167">
        <f>F689*G689</f>
        <v/>
      </c>
      <c r="I689" s="168">
        <f>if(or(eq(Accounts!J689,"No Valet"),eq(Accounts!J689,"Has Valet")), H689 * AVERAGE(Accounts!J$2:J$36),H689*Accounts!J689)</f>
        <v/>
      </c>
      <c r="J689" s="168">
        <f>iferror(I689*360,"")</f>
        <v/>
      </c>
      <c r="K689" s="168">
        <f>J689*0.1</f>
        <v/>
      </c>
    </row>
    <row r="690" ht="54.75" customHeight="1" s="211">
      <c r="A690" s="164">
        <f>Accounts!A690</f>
        <v/>
      </c>
      <c r="B690" s="12" t="n"/>
      <c r="C690" s="65" t="n"/>
      <c r="D690" s="165">
        <f>Accounts!K690</f>
        <v/>
      </c>
      <c r="E690" s="166" t="n">
        <v>0.6</v>
      </c>
      <c r="F690" s="167">
        <f>Accounts!K690*E690</f>
        <v/>
      </c>
      <c r="G690" s="166" t="n">
        <v>0.4</v>
      </c>
      <c r="H690" s="167">
        <f>F690*G690</f>
        <v/>
      </c>
      <c r="I690" s="168">
        <f>if(or(eq(Accounts!J690,"No Valet"),eq(Accounts!J690,"Has Valet")), H690 * AVERAGE(Accounts!J$2:J$36),H690*Accounts!J690)</f>
        <v/>
      </c>
      <c r="J690" s="168">
        <f>iferror(I690*360,"")</f>
        <v/>
      </c>
      <c r="K690" s="168">
        <f>J690*0.1</f>
        <v/>
      </c>
    </row>
    <row r="691" ht="54.75" customHeight="1" s="211">
      <c r="A691" s="164">
        <f>Accounts!A691</f>
        <v/>
      </c>
      <c r="B691" s="12" t="n"/>
      <c r="C691" s="65" t="n"/>
      <c r="D691" s="165">
        <f>Accounts!K691</f>
        <v/>
      </c>
      <c r="E691" s="166" t="n">
        <v>0.6</v>
      </c>
      <c r="F691" s="167">
        <f>Accounts!K691*E691</f>
        <v/>
      </c>
      <c r="G691" s="166" t="n">
        <v>0.4</v>
      </c>
      <c r="H691" s="167">
        <f>F691*G691</f>
        <v/>
      </c>
      <c r="I691" s="168">
        <f>if(or(eq(Accounts!J691,"No Valet"),eq(Accounts!J691,"Has Valet")), H691 * AVERAGE(Accounts!J$2:J$36),H691*Accounts!J691)</f>
        <v/>
      </c>
      <c r="J691" s="168">
        <f>iferror(I691*360,"")</f>
        <v/>
      </c>
      <c r="K691" s="168">
        <f>J691*0.1</f>
        <v/>
      </c>
    </row>
    <row r="692" ht="54.75" customHeight="1" s="211">
      <c r="A692" s="164">
        <f>Accounts!A692</f>
        <v/>
      </c>
      <c r="B692" s="12" t="n"/>
      <c r="C692" s="65" t="n"/>
      <c r="D692" s="165">
        <f>Accounts!K692</f>
        <v/>
      </c>
      <c r="E692" s="166" t="n">
        <v>0.6</v>
      </c>
      <c r="F692" s="167">
        <f>Accounts!K692*E692</f>
        <v/>
      </c>
      <c r="G692" s="166" t="n">
        <v>0.4</v>
      </c>
      <c r="H692" s="167">
        <f>F692*G692</f>
        <v/>
      </c>
      <c r="I692" s="168">
        <f>if(or(eq(Accounts!J692,"No Valet"),eq(Accounts!J692,"Has Valet")), H692 * AVERAGE(Accounts!J$2:J$36),H692*Accounts!J692)</f>
        <v/>
      </c>
      <c r="J692" s="168">
        <f>iferror(I692*360,"")</f>
        <v/>
      </c>
      <c r="K692" s="168">
        <f>J692*0.1</f>
        <v/>
      </c>
    </row>
    <row r="693" ht="54.75" customHeight="1" s="211">
      <c r="A693" s="164">
        <f>Accounts!A693</f>
        <v/>
      </c>
      <c r="B693" s="12" t="n"/>
      <c r="C693" s="65" t="n"/>
      <c r="D693" s="165">
        <f>Accounts!K693</f>
        <v/>
      </c>
      <c r="E693" s="166" t="n">
        <v>0.6</v>
      </c>
      <c r="F693" s="167">
        <f>Accounts!K693*E693</f>
        <v/>
      </c>
      <c r="G693" s="166" t="n">
        <v>0.4</v>
      </c>
      <c r="H693" s="167">
        <f>F693*G693</f>
        <v/>
      </c>
      <c r="I693" s="168">
        <f>if(or(eq(Accounts!J693,"No Valet"),eq(Accounts!J693,"Has Valet")), H693 * AVERAGE(Accounts!J$2:J$36),H693*Accounts!J693)</f>
        <v/>
      </c>
      <c r="J693" s="168">
        <f>iferror(I693*360,"")</f>
        <v/>
      </c>
      <c r="K693" s="168">
        <f>J693*0.1</f>
        <v/>
      </c>
    </row>
    <row r="694" ht="54.75" customHeight="1" s="211">
      <c r="A694" s="164">
        <f>Accounts!A694</f>
        <v/>
      </c>
      <c r="B694" s="12" t="n"/>
      <c r="C694" s="65" t="n"/>
      <c r="D694" s="165">
        <f>Accounts!K694</f>
        <v/>
      </c>
      <c r="E694" s="166" t="n">
        <v>0.6</v>
      </c>
      <c r="F694" s="167">
        <f>Accounts!K694*E694</f>
        <v/>
      </c>
      <c r="G694" s="166" t="n">
        <v>0.4</v>
      </c>
      <c r="H694" s="167">
        <f>F694*G694</f>
        <v/>
      </c>
      <c r="I694" s="168">
        <f>if(or(eq(Accounts!J694,"No Valet"),eq(Accounts!J694,"Has Valet")), H694 * AVERAGE(Accounts!J$2:J$36),H694*Accounts!J694)</f>
        <v/>
      </c>
      <c r="J694" s="168">
        <f>iferror(I694*360,"")</f>
        <v/>
      </c>
      <c r="K694" s="168">
        <f>J694*0.1</f>
        <v/>
      </c>
    </row>
    <row r="695" ht="54.75" customHeight="1" s="211">
      <c r="A695" s="164">
        <f>Accounts!A695</f>
        <v/>
      </c>
      <c r="B695" s="12" t="n"/>
      <c r="C695" s="65" t="n"/>
      <c r="D695" s="165">
        <f>Accounts!K695</f>
        <v/>
      </c>
      <c r="E695" s="166" t="n">
        <v>0.6</v>
      </c>
      <c r="F695" s="167">
        <f>Accounts!K695*E695</f>
        <v/>
      </c>
      <c r="G695" s="166" t="n">
        <v>0.4</v>
      </c>
      <c r="H695" s="167">
        <f>F695*G695</f>
        <v/>
      </c>
      <c r="I695" s="168">
        <f>if(or(eq(Accounts!J695,"No Valet"),eq(Accounts!J695,"Has Valet")), H695 * AVERAGE(Accounts!J$2:J$36),H695*Accounts!J695)</f>
        <v/>
      </c>
      <c r="J695" s="168">
        <f>iferror(I695*360,"")</f>
        <v/>
      </c>
      <c r="K695" s="168">
        <f>J695*0.1</f>
        <v/>
      </c>
    </row>
    <row r="696" ht="54.75" customHeight="1" s="211">
      <c r="A696" s="164">
        <f>Accounts!A696</f>
        <v/>
      </c>
      <c r="B696" s="12" t="n"/>
      <c r="C696" s="65" t="n"/>
      <c r="D696" s="165">
        <f>Accounts!K696</f>
        <v/>
      </c>
      <c r="E696" s="166" t="n">
        <v>0.6</v>
      </c>
      <c r="F696" s="167">
        <f>Accounts!K696*E696</f>
        <v/>
      </c>
      <c r="G696" s="166" t="n">
        <v>0.4</v>
      </c>
      <c r="H696" s="167">
        <f>F696*G696</f>
        <v/>
      </c>
      <c r="I696" s="168">
        <f>if(or(eq(Accounts!J696,"No Valet"),eq(Accounts!J696,"Has Valet")), H696 * AVERAGE(Accounts!J$2:J$36),H696*Accounts!J696)</f>
        <v/>
      </c>
      <c r="J696" s="168">
        <f>iferror(I696*360,"")</f>
        <v/>
      </c>
      <c r="K696" s="168">
        <f>J696*0.1</f>
        <v/>
      </c>
    </row>
    <row r="697" ht="54.75" customHeight="1" s="211">
      <c r="A697" s="164">
        <f>Accounts!A697</f>
        <v/>
      </c>
      <c r="B697" s="12" t="n"/>
      <c r="C697" s="65" t="n"/>
      <c r="D697" s="165">
        <f>Accounts!K697</f>
        <v/>
      </c>
      <c r="E697" s="166" t="n">
        <v>0.6</v>
      </c>
      <c r="F697" s="167">
        <f>Accounts!K697*E697</f>
        <v/>
      </c>
      <c r="G697" s="166" t="n">
        <v>0.4</v>
      </c>
      <c r="H697" s="167">
        <f>F697*G697</f>
        <v/>
      </c>
      <c r="I697" s="168">
        <f>if(or(eq(Accounts!J697,"No Valet"),eq(Accounts!J697,"Has Valet")), H697 * AVERAGE(Accounts!J$2:J$36),H697*Accounts!J697)</f>
        <v/>
      </c>
      <c r="J697" s="168">
        <f>iferror(I697*360,"")</f>
        <v/>
      </c>
      <c r="K697" s="168">
        <f>J697*0.1</f>
        <v/>
      </c>
    </row>
    <row r="698" ht="54.75" customHeight="1" s="211">
      <c r="A698" s="164">
        <f>Accounts!A698</f>
        <v/>
      </c>
      <c r="B698" s="12" t="n"/>
      <c r="C698" s="65" t="n"/>
      <c r="D698" s="165">
        <f>Accounts!K698</f>
        <v/>
      </c>
      <c r="E698" s="166" t="n">
        <v>0.6</v>
      </c>
      <c r="F698" s="167">
        <f>Accounts!K698*E698</f>
        <v/>
      </c>
      <c r="G698" s="166" t="n">
        <v>0.4</v>
      </c>
      <c r="H698" s="167">
        <f>F698*G698</f>
        <v/>
      </c>
      <c r="I698" s="168">
        <f>if(or(eq(Accounts!J698,"No Valet"),eq(Accounts!J698,"Has Valet")), H698 * AVERAGE(Accounts!J$2:J$36),H698*Accounts!J698)</f>
        <v/>
      </c>
      <c r="J698" s="168">
        <f>iferror(I698*360,"")</f>
        <v/>
      </c>
      <c r="K698" s="168">
        <f>J698*0.1</f>
        <v/>
      </c>
    </row>
    <row r="699" ht="54.75" customHeight="1" s="211">
      <c r="A699" s="164">
        <f>Accounts!A699</f>
        <v/>
      </c>
      <c r="B699" s="12" t="n"/>
      <c r="C699" s="65" t="n"/>
      <c r="D699" s="165">
        <f>Accounts!K699</f>
        <v/>
      </c>
      <c r="E699" s="166" t="n">
        <v>0.6</v>
      </c>
      <c r="F699" s="167">
        <f>Accounts!K699*E699</f>
        <v/>
      </c>
      <c r="G699" s="166" t="n">
        <v>0.4</v>
      </c>
      <c r="H699" s="167">
        <f>F699*G699</f>
        <v/>
      </c>
      <c r="I699" s="168">
        <f>if(or(eq(Accounts!J699,"No Valet"),eq(Accounts!J699,"Has Valet")), H699 * AVERAGE(Accounts!J$2:J$36),H699*Accounts!J699)</f>
        <v/>
      </c>
      <c r="J699" s="168">
        <f>iferror(I699*360,"")</f>
        <v/>
      </c>
      <c r="K699" s="168">
        <f>J699*0.1</f>
        <v/>
      </c>
    </row>
    <row r="700" ht="54.75" customHeight="1" s="211">
      <c r="A700" s="164">
        <f>Accounts!A700</f>
        <v/>
      </c>
      <c r="B700" s="12" t="n"/>
      <c r="C700" s="65" t="n"/>
      <c r="D700" s="165">
        <f>Accounts!K700</f>
        <v/>
      </c>
      <c r="E700" s="166" t="n">
        <v>0.6</v>
      </c>
      <c r="F700" s="167">
        <f>Accounts!K700*E700</f>
        <v/>
      </c>
      <c r="G700" s="166" t="n">
        <v>0.4</v>
      </c>
      <c r="H700" s="167">
        <f>F700*G700</f>
        <v/>
      </c>
      <c r="I700" s="168">
        <f>if(or(eq(Accounts!J700,"No Valet"),eq(Accounts!J700,"Has Valet")), H700 * AVERAGE(Accounts!J$2:J$36),H700*Accounts!J700)</f>
        <v/>
      </c>
      <c r="J700" s="168">
        <f>iferror(I700*360,"")</f>
        <v/>
      </c>
      <c r="K700" s="168">
        <f>J700*0.1</f>
        <v/>
      </c>
    </row>
    <row r="701" ht="54.75" customHeight="1" s="211">
      <c r="A701" s="164">
        <f>Accounts!A701</f>
        <v/>
      </c>
      <c r="B701" s="12" t="n"/>
      <c r="C701" s="65" t="n"/>
      <c r="D701" s="165">
        <f>Accounts!K701</f>
        <v/>
      </c>
      <c r="E701" s="166" t="n">
        <v>0.6</v>
      </c>
      <c r="F701" s="167">
        <f>Accounts!K701*E701</f>
        <v/>
      </c>
      <c r="G701" s="166" t="n">
        <v>0.4</v>
      </c>
      <c r="H701" s="167">
        <f>F701*G701</f>
        <v/>
      </c>
      <c r="I701" s="168">
        <f>if(or(eq(Accounts!J701,"No Valet"),eq(Accounts!J701,"Has Valet")), H701 * AVERAGE(Accounts!J$2:J$36),H701*Accounts!J701)</f>
        <v/>
      </c>
      <c r="J701" s="168">
        <f>iferror(I701*360,"")</f>
        <v/>
      </c>
      <c r="K701" s="168">
        <f>J701*0.1</f>
        <v/>
      </c>
    </row>
    <row r="702" ht="54.75" customHeight="1" s="211">
      <c r="A702" s="164">
        <f>Accounts!A702</f>
        <v/>
      </c>
      <c r="B702" s="12" t="n"/>
      <c r="C702" s="65" t="n"/>
      <c r="D702" s="165">
        <f>Accounts!K702</f>
        <v/>
      </c>
      <c r="E702" s="166" t="n">
        <v>0.6</v>
      </c>
      <c r="F702" s="167">
        <f>Accounts!K702*E702</f>
        <v/>
      </c>
      <c r="G702" s="166" t="n">
        <v>0.4</v>
      </c>
      <c r="H702" s="167">
        <f>F702*G702</f>
        <v/>
      </c>
      <c r="I702" s="168">
        <f>if(or(eq(Accounts!J702,"No Valet"),eq(Accounts!J702,"Has Valet")), H702 * AVERAGE(Accounts!J$2:J$36),H702*Accounts!J702)</f>
        <v/>
      </c>
      <c r="J702" s="168">
        <f>iferror(I702*360,"")</f>
        <v/>
      </c>
      <c r="K702" s="168">
        <f>J702*0.1</f>
        <v/>
      </c>
    </row>
    <row r="703" ht="54.75" customHeight="1" s="211">
      <c r="A703" s="164">
        <f>Accounts!A703</f>
        <v/>
      </c>
      <c r="B703" s="12" t="n"/>
      <c r="C703" s="65" t="n"/>
      <c r="D703" s="165">
        <f>Accounts!K703</f>
        <v/>
      </c>
      <c r="E703" s="166" t="n">
        <v>0.6</v>
      </c>
      <c r="F703" s="167">
        <f>Accounts!K703*E703</f>
        <v/>
      </c>
      <c r="G703" s="166" t="n">
        <v>0.4</v>
      </c>
      <c r="H703" s="167">
        <f>F703*G703</f>
        <v/>
      </c>
      <c r="I703" s="168">
        <f>if(or(eq(Accounts!J703,"No Valet"),eq(Accounts!J703,"Has Valet")), H703 * AVERAGE(Accounts!J$2:J$36),H703*Accounts!J703)</f>
        <v/>
      </c>
      <c r="J703" s="168">
        <f>iferror(I703*360,"")</f>
        <v/>
      </c>
      <c r="K703" s="168">
        <f>J703*0.1</f>
        <v/>
      </c>
    </row>
    <row r="704" ht="54.75" customHeight="1" s="211">
      <c r="A704" s="164">
        <f>Accounts!A704</f>
        <v/>
      </c>
      <c r="B704" s="12" t="n"/>
      <c r="C704" s="65" t="n"/>
      <c r="D704" s="165">
        <f>Accounts!K704</f>
        <v/>
      </c>
      <c r="E704" s="166" t="n">
        <v>0.6</v>
      </c>
      <c r="F704" s="167">
        <f>Accounts!K704*E704</f>
        <v/>
      </c>
      <c r="G704" s="166" t="n">
        <v>0.4</v>
      </c>
      <c r="H704" s="167">
        <f>F704*G704</f>
        <v/>
      </c>
      <c r="I704" s="168">
        <f>if(or(eq(Accounts!J704,"No Valet"),eq(Accounts!J704,"Has Valet")), H704 * AVERAGE(Accounts!J$2:J$36),H704*Accounts!J704)</f>
        <v/>
      </c>
      <c r="J704" s="168">
        <f>iferror(I704*360,"")</f>
        <v/>
      </c>
      <c r="K704" s="168">
        <f>J704*0.1</f>
        <v/>
      </c>
    </row>
    <row r="705" ht="54.75" customHeight="1" s="211">
      <c r="A705" s="164">
        <f>Accounts!A705</f>
        <v/>
      </c>
      <c r="B705" s="12" t="n"/>
      <c r="C705" s="65" t="n"/>
      <c r="D705" s="165">
        <f>Accounts!K705</f>
        <v/>
      </c>
      <c r="E705" s="166" t="n">
        <v>0.6</v>
      </c>
      <c r="F705" s="167">
        <f>Accounts!K705*E705</f>
        <v/>
      </c>
      <c r="G705" s="166" t="n">
        <v>0.4</v>
      </c>
      <c r="H705" s="167">
        <f>F705*G705</f>
        <v/>
      </c>
      <c r="I705" s="168">
        <f>if(or(eq(Accounts!J705,"No Valet"),eq(Accounts!J705,"Has Valet")), H705 * AVERAGE(Accounts!J$2:J$36),H705*Accounts!J705)</f>
        <v/>
      </c>
      <c r="J705" s="168">
        <f>iferror(I705*360,"")</f>
        <v/>
      </c>
      <c r="K705" s="168">
        <f>J705*0.1</f>
        <v/>
      </c>
    </row>
    <row r="706" ht="54.75" customHeight="1" s="211">
      <c r="A706" s="164">
        <f>Accounts!A706</f>
        <v/>
      </c>
      <c r="B706" s="12" t="n"/>
      <c r="C706" s="65" t="n"/>
      <c r="D706" s="165">
        <f>Accounts!K706</f>
        <v/>
      </c>
      <c r="E706" s="166" t="n">
        <v>0.6</v>
      </c>
      <c r="F706" s="167">
        <f>Accounts!K706*E706</f>
        <v/>
      </c>
      <c r="G706" s="166" t="n">
        <v>0.4</v>
      </c>
      <c r="H706" s="167">
        <f>F706*G706</f>
        <v/>
      </c>
      <c r="I706" s="168">
        <f>if(or(eq(Accounts!J706,"No Valet"),eq(Accounts!J706,"Has Valet")), H706 * AVERAGE(Accounts!J$2:J$36),H706*Accounts!J706)</f>
        <v/>
      </c>
      <c r="J706" s="168">
        <f>iferror(I706*360,"")</f>
        <v/>
      </c>
      <c r="K706" s="168">
        <f>J706*0.1</f>
        <v/>
      </c>
    </row>
    <row r="707" ht="54.75" customHeight="1" s="211">
      <c r="A707" s="164">
        <f>Accounts!A707</f>
        <v/>
      </c>
      <c r="B707" s="12" t="n"/>
      <c r="C707" s="65" t="n"/>
      <c r="D707" s="165">
        <f>Accounts!K707</f>
        <v/>
      </c>
      <c r="E707" s="166" t="n">
        <v>0.6</v>
      </c>
      <c r="F707" s="167">
        <f>Accounts!K707*E707</f>
        <v/>
      </c>
      <c r="G707" s="166" t="n">
        <v>0.4</v>
      </c>
      <c r="H707" s="167">
        <f>F707*G707</f>
        <v/>
      </c>
      <c r="I707" s="168">
        <f>if(or(eq(Accounts!J707,"No Valet"),eq(Accounts!J707,"Has Valet")), H707 * AVERAGE(Accounts!J$2:J$36),H707*Accounts!J707)</f>
        <v/>
      </c>
      <c r="J707" s="168">
        <f>iferror(I707*360,"")</f>
        <v/>
      </c>
      <c r="K707" s="168">
        <f>J707*0.1</f>
        <v/>
      </c>
    </row>
    <row r="708" ht="54.75" customHeight="1" s="211">
      <c r="A708" s="164">
        <f>Accounts!A708</f>
        <v/>
      </c>
      <c r="B708" s="12" t="n"/>
      <c r="C708" s="65" t="n"/>
      <c r="D708" s="165">
        <f>Accounts!K708</f>
        <v/>
      </c>
      <c r="E708" s="166" t="n">
        <v>0.6</v>
      </c>
      <c r="F708" s="167">
        <f>Accounts!K708*E708</f>
        <v/>
      </c>
      <c r="G708" s="166" t="n">
        <v>0.4</v>
      </c>
      <c r="H708" s="167">
        <f>F708*G708</f>
        <v/>
      </c>
      <c r="I708" s="168">
        <f>if(or(eq(Accounts!J708,"No Valet"),eq(Accounts!J708,"Has Valet")), H708 * AVERAGE(Accounts!J$2:J$36),H708*Accounts!J708)</f>
        <v/>
      </c>
      <c r="J708" s="168">
        <f>iferror(I708*360,"")</f>
        <v/>
      </c>
      <c r="K708" s="168">
        <f>J708*0.1</f>
        <v/>
      </c>
    </row>
    <row r="709" ht="54.75" customHeight="1" s="211">
      <c r="A709" s="164">
        <f>Accounts!A709</f>
        <v/>
      </c>
      <c r="B709" s="12" t="n"/>
      <c r="C709" s="65" t="n"/>
      <c r="D709" s="165">
        <f>Accounts!K709</f>
        <v/>
      </c>
      <c r="E709" s="166" t="n">
        <v>0.6</v>
      </c>
      <c r="F709" s="167">
        <f>Accounts!K709*E709</f>
        <v/>
      </c>
      <c r="G709" s="166" t="n">
        <v>0.4</v>
      </c>
      <c r="H709" s="167">
        <f>F709*G709</f>
        <v/>
      </c>
      <c r="I709" s="168">
        <f>if(or(eq(Accounts!J709,"No Valet"),eq(Accounts!J709,"Has Valet")), H709 * AVERAGE(Accounts!J$2:J$36),H709*Accounts!J709)</f>
        <v/>
      </c>
      <c r="J709" s="168">
        <f>iferror(I709*360,"")</f>
        <v/>
      </c>
      <c r="K709" s="168">
        <f>J709*0.1</f>
        <v/>
      </c>
    </row>
    <row r="710" ht="54.75" customHeight="1" s="211">
      <c r="A710" s="164">
        <f>Accounts!A710</f>
        <v/>
      </c>
      <c r="B710" s="12" t="n"/>
      <c r="C710" s="65" t="n"/>
      <c r="D710" s="165">
        <f>Accounts!K710</f>
        <v/>
      </c>
      <c r="E710" s="166" t="n">
        <v>0.6</v>
      </c>
      <c r="F710" s="167">
        <f>Accounts!K710*E710</f>
        <v/>
      </c>
      <c r="G710" s="166" t="n">
        <v>0.4</v>
      </c>
      <c r="H710" s="167">
        <f>F710*G710</f>
        <v/>
      </c>
      <c r="I710" s="168">
        <f>if(or(eq(Accounts!J710,"No Valet"),eq(Accounts!J710,"Has Valet")), H710 * AVERAGE(Accounts!J$2:J$36),H710*Accounts!J710)</f>
        <v/>
      </c>
      <c r="J710" s="168">
        <f>iferror(I710*360,"")</f>
        <v/>
      </c>
      <c r="K710" s="168">
        <f>J710*0.1</f>
        <v/>
      </c>
    </row>
    <row r="711" ht="54.75" customHeight="1" s="211">
      <c r="A711" s="164">
        <f>Accounts!A711</f>
        <v/>
      </c>
      <c r="B711" s="12" t="n"/>
      <c r="C711" s="65" t="n"/>
      <c r="D711" s="165">
        <f>Accounts!K711</f>
        <v/>
      </c>
      <c r="E711" s="166" t="n">
        <v>0.6</v>
      </c>
      <c r="F711" s="167">
        <f>Accounts!K711*E711</f>
        <v/>
      </c>
      <c r="G711" s="166" t="n">
        <v>0.4</v>
      </c>
      <c r="H711" s="167">
        <f>F711*G711</f>
        <v/>
      </c>
      <c r="I711" s="168">
        <f>if(or(eq(Accounts!J711,"No Valet"),eq(Accounts!J711,"Has Valet")), H711 * AVERAGE(Accounts!J$2:J$36),H711*Accounts!J711)</f>
        <v/>
      </c>
      <c r="J711" s="168">
        <f>iferror(I711*360,"")</f>
        <v/>
      </c>
      <c r="K711" s="168">
        <f>J711*0.1</f>
        <v/>
      </c>
    </row>
    <row r="712" ht="54.75" customHeight="1" s="211">
      <c r="A712" s="164">
        <f>Accounts!A712</f>
        <v/>
      </c>
      <c r="B712" s="12" t="n"/>
      <c r="C712" s="65" t="n"/>
      <c r="D712" s="165">
        <f>Accounts!K712</f>
        <v/>
      </c>
      <c r="E712" s="166" t="n">
        <v>0.6</v>
      </c>
      <c r="F712" s="167">
        <f>Accounts!K712*E712</f>
        <v/>
      </c>
      <c r="G712" s="166" t="n">
        <v>0.4</v>
      </c>
      <c r="H712" s="167">
        <f>F712*G712</f>
        <v/>
      </c>
      <c r="I712" s="168">
        <f>if(or(eq(Accounts!J712,"No Valet"),eq(Accounts!J712,"Has Valet")), H712 * AVERAGE(Accounts!J$2:J$36),H712*Accounts!J712)</f>
        <v/>
      </c>
      <c r="J712" s="168">
        <f>iferror(I712*360,"")</f>
        <v/>
      </c>
      <c r="K712" s="168">
        <f>J712*0.1</f>
        <v/>
      </c>
    </row>
    <row r="713" ht="54.75" customHeight="1" s="211">
      <c r="A713" s="164">
        <f>Accounts!A713</f>
        <v/>
      </c>
      <c r="B713" s="12" t="n"/>
      <c r="C713" s="65" t="n"/>
      <c r="D713" s="165">
        <f>Accounts!K713</f>
        <v/>
      </c>
      <c r="E713" s="166" t="n">
        <v>0.6</v>
      </c>
      <c r="F713" s="167">
        <f>Accounts!K713*E713</f>
        <v/>
      </c>
      <c r="G713" s="166" t="n">
        <v>0.4</v>
      </c>
      <c r="H713" s="167">
        <f>F713*G713</f>
        <v/>
      </c>
      <c r="I713" s="168">
        <f>if(or(eq(Accounts!J713,"No Valet"),eq(Accounts!J713,"Has Valet")), H713 * AVERAGE(Accounts!J$2:J$36),H713*Accounts!J713)</f>
        <v/>
      </c>
      <c r="J713" s="168">
        <f>iferror(I713*360,"")</f>
        <v/>
      </c>
      <c r="K713" s="168">
        <f>J713*0.1</f>
        <v/>
      </c>
    </row>
    <row r="714" ht="54.75" customHeight="1" s="211">
      <c r="A714" s="164">
        <f>Accounts!A714</f>
        <v/>
      </c>
      <c r="B714" s="12" t="n"/>
      <c r="C714" s="65" t="n"/>
      <c r="D714" s="165">
        <f>Accounts!K714</f>
        <v/>
      </c>
      <c r="E714" s="166" t="n">
        <v>0.6</v>
      </c>
      <c r="F714" s="167">
        <f>Accounts!K714*E714</f>
        <v/>
      </c>
      <c r="G714" s="166" t="n">
        <v>0.4</v>
      </c>
      <c r="H714" s="167">
        <f>F714*G714</f>
        <v/>
      </c>
      <c r="I714" s="168">
        <f>if(or(eq(Accounts!J714,"No Valet"),eq(Accounts!J714,"Has Valet")), H714 * AVERAGE(Accounts!J$2:J$36),H714*Accounts!J714)</f>
        <v/>
      </c>
      <c r="J714" s="168">
        <f>iferror(I714*360,"")</f>
        <v/>
      </c>
      <c r="K714" s="168">
        <f>J714*0.1</f>
        <v/>
      </c>
    </row>
    <row r="715" ht="54.75" customHeight="1" s="211">
      <c r="A715" s="164">
        <f>Accounts!A715</f>
        <v/>
      </c>
      <c r="B715" s="12" t="n"/>
      <c r="C715" s="65" t="n"/>
      <c r="D715" s="165">
        <f>Accounts!K715</f>
        <v/>
      </c>
      <c r="E715" s="166" t="n">
        <v>0.6</v>
      </c>
      <c r="F715" s="167">
        <f>Accounts!K715*E715</f>
        <v/>
      </c>
      <c r="G715" s="166" t="n">
        <v>0.4</v>
      </c>
      <c r="H715" s="167">
        <f>F715*G715</f>
        <v/>
      </c>
      <c r="I715" s="168">
        <f>if(or(eq(Accounts!J715,"No Valet"),eq(Accounts!J715,"Has Valet")), H715 * AVERAGE(Accounts!J$2:J$36),H715*Accounts!J715)</f>
        <v/>
      </c>
      <c r="J715" s="168">
        <f>iferror(I715*360,"")</f>
        <v/>
      </c>
      <c r="K715" s="168">
        <f>J715*0.1</f>
        <v/>
      </c>
    </row>
    <row r="716" ht="54.75" customHeight="1" s="211">
      <c r="A716" s="164">
        <f>Accounts!A716</f>
        <v/>
      </c>
      <c r="B716" s="12" t="n"/>
      <c r="C716" s="65" t="n"/>
      <c r="D716" s="165">
        <f>Accounts!K716</f>
        <v/>
      </c>
      <c r="E716" s="166" t="n">
        <v>0.6</v>
      </c>
      <c r="F716" s="167">
        <f>Accounts!K716*E716</f>
        <v/>
      </c>
      <c r="G716" s="166" t="n">
        <v>0.4</v>
      </c>
      <c r="H716" s="167">
        <f>F716*G716</f>
        <v/>
      </c>
      <c r="I716" s="168">
        <f>if(or(eq(Accounts!J716,"No Valet"),eq(Accounts!J716,"Has Valet")), H716 * AVERAGE(Accounts!J$2:J$36),H716*Accounts!J716)</f>
        <v/>
      </c>
      <c r="J716" s="168">
        <f>iferror(I716*360,"")</f>
        <v/>
      </c>
      <c r="K716" s="168">
        <f>J716*0.1</f>
        <v/>
      </c>
    </row>
    <row r="717" ht="54.75" customHeight="1" s="211">
      <c r="A717" s="164">
        <f>Accounts!A717</f>
        <v/>
      </c>
      <c r="B717" s="12" t="n"/>
      <c r="C717" s="65" t="n"/>
      <c r="D717" s="165">
        <f>Accounts!K717</f>
        <v/>
      </c>
      <c r="E717" s="166" t="n">
        <v>0.6</v>
      </c>
      <c r="F717" s="167">
        <f>Accounts!K717*E717</f>
        <v/>
      </c>
      <c r="G717" s="166" t="n">
        <v>0.4</v>
      </c>
      <c r="H717" s="167">
        <f>F717*G717</f>
        <v/>
      </c>
      <c r="I717" s="168">
        <f>if(or(eq(Accounts!J717,"No Valet"),eq(Accounts!J717,"Has Valet")), H717 * AVERAGE(Accounts!J$2:J$36),H717*Accounts!J717)</f>
        <v/>
      </c>
      <c r="J717" s="168">
        <f>iferror(I717*360,"")</f>
        <v/>
      </c>
      <c r="K717" s="168">
        <f>J717*0.1</f>
        <v/>
      </c>
    </row>
    <row r="718" ht="54.75" customHeight="1" s="211">
      <c r="A718" s="164">
        <f>Accounts!A718</f>
        <v/>
      </c>
      <c r="B718" s="12" t="n"/>
      <c r="C718" s="65" t="n"/>
      <c r="D718" s="165">
        <f>Accounts!K718</f>
        <v/>
      </c>
      <c r="E718" s="166" t="n">
        <v>0.6</v>
      </c>
      <c r="F718" s="167">
        <f>Accounts!K718*E718</f>
        <v/>
      </c>
      <c r="G718" s="166" t="n">
        <v>0.4</v>
      </c>
      <c r="H718" s="167">
        <f>F718*G718</f>
        <v/>
      </c>
      <c r="I718" s="168">
        <f>if(or(eq(Accounts!J718,"No Valet"),eq(Accounts!J718,"Has Valet")), H718 * AVERAGE(Accounts!J$2:J$36),H718*Accounts!J718)</f>
        <v/>
      </c>
      <c r="J718" s="168">
        <f>iferror(I718*360,"")</f>
        <v/>
      </c>
      <c r="K718" s="168">
        <f>J718*0.1</f>
        <v/>
      </c>
    </row>
    <row r="719" ht="54.75" customHeight="1" s="211">
      <c r="A719" s="164">
        <f>Accounts!A719</f>
        <v/>
      </c>
      <c r="B719" s="12" t="n"/>
      <c r="C719" s="65" t="n"/>
      <c r="D719" s="165">
        <f>Accounts!K719</f>
        <v/>
      </c>
      <c r="E719" s="166" t="n">
        <v>0.6</v>
      </c>
      <c r="F719" s="167">
        <f>Accounts!K719*E719</f>
        <v/>
      </c>
      <c r="G719" s="166" t="n">
        <v>0.4</v>
      </c>
      <c r="H719" s="167">
        <f>F719*G719</f>
        <v/>
      </c>
      <c r="I719" s="168">
        <f>if(or(eq(Accounts!J719,"No Valet"),eq(Accounts!J719,"Has Valet")), H719 * AVERAGE(Accounts!J$2:J$36),H719*Accounts!J719)</f>
        <v/>
      </c>
      <c r="J719" s="168">
        <f>iferror(I719*360,"")</f>
        <v/>
      </c>
      <c r="K719" s="168">
        <f>J719*0.1</f>
        <v/>
      </c>
    </row>
    <row r="720" ht="54.75" customHeight="1" s="211">
      <c r="A720" s="164">
        <f>Accounts!A720</f>
        <v/>
      </c>
      <c r="B720" s="12" t="n"/>
      <c r="C720" s="65" t="n"/>
      <c r="D720" s="165">
        <f>Accounts!K720</f>
        <v/>
      </c>
      <c r="E720" s="166" t="n">
        <v>0.6</v>
      </c>
      <c r="F720" s="167">
        <f>Accounts!K720*E720</f>
        <v/>
      </c>
      <c r="G720" s="166" t="n">
        <v>0.4</v>
      </c>
      <c r="H720" s="167">
        <f>F720*G720</f>
        <v/>
      </c>
      <c r="I720" s="168">
        <f>if(or(eq(Accounts!J720,"No Valet"),eq(Accounts!J720,"Has Valet")), H720 * AVERAGE(Accounts!J$2:J$36),H720*Accounts!J720)</f>
        <v/>
      </c>
      <c r="J720" s="168">
        <f>iferror(I720*360,"")</f>
        <v/>
      </c>
      <c r="K720" s="168">
        <f>J720*0.1</f>
        <v/>
      </c>
    </row>
    <row r="721" ht="54.75" customHeight="1" s="211">
      <c r="A721" s="164">
        <f>Accounts!A721</f>
        <v/>
      </c>
      <c r="B721" s="12" t="n"/>
      <c r="C721" s="65" t="n"/>
      <c r="D721" s="165">
        <f>Accounts!K721</f>
        <v/>
      </c>
      <c r="E721" s="166" t="n">
        <v>0.6</v>
      </c>
      <c r="F721" s="167">
        <f>Accounts!K721*E721</f>
        <v/>
      </c>
      <c r="G721" s="166" t="n">
        <v>0.4</v>
      </c>
      <c r="H721" s="167">
        <f>F721*G721</f>
        <v/>
      </c>
      <c r="I721" s="168">
        <f>if(or(eq(Accounts!J721,"No Valet"),eq(Accounts!J721,"Has Valet")), H721 * AVERAGE(Accounts!J$2:J$36),H721*Accounts!J721)</f>
        <v/>
      </c>
      <c r="J721" s="168">
        <f>iferror(I721*360,"")</f>
        <v/>
      </c>
      <c r="K721" s="168">
        <f>J721*0.1</f>
        <v/>
      </c>
    </row>
    <row r="722" ht="54.75" customHeight="1" s="211">
      <c r="A722" s="164">
        <f>Accounts!A722</f>
        <v/>
      </c>
      <c r="B722" s="12" t="n"/>
      <c r="C722" s="65" t="n"/>
      <c r="D722" s="165">
        <f>Accounts!K722</f>
        <v/>
      </c>
      <c r="E722" s="166" t="n">
        <v>0.6</v>
      </c>
      <c r="F722" s="167">
        <f>Accounts!K722*E722</f>
        <v/>
      </c>
      <c r="G722" s="166" t="n">
        <v>0.4</v>
      </c>
      <c r="H722" s="167">
        <f>F722*G722</f>
        <v/>
      </c>
      <c r="I722" s="168">
        <f>if(or(eq(Accounts!J722,"No Valet"),eq(Accounts!J722,"Has Valet")), H722 * AVERAGE(Accounts!J$2:J$36),H722*Accounts!J722)</f>
        <v/>
      </c>
      <c r="J722" s="168">
        <f>iferror(I722*360,"")</f>
        <v/>
      </c>
      <c r="K722" s="168">
        <f>J722*0.1</f>
        <v/>
      </c>
    </row>
    <row r="723" ht="54.75" customHeight="1" s="211">
      <c r="A723" s="164">
        <f>Accounts!A723</f>
        <v/>
      </c>
      <c r="B723" s="12" t="n"/>
      <c r="C723" s="65" t="n"/>
      <c r="D723" s="165">
        <f>Accounts!K723</f>
        <v/>
      </c>
      <c r="E723" s="166" t="n">
        <v>0.6</v>
      </c>
      <c r="F723" s="167">
        <f>Accounts!K723*E723</f>
        <v/>
      </c>
      <c r="G723" s="166" t="n">
        <v>0.4</v>
      </c>
      <c r="H723" s="167">
        <f>F723*G723</f>
        <v/>
      </c>
      <c r="I723" s="168">
        <f>if(or(eq(Accounts!J723,"No Valet"),eq(Accounts!J723,"Has Valet")), H723 * AVERAGE(Accounts!J$2:J$36),H723*Accounts!J723)</f>
        <v/>
      </c>
      <c r="J723" s="168">
        <f>iferror(I723*360,"")</f>
        <v/>
      </c>
      <c r="K723" s="168">
        <f>J723*0.1</f>
        <v/>
      </c>
    </row>
    <row r="724" ht="54.75" customHeight="1" s="211">
      <c r="A724" s="164">
        <f>Accounts!A724</f>
        <v/>
      </c>
      <c r="B724" s="12" t="n"/>
      <c r="C724" s="65" t="n"/>
      <c r="D724" s="165">
        <f>Accounts!K724</f>
        <v/>
      </c>
      <c r="E724" s="166" t="n">
        <v>0.6</v>
      </c>
      <c r="F724" s="167">
        <f>Accounts!K724*E724</f>
        <v/>
      </c>
      <c r="G724" s="166" t="n">
        <v>0.4</v>
      </c>
      <c r="H724" s="167">
        <f>F724*G724</f>
        <v/>
      </c>
      <c r="I724" s="168">
        <f>if(or(eq(Accounts!J724,"No Valet"),eq(Accounts!J724,"Has Valet")), H724 * AVERAGE(Accounts!J$2:J$36),H724*Accounts!J724)</f>
        <v/>
      </c>
      <c r="J724" s="168">
        <f>iferror(I724*360,"")</f>
        <v/>
      </c>
      <c r="K724" s="168">
        <f>J724*0.1</f>
        <v/>
      </c>
    </row>
    <row r="725" ht="54.75" customHeight="1" s="211">
      <c r="A725" s="164">
        <f>Accounts!A725</f>
        <v/>
      </c>
      <c r="B725" s="12" t="n"/>
      <c r="C725" s="65" t="n"/>
      <c r="D725" s="165">
        <f>Accounts!K725</f>
        <v/>
      </c>
      <c r="E725" s="166" t="n">
        <v>0.6</v>
      </c>
      <c r="F725" s="167">
        <f>Accounts!K725*E725</f>
        <v/>
      </c>
      <c r="G725" s="166" t="n">
        <v>0.4</v>
      </c>
      <c r="H725" s="167">
        <f>F725*G725</f>
        <v/>
      </c>
      <c r="I725" s="168">
        <f>if(or(eq(Accounts!J725,"No Valet"),eq(Accounts!J725,"Has Valet")), H725 * AVERAGE(Accounts!J$2:J$36),H725*Accounts!J725)</f>
        <v/>
      </c>
      <c r="J725" s="168">
        <f>iferror(I725*360,"")</f>
        <v/>
      </c>
      <c r="K725" s="168">
        <f>J725*0.1</f>
        <v/>
      </c>
    </row>
    <row r="726" ht="54.75" customHeight="1" s="211">
      <c r="A726" s="164">
        <f>Accounts!A726</f>
        <v/>
      </c>
      <c r="B726" s="12" t="n"/>
      <c r="C726" s="65" t="n"/>
      <c r="D726" s="165">
        <f>Accounts!K726</f>
        <v/>
      </c>
      <c r="E726" s="166" t="n">
        <v>0.6</v>
      </c>
      <c r="F726" s="167">
        <f>Accounts!K726*E726</f>
        <v/>
      </c>
      <c r="G726" s="166" t="n">
        <v>0.4</v>
      </c>
      <c r="H726" s="167">
        <f>F726*G726</f>
        <v/>
      </c>
      <c r="I726" s="168">
        <f>if(or(eq(Accounts!J726,"No Valet"),eq(Accounts!J726,"Has Valet")), H726 * AVERAGE(Accounts!J$2:J$36),H726*Accounts!J726)</f>
        <v/>
      </c>
      <c r="J726" s="168">
        <f>iferror(I726*360,"")</f>
        <v/>
      </c>
      <c r="K726" s="168">
        <f>J726*0.1</f>
        <v/>
      </c>
    </row>
    <row r="727" ht="54.75" customHeight="1" s="211">
      <c r="A727" s="164">
        <f>Accounts!A727</f>
        <v/>
      </c>
      <c r="B727" s="12" t="n"/>
      <c r="C727" s="65" t="n"/>
      <c r="D727" s="165">
        <f>Accounts!K727</f>
        <v/>
      </c>
      <c r="E727" s="166" t="n">
        <v>0.6</v>
      </c>
      <c r="F727" s="167">
        <f>Accounts!K727*E727</f>
        <v/>
      </c>
      <c r="G727" s="166" t="n">
        <v>0.4</v>
      </c>
      <c r="H727" s="167">
        <f>F727*G727</f>
        <v/>
      </c>
      <c r="I727" s="168">
        <f>if(or(eq(Accounts!J727,"No Valet"),eq(Accounts!J727,"Has Valet")), H727 * AVERAGE(Accounts!J$2:J$36),H727*Accounts!J727)</f>
        <v/>
      </c>
      <c r="J727" s="168">
        <f>iferror(I727*360,"")</f>
        <v/>
      </c>
      <c r="K727" s="168">
        <f>J727*0.1</f>
        <v/>
      </c>
    </row>
    <row r="728" ht="54.75" customHeight="1" s="211">
      <c r="A728" s="164">
        <f>Accounts!A728</f>
        <v/>
      </c>
      <c r="B728" s="12" t="n"/>
      <c r="C728" s="65" t="n"/>
      <c r="D728" s="165">
        <f>Accounts!K728</f>
        <v/>
      </c>
      <c r="E728" s="166" t="n">
        <v>0.6</v>
      </c>
      <c r="F728" s="167">
        <f>Accounts!K728*E728</f>
        <v/>
      </c>
      <c r="G728" s="166" t="n">
        <v>0.4</v>
      </c>
      <c r="H728" s="167">
        <f>F728*G728</f>
        <v/>
      </c>
      <c r="I728" s="168">
        <f>if(or(eq(Accounts!J728,"No Valet"),eq(Accounts!J728,"Has Valet")), H728 * AVERAGE(Accounts!J$2:J$36),H728*Accounts!J728)</f>
        <v/>
      </c>
      <c r="J728" s="168">
        <f>iferror(I728*360,"")</f>
        <v/>
      </c>
      <c r="K728" s="168">
        <f>J728*0.1</f>
        <v/>
      </c>
    </row>
    <row r="729" ht="54.75" customHeight="1" s="211">
      <c r="A729" s="164">
        <f>Accounts!A729</f>
        <v/>
      </c>
      <c r="B729" s="12" t="n"/>
      <c r="C729" s="65" t="n"/>
      <c r="D729" s="165">
        <f>Accounts!K729</f>
        <v/>
      </c>
      <c r="E729" s="166" t="n">
        <v>0.6</v>
      </c>
      <c r="F729" s="167">
        <f>Accounts!K729*E729</f>
        <v/>
      </c>
      <c r="G729" s="166" t="n">
        <v>0.4</v>
      </c>
      <c r="H729" s="167">
        <f>F729*G729</f>
        <v/>
      </c>
      <c r="I729" s="168">
        <f>if(or(eq(Accounts!J729,"No Valet"),eq(Accounts!J729,"Has Valet")), H729 * AVERAGE(Accounts!J$2:J$36),H729*Accounts!J729)</f>
        <v/>
      </c>
      <c r="J729" s="168">
        <f>iferror(I729*360,"")</f>
        <v/>
      </c>
      <c r="K729" s="168">
        <f>J729*0.1</f>
        <v/>
      </c>
    </row>
    <row r="730" ht="54.75" customHeight="1" s="211">
      <c r="A730" s="164">
        <f>Accounts!A730</f>
        <v/>
      </c>
      <c r="B730" s="12" t="n"/>
      <c r="C730" s="65" t="n"/>
      <c r="D730" s="165">
        <f>Accounts!K730</f>
        <v/>
      </c>
      <c r="E730" s="166" t="n">
        <v>0.6</v>
      </c>
      <c r="F730" s="167">
        <f>Accounts!K730*E730</f>
        <v/>
      </c>
      <c r="G730" s="166" t="n">
        <v>0.4</v>
      </c>
      <c r="H730" s="167">
        <f>F730*G730</f>
        <v/>
      </c>
      <c r="I730" s="168">
        <f>if(or(eq(Accounts!J730,"No Valet"),eq(Accounts!J730,"Has Valet")), H730 * AVERAGE(Accounts!J$2:J$36),H730*Accounts!J730)</f>
        <v/>
      </c>
      <c r="J730" s="168">
        <f>iferror(I730*360,"")</f>
        <v/>
      </c>
      <c r="K730" s="168">
        <f>J730*0.1</f>
        <v/>
      </c>
    </row>
    <row r="731" ht="54.75" customHeight="1" s="211">
      <c r="A731" s="164">
        <f>Accounts!A731</f>
        <v/>
      </c>
      <c r="B731" s="12" t="n"/>
      <c r="C731" s="65" t="n"/>
      <c r="D731" s="165">
        <f>Accounts!K731</f>
        <v/>
      </c>
      <c r="E731" s="166" t="n">
        <v>0.6</v>
      </c>
      <c r="F731" s="167">
        <f>Accounts!K731*E731</f>
        <v/>
      </c>
      <c r="G731" s="166" t="n">
        <v>0.4</v>
      </c>
      <c r="H731" s="167">
        <f>F731*G731</f>
        <v/>
      </c>
      <c r="I731" s="168">
        <f>if(or(eq(Accounts!J731,"No Valet"),eq(Accounts!J731,"Has Valet")), H731 * AVERAGE(Accounts!J$2:J$36),H731*Accounts!J731)</f>
        <v/>
      </c>
      <c r="J731" s="168">
        <f>iferror(I731*360,"")</f>
        <v/>
      </c>
      <c r="K731" s="168">
        <f>J731*0.1</f>
        <v/>
      </c>
    </row>
    <row r="732" ht="54.75" customHeight="1" s="211">
      <c r="A732" s="164">
        <f>Accounts!A732</f>
        <v/>
      </c>
      <c r="B732" s="12" t="n"/>
      <c r="C732" s="65" t="n"/>
      <c r="D732" s="165">
        <f>Accounts!K732</f>
        <v/>
      </c>
      <c r="E732" s="166" t="n">
        <v>0.6</v>
      </c>
      <c r="F732" s="167">
        <f>Accounts!K732*E732</f>
        <v/>
      </c>
      <c r="G732" s="166" t="n">
        <v>0.4</v>
      </c>
      <c r="H732" s="167">
        <f>F732*G732</f>
        <v/>
      </c>
      <c r="I732" s="168">
        <f>if(or(eq(Accounts!J732,"No Valet"),eq(Accounts!J732,"Has Valet")), H732 * AVERAGE(Accounts!J$2:J$36),H732*Accounts!J732)</f>
        <v/>
      </c>
      <c r="J732" s="168">
        <f>iferror(I732*360,"")</f>
        <v/>
      </c>
      <c r="K732" s="168">
        <f>J732*0.1</f>
        <v/>
      </c>
    </row>
    <row r="733" ht="54.75" customHeight="1" s="211">
      <c r="A733" s="164">
        <f>Accounts!A733</f>
        <v/>
      </c>
      <c r="B733" s="12" t="n"/>
      <c r="C733" s="65" t="n"/>
      <c r="D733" s="165">
        <f>Accounts!K733</f>
        <v/>
      </c>
      <c r="E733" s="166" t="n">
        <v>0.6</v>
      </c>
      <c r="F733" s="167">
        <f>Accounts!K733*E733</f>
        <v/>
      </c>
      <c r="G733" s="166" t="n">
        <v>0.4</v>
      </c>
      <c r="H733" s="167">
        <f>F733*G733</f>
        <v/>
      </c>
      <c r="I733" s="168">
        <f>if(or(eq(Accounts!J733,"No Valet"),eq(Accounts!J733,"Has Valet")), H733 * AVERAGE(Accounts!J$2:J$36),H733*Accounts!J733)</f>
        <v/>
      </c>
      <c r="J733" s="168">
        <f>iferror(I733*360,"")</f>
        <v/>
      </c>
      <c r="K733" s="168">
        <f>J733*0.1</f>
        <v/>
      </c>
    </row>
    <row r="734" ht="54.75" customHeight="1" s="211">
      <c r="A734" s="164">
        <f>Accounts!A734</f>
        <v/>
      </c>
      <c r="B734" s="12" t="n"/>
      <c r="C734" s="65" t="n"/>
      <c r="D734" s="165">
        <f>Accounts!K734</f>
        <v/>
      </c>
      <c r="E734" s="166" t="n">
        <v>0.6</v>
      </c>
      <c r="F734" s="167">
        <f>Accounts!K734*E734</f>
        <v/>
      </c>
      <c r="G734" s="166" t="n">
        <v>0.4</v>
      </c>
      <c r="H734" s="167">
        <f>F734*G734</f>
        <v/>
      </c>
      <c r="I734" s="168">
        <f>if(or(eq(Accounts!J734,"No Valet"),eq(Accounts!J734,"Has Valet")), H734 * AVERAGE(Accounts!J$2:J$36),H734*Accounts!J734)</f>
        <v/>
      </c>
      <c r="J734" s="168">
        <f>iferror(I734*360,"")</f>
        <v/>
      </c>
      <c r="K734" s="168">
        <f>J734*0.1</f>
        <v/>
      </c>
    </row>
    <row r="735" ht="54.75" customHeight="1" s="211">
      <c r="A735" s="164">
        <f>Accounts!A735</f>
        <v/>
      </c>
      <c r="B735" s="12" t="n"/>
      <c r="C735" s="65" t="n"/>
      <c r="D735" s="165">
        <f>Accounts!K735</f>
        <v/>
      </c>
      <c r="E735" s="166" t="n">
        <v>0.6</v>
      </c>
      <c r="F735" s="167">
        <f>Accounts!K735*E735</f>
        <v/>
      </c>
      <c r="G735" s="166" t="n">
        <v>0.4</v>
      </c>
      <c r="H735" s="167">
        <f>F735*G735</f>
        <v/>
      </c>
      <c r="I735" s="168">
        <f>if(or(eq(Accounts!J735,"No Valet"),eq(Accounts!J735,"Has Valet")), H735 * AVERAGE(Accounts!J$2:J$36),H735*Accounts!J735)</f>
        <v/>
      </c>
      <c r="J735" s="168">
        <f>iferror(I735*360,"")</f>
        <v/>
      </c>
      <c r="K735" s="168">
        <f>J735*0.1</f>
        <v/>
      </c>
    </row>
    <row r="736" ht="54.75" customHeight="1" s="211">
      <c r="A736" s="164">
        <f>Accounts!A736</f>
        <v/>
      </c>
      <c r="B736" s="12" t="n"/>
      <c r="C736" s="65" t="n"/>
      <c r="D736" s="165">
        <f>Accounts!K736</f>
        <v/>
      </c>
      <c r="E736" s="166" t="n">
        <v>0.6</v>
      </c>
      <c r="F736" s="167">
        <f>Accounts!K736*E736</f>
        <v/>
      </c>
      <c r="G736" s="166" t="n">
        <v>0.4</v>
      </c>
      <c r="H736" s="167">
        <f>F736*G736</f>
        <v/>
      </c>
      <c r="I736" s="168">
        <f>if(or(eq(Accounts!J736,"No Valet"),eq(Accounts!J736,"Has Valet")), H736 * AVERAGE(Accounts!J$2:J$36),H736*Accounts!J736)</f>
        <v/>
      </c>
      <c r="J736" s="168">
        <f>iferror(I736*360,"")</f>
        <v/>
      </c>
      <c r="K736" s="168">
        <f>J736*0.1</f>
        <v/>
      </c>
    </row>
    <row r="737" ht="54.75" customHeight="1" s="211">
      <c r="A737" s="164">
        <f>Accounts!A737</f>
        <v/>
      </c>
      <c r="B737" s="12" t="n"/>
      <c r="C737" s="65" t="n"/>
      <c r="D737" s="165">
        <f>Accounts!K737</f>
        <v/>
      </c>
      <c r="E737" s="166" t="n">
        <v>0.6</v>
      </c>
      <c r="F737" s="167">
        <f>Accounts!K737*E737</f>
        <v/>
      </c>
      <c r="G737" s="166" t="n">
        <v>0.4</v>
      </c>
      <c r="H737" s="167">
        <f>F737*G737</f>
        <v/>
      </c>
      <c r="I737" s="168">
        <f>if(or(eq(Accounts!J737,"No Valet"),eq(Accounts!J737,"Has Valet")), H737 * AVERAGE(Accounts!J$2:J$36),H737*Accounts!J737)</f>
        <v/>
      </c>
      <c r="J737" s="168">
        <f>iferror(I737*360,"")</f>
        <v/>
      </c>
      <c r="K737" s="168">
        <f>J737*0.1</f>
        <v/>
      </c>
    </row>
    <row r="738" ht="54.75" customHeight="1" s="211">
      <c r="A738" s="164">
        <f>Accounts!A738</f>
        <v/>
      </c>
      <c r="B738" s="12" t="n"/>
      <c r="C738" s="65" t="n"/>
      <c r="D738" s="165">
        <f>Accounts!K738</f>
        <v/>
      </c>
      <c r="E738" s="166" t="n">
        <v>0.6</v>
      </c>
      <c r="F738" s="167">
        <f>Accounts!K738*E738</f>
        <v/>
      </c>
      <c r="G738" s="166" t="n">
        <v>0.4</v>
      </c>
      <c r="H738" s="167">
        <f>F738*G738</f>
        <v/>
      </c>
      <c r="I738" s="168">
        <f>if(or(eq(Accounts!J738,"No Valet"),eq(Accounts!J738,"Has Valet")), H738 * AVERAGE(Accounts!J$2:J$36),H738*Accounts!J738)</f>
        <v/>
      </c>
      <c r="J738" s="168">
        <f>iferror(I738*360,"")</f>
        <v/>
      </c>
      <c r="K738" s="168">
        <f>J738*0.1</f>
        <v/>
      </c>
    </row>
    <row r="739" ht="54.75" customHeight="1" s="211">
      <c r="A739" s="164">
        <f>Accounts!A739</f>
        <v/>
      </c>
      <c r="B739" s="12" t="n"/>
      <c r="C739" s="65" t="n"/>
      <c r="D739" s="165">
        <f>Accounts!K739</f>
        <v/>
      </c>
      <c r="E739" s="166" t="n">
        <v>0.6</v>
      </c>
      <c r="F739" s="167">
        <f>Accounts!K739*E739</f>
        <v/>
      </c>
      <c r="G739" s="166" t="n">
        <v>0.4</v>
      </c>
      <c r="H739" s="167">
        <f>F739*G739</f>
        <v/>
      </c>
      <c r="I739" s="168">
        <f>if(or(eq(Accounts!J739,"No Valet"),eq(Accounts!J739,"Has Valet")), H739 * AVERAGE(Accounts!J$2:J$36),H739*Accounts!J739)</f>
        <v/>
      </c>
      <c r="J739" s="168">
        <f>iferror(I739*360,"")</f>
        <v/>
      </c>
      <c r="K739" s="168">
        <f>J739*0.1</f>
        <v/>
      </c>
    </row>
    <row r="740" ht="54.75" customHeight="1" s="211">
      <c r="A740" s="164">
        <f>Accounts!A740</f>
        <v/>
      </c>
      <c r="B740" s="12" t="n"/>
      <c r="C740" s="65" t="n"/>
      <c r="D740" s="165">
        <f>Accounts!K740</f>
        <v/>
      </c>
      <c r="E740" s="166" t="n">
        <v>0.6</v>
      </c>
      <c r="F740" s="167">
        <f>Accounts!K740*E740</f>
        <v/>
      </c>
      <c r="G740" s="166" t="n">
        <v>0.4</v>
      </c>
      <c r="H740" s="167">
        <f>F740*G740</f>
        <v/>
      </c>
      <c r="I740" s="168">
        <f>if(or(eq(Accounts!J740,"No Valet"),eq(Accounts!J740,"Has Valet")), H740 * AVERAGE(Accounts!J$2:J$36),H740*Accounts!J740)</f>
        <v/>
      </c>
      <c r="J740" s="168">
        <f>iferror(I740*360,"")</f>
        <v/>
      </c>
      <c r="K740" s="168">
        <f>J740*0.1</f>
        <v/>
      </c>
    </row>
    <row r="741" ht="54.75" customHeight="1" s="211">
      <c r="A741" s="164">
        <f>Accounts!A741</f>
        <v/>
      </c>
      <c r="B741" s="12" t="n"/>
      <c r="C741" s="65" t="n"/>
      <c r="D741" s="165">
        <f>Accounts!K741</f>
        <v/>
      </c>
      <c r="E741" s="166" t="n">
        <v>0.6</v>
      </c>
      <c r="F741" s="167">
        <f>Accounts!K741*E741</f>
        <v/>
      </c>
      <c r="G741" s="166" t="n">
        <v>0.4</v>
      </c>
      <c r="H741" s="167">
        <f>F741*G741</f>
        <v/>
      </c>
      <c r="I741" s="168">
        <f>if(or(eq(Accounts!J741,"No Valet"),eq(Accounts!J741,"Has Valet")), H741 * AVERAGE(Accounts!J$2:J$36),H741*Accounts!J741)</f>
        <v/>
      </c>
      <c r="J741" s="168">
        <f>iferror(I741*360,"")</f>
        <v/>
      </c>
      <c r="K741" s="168">
        <f>J741*0.1</f>
        <v/>
      </c>
    </row>
    <row r="742" ht="54.75" customHeight="1" s="211">
      <c r="A742" s="164">
        <f>Accounts!A742</f>
        <v/>
      </c>
      <c r="B742" s="12" t="n"/>
      <c r="C742" s="65" t="n"/>
      <c r="D742" s="165">
        <f>Accounts!K742</f>
        <v/>
      </c>
      <c r="E742" s="166" t="n">
        <v>0.6</v>
      </c>
      <c r="F742" s="167">
        <f>Accounts!K742*E742</f>
        <v/>
      </c>
      <c r="G742" s="166" t="n">
        <v>0.4</v>
      </c>
      <c r="H742" s="167">
        <f>F742*G742</f>
        <v/>
      </c>
      <c r="I742" s="168">
        <f>if(or(eq(Accounts!J742,"No Valet"),eq(Accounts!J742,"Has Valet")), H742 * AVERAGE(Accounts!J$2:J$36),H742*Accounts!J742)</f>
        <v/>
      </c>
      <c r="J742" s="168">
        <f>iferror(I742*360,"")</f>
        <v/>
      </c>
      <c r="K742" s="168">
        <f>J742*0.1</f>
        <v/>
      </c>
    </row>
    <row r="743" ht="54.75" customHeight="1" s="211">
      <c r="A743" s="164">
        <f>Accounts!A743</f>
        <v/>
      </c>
      <c r="B743" s="12" t="n"/>
      <c r="C743" s="65" t="n"/>
      <c r="D743" s="165">
        <f>Accounts!K743</f>
        <v/>
      </c>
      <c r="E743" s="166" t="n">
        <v>0.6</v>
      </c>
      <c r="F743" s="167">
        <f>Accounts!K743*E743</f>
        <v/>
      </c>
      <c r="G743" s="166" t="n">
        <v>0.4</v>
      </c>
      <c r="H743" s="167">
        <f>F743*G743</f>
        <v/>
      </c>
      <c r="I743" s="168">
        <f>if(or(eq(Accounts!J743,"No Valet"),eq(Accounts!J743,"Has Valet")), H743 * AVERAGE(Accounts!J$2:J$36),H743*Accounts!J743)</f>
        <v/>
      </c>
      <c r="J743" s="168">
        <f>iferror(I743*360,"")</f>
        <v/>
      </c>
      <c r="K743" s="168">
        <f>J743*0.1</f>
        <v/>
      </c>
    </row>
    <row r="744" ht="54.75" customHeight="1" s="211">
      <c r="A744" s="164">
        <f>Accounts!A744</f>
        <v/>
      </c>
      <c r="B744" s="12" t="n"/>
      <c r="C744" s="65" t="n"/>
      <c r="D744" s="165">
        <f>Accounts!K744</f>
        <v/>
      </c>
      <c r="E744" s="166" t="n">
        <v>0.6</v>
      </c>
      <c r="F744" s="167">
        <f>Accounts!K744*E744</f>
        <v/>
      </c>
      <c r="G744" s="166" t="n">
        <v>0.4</v>
      </c>
      <c r="H744" s="167">
        <f>F744*G744</f>
        <v/>
      </c>
      <c r="I744" s="168">
        <f>if(or(eq(Accounts!J744,"No Valet"),eq(Accounts!J744,"Has Valet")), H744 * AVERAGE(Accounts!J$2:J$36),H744*Accounts!J744)</f>
        <v/>
      </c>
      <c r="J744" s="168">
        <f>iferror(I744*360,"")</f>
        <v/>
      </c>
      <c r="K744" s="168">
        <f>J744*0.1</f>
        <v/>
      </c>
    </row>
    <row r="745" ht="54.75" customHeight="1" s="211">
      <c r="A745" s="164">
        <f>Accounts!A745</f>
        <v/>
      </c>
      <c r="B745" s="12" t="n"/>
      <c r="C745" s="65" t="n"/>
      <c r="D745" s="165">
        <f>Accounts!K745</f>
        <v/>
      </c>
      <c r="E745" s="166" t="n">
        <v>0.6</v>
      </c>
      <c r="F745" s="167">
        <f>Accounts!K745*E745</f>
        <v/>
      </c>
      <c r="G745" s="166" t="n">
        <v>0.4</v>
      </c>
      <c r="H745" s="167">
        <f>F745*G745</f>
        <v/>
      </c>
      <c r="I745" s="168">
        <f>if(or(eq(Accounts!J745,"No Valet"),eq(Accounts!J745,"Has Valet")), H745 * AVERAGE(Accounts!J$2:J$36),H745*Accounts!J745)</f>
        <v/>
      </c>
      <c r="J745" s="168">
        <f>iferror(I745*360,"")</f>
        <v/>
      </c>
      <c r="K745" s="168">
        <f>J745*0.1</f>
        <v/>
      </c>
    </row>
    <row r="746" ht="54.75" customHeight="1" s="211">
      <c r="A746" s="164">
        <f>Accounts!A746</f>
        <v/>
      </c>
      <c r="B746" s="12" t="n"/>
      <c r="C746" s="65" t="n"/>
      <c r="D746" s="165">
        <f>Accounts!K746</f>
        <v/>
      </c>
      <c r="E746" s="166" t="n">
        <v>0.6</v>
      </c>
      <c r="F746" s="167">
        <f>Accounts!K746*E746</f>
        <v/>
      </c>
      <c r="G746" s="166" t="n">
        <v>0.4</v>
      </c>
      <c r="H746" s="167">
        <f>F746*G746</f>
        <v/>
      </c>
      <c r="I746" s="168">
        <f>if(or(eq(Accounts!J746,"No Valet"),eq(Accounts!J746,"Has Valet")), H746 * AVERAGE(Accounts!J$2:J$36),H746*Accounts!J746)</f>
        <v/>
      </c>
      <c r="J746" s="168">
        <f>iferror(I746*360,"")</f>
        <v/>
      </c>
      <c r="K746" s="168">
        <f>J746*0.1</f>
        <v/>
      </c>
    </row>
    <row r="747" ht="54.75" customHeight="1" s="211">
      <c r="A747" s="164">
        <f>Accounts!A747</f>
        <v/>
      </c>
      <c r="B747" s="12" t="n"/>
      <c r="C747" s="65" t="n"/>
      <c r="D747" s="165">
        <f>Accounts!K747</f>
        <v/>
      </c>
      <c r="E747" s="166" t="n">
        <v>0.6</v>
      </c>
      <c r="F747" s="167">
        <f>Accounts!K747*E747</f>
        <v/>
      </c>
      <c r="G747" s="166" t="n">
        <v>0.4</v>
      </c>
      <c r="H747" s="167">
        <f>F747*G747</f>
        <v/>
      </c>
      <c r="I747" s="168">
        <f>if(or(eq(Accounts!J747,"No Valet"),eq(Accounts!J747,"Has Valet")), H747 * AVERAGE(Accounts!J$2:J$36),H747*Accounts!J747)</f>
        <v/>
      </c>
      <c r="J747" s="168">
        <f>iferror(I747*360,"")</f>
        <v/>
      </c>
      <c r="K747" s="168">
        <f>J747*0.1</f>
        <v/>
      </c>
    </row>
    <row r="748" ht="54.75" customHeight="1" s="211">
      <c r="A748" s="164">
        <f>Accounts!A748</f>
        <v/>
      </c>
      <c r="B748" s="12" t="n"/>
      <c r="C748" s="65" t="n"/>
      <c r="D748" s="165">
        <f>Accounts!K748</f>
        <v/>
      </c>
      <c r="E748" s="166" t="n">
        <v>0.6</v>
      </c>
      <c r="F748" s="167">
        <f>Accounts!K748*E748</f>
        <v/>
      </c>
      <c r="G748" s="166" t="n">
        <v>0.4</v>
      </c>
      <c r="H748" s="167">
        <f>F748*G748</f>
        <v/>
      </c>
      <c r="I748" s="168">
        <f>if(or(eq(Accounts!J748,"No Valet"),eq(Accounts!J748,"Has Valet")), H748 * AVERAGE(Accounts!J$2:J$36),H748*Accounts!J748)</f>
        <v/>
      </c>
      <c r="J748" s="168">
        <f>iferror(I748*360,"")</f>
        <v/>
      </c>
      <c r="K748" s="168">
        <f>J748*0.1</f>
        <v/>
      </c>
    </row>
    <row r="749" ht="54.75" customHeight="1" s="211">
      <c r="A749" s="164">
        <f>Accounts!A749</f>
        <v/>
      </c>
      <c r="B749" s="12" t="n"/>
      <c r="C749" s="65" t="n"/>
      <c r="D749" s="165">
        <f>Accounts!K749</f>
        <v/>
      </c>
      <c r="E749" s="166" t="n">
        <v>0.6</v>
      </c>
      <c r="F749" s="167">
        <f>Accounts!K749*E749</f>
        <v/>
      </c>
      <c r="G749" s="166" t="n">
        <v>0.4</v>
      </c>
      <c r="H749" s="167">
        <f>F749*G749</f>
        <v/>
      </c>
      <c r="I749" s="168">
        <f>if(or(eq(Accounts!J749,"No Valet"),eq(Accounts!J749,"Has Valet")), H749 * AVERAGE(Accounts!J$2:J$36),H749*Accounts!J749)</f>
        <v/>
      </c>
      <c r="J749" s="168">
        <f>iferror(I749*360,"")</f>
        <v/>
      </c>
      <c r="K749" s="168">
        <f>J749*0.1</f>
        <v/>
      </c>
    </row>
    <row r="750" ht="54.75" customHeight="1" s="211">
      <c r="A750" s="164">
        <f>Accounts!A750</f>
        <v/>
      </c>
      <c r="B750" s="12" t="n"/>
      <c r="C750" s="65" t="n"/>
      <c r="D750" s="165">
        <f>Accounts!K750</f>
        <v/>
      </c>
      <c r="E750" s="166" t="n">
        <v>0.6</v>
      </c>
      <c r="F750" s="167">
        <f>Accounts!K750*E750</f>
        <v/>
      </c>
      <c r="G750" s="166" t="n">
        <v>0.4</v>
      </c>
      <c r="H750" s="167">
        <f>F750*G750</f>
        <v/>
      </c>
      <c r="I750" s="168">
        <f>if(or(eq(Accounts!J750,"No Valet"),eq(Accounts!J750,"Has Valet")), H750 * AVERAGE(Accounts!J$2:J$36),H750*Accounts!J750)</f>
        <v/>
      </c>
      <c r="J750" s="168">
        <f>iferror(I750*360,"")</f>
        <v/>
      </c>
      <c r="K750" s="168">
        <f>J750*0.1</f>
        <v/>
      </c>
    </row>
    <row r="751" ht="54.75" customHeight="1" s="211">
      <c r="A751" s="164">
        <f>Accounts!A751</f>
        <v/>
      </c>
      <c r="B751" s="12" t="n"/>
      <c r="C751" s="65" t="n"/>
      <c r="D751" s="165">
        <f>Accounts!K751</f>
        <v/>
      </c>
      <c r="E751" s="166" t="n">
        <v>0.6</v>
      </c>
      <c r="F751" s="167">
        <f>Accounts!K751*E751</f>
        <v/>
      </c>
      <c r="G751" s="166" t="n">
        <v>0.4</v>
      </c>
      <c r="H751" s="167">
        <f>F751*G751</f>
        <v/>
      </c>
      <c r="I751" s="168">
        <f>if(or(eq(Accounts!J751,"No Valet"),eq(Accounts!J751,"Has Valet")), H751 * AVERAGE(Accounts!J$2:J$36),H751*Accounts!J751)</f>
        <v/>
      </c>
      <c r="J751" s="168">
        <f>iferror(I751*360,"")</f>
        <v/>
      </c>
      <c r="K751" s="168">
        <f>J751*0.1</f>
        <v/>
      </c>
    </row>
    <row r="752" ht="54.75" customHeight="1" s="211">
      <c r="A752" s="164">
        <f>Accounts!A752</f>
        <v/>
      </c>
      <c r="B752" s="12" t="n"/>
      <c r="C752" s="65" t="n"/>
      <c r="D752" s="165">
        <f>Accounts!K752</f>
        <v/>
      </c>
      <c r="E752" s="166" t="n">
        <v>0.6</v>
      </c>
      <c r="F752" s="167">
        <f>Accounts!K752*E752</f>
        <v/>
      </c>
      <c r="G752" s="166" t="n">
        <v>0.4</v>
      </c>
      <c r="H752" s="167">
        <f>F752*G752</f>
        <v/>
      </c>
      <c r="I752" s="168">
        <f>if(or(eq(Accounts!J752,"No Valet"),eq(Accounts!J752,"Has Valet")), H752 * AVERAGE(Accounts!J$2:J$36),H752*Accounts!J752)</f>
        <v/>
      </c>
      <c r="J752" s="168">
        <f>iferror(I752*360,"")</f>
        <v/>
      </c>
      <c r="K752" s="168">
        <f>J752*0.1</f>
        <v/>
      </c>
    </row>
    <row r="753" ht="54.75" customHeight="1" s="211">
      <c r="A753" s="164">
        <f>Accounts!A753</f>
        <v/>
      </c>
      <c r="B753" s="12" t="n"/>
      <c r="C753" s="65" t="n"/>
      <c r="D753" s="165">
        <f>Accounts!K753</f>
        <v/>
      </c>
      <c r="E753" s="166" t="n">
        <v>0.6</v>
      </c>
      <c r="F753" s="167">
        <f>Accounts!K753*E753</f>
        <v/>
      </c>
      <c r="G753" s="166" t="n">
        <v>0.4</v>
      </c>
      <c r="H753" s="167">
        <f>F753*G753</f>
        <v/>
      </c>
      <c r="I753" s="168">
        <f>if(or(eq(Accounts!J753,"No Valet"),eq(Accounts!J753,"Has Valet")), H753 * AVERAGE(Accounts!J$2:J$36),H753*Accounts!J753)</f>
        <v/>
      </c>
      <c r="J753" s="168">
        <f>iferror(I753*360,"")</f>
        <v/>
      </c>
      <c r="K753" s="168">
        <f>J753*0.1</f>
        <v/>
      </c>
    </row>
    <row r="754" ht="54.75" customHeight="1" s="211">
      <c r="A754" s="164">
        <f>Accounts!A754</f>
        <v/>
      </c>
      <c r="B754" s="12" t="n"/>
      <c r="C754" s="65" t="n"/>
      <c r="D754" s="165">
        <f>Accounts!K754</f>
        <v/>
      </c>
      <c r="E754" s="166" t="n">
        <v>0.6</v>
      </c>
      <c r="F754" s="167">
        <f>Accounts!K754*E754</f>
        <v/>
      </c>
      <c r="G754" s="166" t="n">
        <v>0.4</v>
      </c>
      <c r="H754" s="167">
        <f>F754*G754</f>
        <v/>
      </c>
      <c r="I754" s="168">
        <f>if(or(eq(Accounts!J754,"No Valet"),eq(Accounts!J754,"Has Valet")), H754 * AVERAGE(Accounts!J$2:J$36),H754*Accounts!J754)</f>
        <v/>
      </c>
      <c r="J754" s="168">
        <f>iferror(I754*360,"")</f>
        <v/>
      </c>
      <c r="K754" s="168">
        <f>J754*0.1</f>
        <v/>
      </c>
    </row>
    <row r="755" ht="54.75" customHeight="1" s="211">
      <c r="A755" s="164">
        <f>Accounts!A755</f>
        <v/>
      </c>
      <c r="B755" s="12" t="n"/>
      <c r="C755" s="65" t="n"/>
      <c r="D755" s="165">
        <f>Accounts!K755</f>
        <v/>
      </c>
      <c r="E755" s="166" t="n">
        <v>0.6</v>
      </c>
      <c r="F755" s="167">
        <f>Accounts!K755*E755</f>
        <v/>
      </c>
      <c r="G755" s="166" t="n">
        <v>0.4</v>
      </c>
      <c r="H755" s="167">
        <f>F755*G755</f>
        <v/>
      </c>
      <c r="I755" s="168">
        <f>if(or(eq(Accounts!J755,"No Valet"),eq(Accounts!J755,"Has Valet")), H755 * AVERAGE(Accounts!J$2:J$36),H755*Accounts!J755)</f>
        <v/>
      </c>
      <c r="J755" s="168">
        <f>iferror(I755*360,"")</f>
        <v/>
      </c>
      <c r="K755" s="168">
        <f>J755*0.1</f>
        <v/>
      </c>
    </row>
    <row r="756" ht="54.75" customHeight="1" s="211">
      <c r="A756" s="164">
        <f>Accounts!A756</f>
        <v/>
      </c>
      <c r="B756" s="12" t="n"/>
      <c r="C756" s="65" t="n"/>
      <c r="D756" s="165">
        <f>Accounts!K756</f>
        <v/>
      </c>
      <c r="E756" s="166" t="n">
        <v>0.6</v>
      </c>
      <c r="F756" s="167">
        <f>Accounts!K756*E756</f>
        <v/>
      </c>
      <c r="G756" s="166" t="n">
        <v>0.4</v>
      </c>
      <c r="H756" s="167">
        <f>F756*G756</f>
        <v/>
      </c>
      <c r="I756" s="168">
        <f>if(or(eq(Accounts!J756,"No Valet"),eq(Accounts!J756,"Has Valet")), H756 * AVERAGE(Accounts!J$2:J$36),H756*Accounts!J756)</f>
        <v/>
      </c>
      <c r="J756" s="168">
        <f>iferror(I756*360,"")</f>
        <v/>
      </c>
      <c r="K756" s="168">
        <f>J756*0.1</f>
        <v/>
      </c>
    </row>
    <row r="757" ht="54.75" customHeight="1" s="211">
      <c r="A757" s="164">
        <f>Accounts!A757</f>
        <v/>
      </c>
      <c r="B757" s="12" t="n"/>
      <c r="C757" s="65" t="n"/>
      <c r="D757" s="165">
        <f>Accounts!K757</f>
        <v/>
      </c>
      <c r="E757" s="166" t="n">
        <v>0.6</v>
      </c>
      <c r="F757" s="167">
        <f>Accounts!K757*E757</f>
        <v/>
      </c>
      <c r="G757" s="166" t="n">
        <v>0.4</v>
      </c>
      <c r="H757" s="167">
        <f>F757*G757</f>
        <v/>
      </c>
      <c r="I757" s="168">
        <f>if(or(eq(Accounts!J757,"No Valet"),eq(Accounts!J757,"Has Valet")), H757 * AVERAGE(Accounts!J$2:J$36),H757*Accounts!J757)</f>
        <v/>
      </c>
      <c r="J757" s="168">
        <f>iferror(I757*360,"")</f>
        <v/>
      </c>
      <c r="K757" s="168">
        <f>J757*0.1</f>
        <v/>
      </c>
    </row>
    <row r="758" ht="54.75" customHeight="1" s="211">
      <c r="A758" s="164">
        <f>Accounts!A758</f>
        <v/>
      </c>
      <c r="B758" s="12" t="n"/>
      <c r="C758" s="65" t="n"/>
      <c r="D758" s="165">
        <f>Accounts!K758</f>
        <v/>
      </c>
      <c r="E758" s="166" t="n">
        <v>0.6</v>
      </c>
      <c r="F758" s="167">
        <f>Accounts!K758*E758</f>
        <v/>
      </c>
      <c r="G758" s="166" t="n">
        <v>0.4</v>
      </c>
      <c r="H758" s="167">
        <f>F758*G758</f>
        <v/>
      </c>
      <c r="I758" s="168">
        <f>if(or(eq(Accounts!J758,"No Valet"),eq(Accounts!J758,"Has Valet")), H758 * AVERAGE(Accounts!J$2:J$36),H758*Accounts!J758)</f>
        <v/>
      </c>
      <c r="J758" s="168">
        <f>iferror(I758*360,"")</f>
        <v/>
      </c>
      <c r="K758" s="168">
        <f>J758*0.1</f>
        <v/>
      </c>
    </row>
    <row r="759" ht="54.75" customHeight="1" s="211">
      <c r="A759" s="164">
        <f>Accounts!A759</f>
        <v/>
      </c>
      <c r="B759" s="12" t="n"/>
      <c r="C759" s="65" t="n"/>
      <c r="D759" s="165">
        <f>Accounts!K759</f>
        <v/>
      </c>
      <c r="E759" s="166" t="n">
        <v>0.6</v>
      </c>
      <c r="F759" s="167">
        <f>Accounts!K759*E759</f>
        <v/>
      </c>
      <c r="G759" s="166" t="n">
        <v>0.4</v>
      </c>
      <c r="H759" s="167">
        <f>F759*G759</f>
        <v/>
      </c>
      <c r="I759" s="168">
        <f>if(or(eq(Accounts!J759,"No Valet"),eq(Accounts!J759,"Has Valet")), H759 * AVERAGE(Accounts!J$2:J$36),H759*Accounts!J759)</f>
        <v/>
      </c>
      <c r="J759" s="168">
        <f>iferror(I759*360,"")</f>
        <v/>
      </c>
      <c r="K759" s="168">
        <f>J759*0.1</f>
        <v/>
      </c>
    </row>
    <row r="760" ht="54.75" customHeight="1" s="211">
      <c r="A760" s="164">
        <f>Accounts!A760</f>
        <v/>
      </c>
      <c r="B760" s="12" t="n"/>
      <c r="C760" s="65" t="n"/>
      <c r="D760" s="165">
        <f>Accounts!K760</f>
        <v/>
      </c>
      <c r="E760" s="166" t="n">
        <v>0.6</v>
      </c>
      <c r="F760" s="167">
        <f>Accounts!K760*E760</f>
        <v/>
      </c>
      <c r="G760" s="166" t="n">
        <v>0.4</v>
      </c>
      <c r="H760" s="167">
        <f>F760*G760</f>
        <v/>
      </c>
      <c r="I760" s="168">
        <f>if(or(eq(Accounts!J760,"No Valet"),eq(Accounts!J760,"Has Valet")), H760 * AVERAGE(Accounts!J$2:J$36),H760*Accounts!J760)</f>
        <v/>
      </c>
      <c r="J760" s="168">
        <f>iferror(I760*360,"")</f>
        <v/>
      </c>
      <c r="K760" s="168">
        <f>J760*0.1</f>
        <v/>
      </c>
    </row>
    <row r="761" ht="54.75" customHeight="1" s="211">
      <c r="A761" s="164">
        <f>Accounts!A761</f>
        <v/>
      </c>
      <c r="B761" s="12" t="n"/>
      <c r="C761" s="65" t="n"/>
      <c r="D761" s="165">
        <f>Accounts!K761</f>
        <v/>
      </c>
      <c r="E761" s="166" t="n">
        <v>0.6</v>
      </c>
      <c r="F761" s="167">
        <f>Accounts!K761*E761</f>
        <v/>
      </c>
      <c r="G761" s="166" t="n">
        <v>0.4</v>
      </c>
      <c r="H761" s="167">
        <f>F761*G761</f>
        <v/>
      </c>
      <c r="I761" s="168">
        <f>if(or(eq(Accounts!J761,"No Valet"),eq(Accounts!J761,"Has Valet")), H761 * AVERAGE(Accounts!J$2:J$36),H761*Accounts!J761)</f>
        <v/>
      </c>
      <c r="J761" s="168">
        <f>iferror(I761*360,"")</f>
        <v/>
      </c>
      <c r="K761" s="168">
        <f>J761*0.1</f>
        <v/>
      </c>
    </row>
    <row r="762" ht="54.75" customHeight="1" s="211">
      <c r="A762" s="164">
        <f>Accounts!A762</f>
        <v/>
      </c>
      <c r="B762" s="12" t="n"/>
      <c r="C762" s="65" t="n"/>
      <c r="D762" s="165">
        <f>Accounts!K762</f>
        <v/>
      </c>
      <c r="E762" s="166" t="n">
        <v>0.6</v>
      </c>
      <c r="F762" s="167">
        <f>Accounts!K762*E762</f>
        <v/>
      </c>
      <c r="G762" s="166" t="n">
        <v>0.4</v>
      </c>
      <c r="H762" s="167">
        <f>F762*G762</f>
        <v/>
      </c>
      <c r="I762" s="168">
        <f>if(or(eq(Accounts!J762,"No Valet"),eq(Accounts!J762,"Has Valet")), H762 * AVERAGE(Accounts!J$2:J$36),H762*Accounts!J762)</f>
        <v/>
      </c>
      <c r="J762" s="168">
        <f>iferror(I762*360,"")</f>
        <v/>
      </c>
      <c r="K762" s="168">
        <f>J762*0.1</f>
        <v/>
      </c>
    </row>
    <row r="763" ht="54.75" customHeight="1" s="211">
      <c r="A763" s="164">
        <f>Accounts!A763</f>
        <v/>
      </c>
      <c r="B763" s="12" t="n"/>
      <c r="C763" s="65" t="n"/>
      <c r="D763" s="165">
        <f>Accounts!K763</f>
        <v/>
      </c>
      <c r="E763" s="166" t="n">
        <v>0.6</v>
      </c>
      <c r="F763" s="167">
        <f>Accounts!K763*E763</f>
        <v/>
      </c>
      <c r="G763" s="166" t="n">
        <v>0.4</v>
      </c>
      <c r="H763" s="167">
        <f>F763*G763</f>
        <v/>
      </c>
      <c r="I763" s="168">
        <f>if(or(eq(Accounts!J763,"No Valet"),eq(Accounts!J763,"Has Valet")), H763 * AVERAGE(Accounts!J$2:J$36),H763*Accounts!J763)</f>
        <v/>
      </c>
      <c r="J763" s="168">
        <f>iferror(I763*360,"")</f>
        <v/>
      </c>
      <c r="K763" s="168">
        <f>J763*0.1</f>
        <v/>
      </c>
    </row>
    <row r="764" ht="54.75" customHeight="1" s="211">
      <c r="A764" s="164">
        <f>Accounts!A764</f>
        <v/>
      </c>
      <c r="B764" s="12" t="n"/>
      <c r="C764" s="65" t="n"/>
      <c r="D764" s="165">
        <f>Accounts!K764</f>
        <v/>
      </c>
      <c r="E764" s="166" t="n">
        <v>0.6</v>
      </c>
      <c r="F764" s="167">
        <f>Accounts!K764*E764</f>
        <v/>
      </c>
      <c r="G764" s="166" t="n">
        <v>0.4</v>
      </c>
      <c r="H764" s="167">
        <f>F764*G764</f>
        <v/>
      </c>
      <c r="I764" s="168">
        <f>if(or(eq(Accounts!J764,"No Valet"),eq(Accounts!J764,"Has Valet")), H764 * AVERAGE(Accounts!J$2:J$36),H764*Accounts!J764)</f>
        <v/>
      </c>
      <c r="J764" s="168">
        <f>iferror(I764*360,"")</f>
        <v/>
      </c>
      <c r="K764" s="168">
        <f>J764*0.1</f>
        <v/>
      </c>
    </row>
    <row r="765" ht="54.75" customHeight="1" s="211">
      <c r="A765" s="164">
        <f>Accounts!A765</f>
        <v/>
      </c>
      <c r="B765" s="12" t="n"/>
      <c r="C765" s="65" t="n"/>
      <c r="D765" s="165">
        <f>Accounts!K765</f>
        <v/>
      </c>
      <c r="E765" s="166" t="n">
        <v>0.6</v>
      </c>
      <c r="F765" s="167">
        <f>Accounts!K765*E765</f>
        <v/>
      </c>
      <c r="G765" s="166" t="n">
        <v>0.4</v>
      </c>
      <c r="H765" s="167">
        <f>F765*G765</f>
        <v/>
      </c>
      <c r="I765" s="168">
        <f>if(or(eq(Accounts!J765,"No Valet"),eq(Accounts!J765,"Has Valet")), H765 * AVERAGE(Accounts!J$2:J$36),H765*Accounts!J765)</f>
        <v/>
      </c>
      <c r="J765" s="168">
        <f>iferror(I765*360,"")</f>
        <v/>
      </c>
      <c r="K765" s="168">
        <f>J765*0.1</f>
        <v/>
      </c>
    </row>
    <row r="766" ht="54.75" customHeight="1" s="211">
      <c r="A766" s="164">
        <f>Accounts!A766</f>
        <v/>
      </c>
      <c r="B766" s="12" t="n"/>
      <c r="C766" s="65" t="n"/>
      <c r="D766" s="165">
        <f>Accounts!K766</f>
        <v/>
      </c>
      <c r="E766" s="166" t="n">
        <v>0.6</v>
      </c>
      <c r="F766" s="167">
        <f>Accounts!K766*E766</f>
        <v/>
      </c>
      <c r="G766" s="166" t="n">
        <v>0.4</v>
      </c>
      <c r="H766" s="167">
        <f>F766*G766</f>
        <v/>
      </c>
      <c r="I766" s="168">
        <f>if(or(eq(Accounts!J766,"No Valet"),eq(Accounts!J766,"Has Valet")), H766 * AVERAGE(Accounts!J$2:J$36),H766*Accounts!J766)</f>
        <v/>
      </c>
      <c r="J766" s="168">
        <f>iferror(I766*360,"")</f>
        <v/>
      </c>
      <c r="K766" s="168">
        <f>J766*0.1</f>
        <v/>
      </c>
    </row>
    <row r="767" ht="54.75" customHeight="1" s="211">
      <c r="A767" s="164">
        <f>Accounts!A767</f>
        <v/>
      </c>
      <c r="B767" s="12" t="n"/>
      <c r="C767" s="65" t="n"/>
      <c r="D767" s="165">
        <f>Accounts!K767</f>
        <v/>
      </c>
      <c r="E767" s="166" t="n">
        <v>0.6</v>
      </c>
      <c r="F767" s="167">
        <f>Accounts!K767*E767</f>
        <v/>
      </c>
      <c r="G767" s="166" t="n">
        <v>0.4</v>
      </c>
      <c r="H767" s="167">
        <f>F767*G767</f>
        <v/>
      </c>
      <c r="I767" s="168">
        <f>if(or(eq(Accounts!J767,"No Valet"),eq(Accounts!J767,"Has Valet")), H767 * AVERAGE(Accounts!J$2:J$36),H767*Accounts!J767)</f>
        <v/>
      </c>
      <c r="J767" s="168">
        <f>iferror(I767*360,"")</f>
        <v/>
      </c>
      <c r="K767" s="168">
        <f>J767*0.1</f>
        <v/>
      </c>
    </row>
    <row r="768" ht="54.75" customHeight="1" s="211">
      <c r="A768" s="164">
        <f>Accounts!A768</f>
        <v/>
      </c>
      <c r="B768" s="12" t="n"/>
      <c r="C768" s="65" t="n"/>
      <c r="D768" s="165">
        <f>Accounts!K768</f>
        <v/>
      </c>
      <c r="E768" s="166" t="n">
        <v>0.6</v>
      </c>
      <c r="F768" s="167">
        <f>Accounts!K768*E768</f>
        <v/>
      </c>
      <c r="G768" s="166" t="n">
        <v>0.4</v>
      </c>
      <c r="H768" s="167">
        <f>F768*G768</f>
        <v/>
      </c>
      <c r="I768" s="168">
        <f>if(or(eq(Accounts!J768,"No Valet"),eq(Accounts!J768,"Has Valet")), H768 * AVERAGE(Accounts!J$2:J$36),H768*Accounts!J768)</f>
        <v/>
      </c>
      <c r="J768" s="168">
        <f>iferror(I768*360,"")</f>
        <v/>
      </c>
      <c r="K768" s="168">
        <f>J768*0.1</f>
        <v/>
      </c>
    </row>
    <row r="769" ht="54.75" customHeight="1" s="211">
      <c r="A769" s="164">
        <f>Accounts!A769</f>
        <v/>
      </c>
      <c r="B769" s="12" t="n"/>
      <c r="C769" s="65" t="n"/>
      <c r="D769" s="165">
        <f>Accounts!K769</f>
        <v/>
      </c>
      <c r="E769" s="166" t="n">
        <v>0.6</v>
      </c>
      <c r="F769" s="167">
        <f>Accounts!K769*E769</f>
        <v/>
      </c>
      <c r="G769" s="166" t="n">
        <v>0.4</v>
      </c>
      <c r="H769" s="167">
        <f>F769*G769</f>
        <v/>
      </c>
      <c r="I769" s="168">
        <f>if(or(eq(Accounts!J769,"No Valet"),eq(Accounts!J769,"Has Valet")), H769 * AVERAGE(Accounts!J$2:J$36),H769*Accounts!J769)</f>
        <v/>
      </c>
      <c r="J769" s="168">
        <f>iferror(I769*360,"")</f>
        <v/>
      </c>
      <c r="K769" s="168">
        <f>J769*0.1</f>
        <v/>
      </c>
    </row>
    <row r="770" ht="54.75" customHeight="1" s="211">
      <c r="A770" s="164">
        <f>Accounts!A770</f>
        <v/>
      </c>
      <c r="B770" s="12" t="n"/>
      <c r="C770" s="65" t="n"/>
      <c r="D770" s="165">
        <f>Accounts!K770</f>
        <v/>
      </c>
      <c r="E770" s="166" t="n">
        <v>0.6</v>
      </c>
      <c r="F770" s="167">
        <f>Accounts!K770*E770</f>
        <v/>
      </c>
      <c r="G770" s="166" t="n">
        <v>0.4</v>
      </c>
      <c r="H770" s="167">
        <f>F770*G770</f>
        <v/>
      </c>
      <c r="I770" s="168">
        <f>if(or(eq(Accounts!J770,"No Valet"),eq(Accounts!J770,"Has Valet")), H770 * AVERAGE(Accounts!J$2:J$36),H770*Accounts!J770)</f>
        <v/>
      </c>
      <c r="J770" s="168">
        <f>iferror(I770*360,"")</f>
        <v/>
      </c>
      <c r="K770" s="168">
        <f>J770*0.1</f>
        <v/>
      </c>
    </row>
    <row r="771" ht="54.75" customHeight="1" s="211">
      <c r="A771" s="164">
        <f>Accounts!A771</f>
        <v/>
      </c>
      <c r="B771" s="12" t="n"/>
      <c r="C771" s="65" t="n"/>
      <c r="D771" s="165">
        <f>Accounts!K771</f>
        <v/>
      </c>
      <c r="E771" s="166" t="n">
        <v>0.6</v>
      </c>
      <c r="F771" s="167">
        <f>Accounts!K771*E771</f>
        <v/>
      </c>
      <c r="G771" s="166" t="n">
        <v>0.4</v>
      </c>
      <c r="H771" s="167">
        <f>F771*G771</f>
        <v/>
      </c>
      <c r="I771" s="168">
        <f>if(or(eq(Accounts!J771,"No Valet"),eq(Accounts!J771,"Has Valet")), H771 * AVERAGE(Accounts!J$2:J$36),H771*Accounts!J771)</f>
        <v/>
      </c>
      <c r="J771" s="168">
        <f>iferror(I771*360,"")</f>
        <v/>
      </c>
      <c r="K771" s="168">
        <f>J771*0.1</f>
        <v/>
      </c>
    </row>
    <row r="772" ht="54.75" customHeight="1" s="211">
      <c r="A772" s="164">
        <f>Accounts!A772</f>
        <v/>
      </c>
      <c r="B772" s="12" t="n"/>
      <c r="C772" s="65" t="n"/>
      <c r="D772" s="165">
        <f>Accounts!K772</f>
        <v/>
      </c>
      <c r="E772" s="166" t="n">
        <v>0.6</v>
      </c>
      <c r="F772" s="167">
        <f>Accounts!K772*E772</f>
        <v/>
      </c>
      <c r="G772" s="166" t="n">
        <v>0.4</v>
      </c>
      <c r="H772" s="167">
        <f>F772*G772</f>
        <v/>
      </c>
      <c r="I772" s="168">
        <f>if(or(eq(Accounts!J772,"No Valet"),eq(Accounts!J772,"Has Valet")), H772 * AVERAGE(Accounts!J$2:J$36),H772*Accounts!J772)</f>
        <v/>
      </c>
      <c r="J772" s="168">
        <f>iferror(I772*360,"")</f>
        <v/>
      </c>
      <c r="K772" s="168">
        <f>J772*0.1</f>
        <v/>
      </c>
    </row>
    <row r="773" ht="54.75" customHeight="1" s="211">
      <c r="A773" s="164">
        <f>Accounts!A773</f>
        <v/>
      </c>
      <c r="B773" s="12" t="n"/>
      <c r="C773" s="65" t="n"/>
      <c r="D773" s="165">
        <f>Accounts!K773</f>
        <v/>
      </c>
      <c r="E773" s="166" t="n">
        <v>0.6</v>
      </c>
      <c r="F773" s="167">
        <f>Accounts!K773*E773</f>
        <v/>
      </c>
      <c r="G773" s="166" t="n">
        <v>0.4</v>
      </c>
      <c r="H773" s="167">
        <f>F773*G773</f>
        <v/>
      </c>
      <c r="I773" s="168">
        <f>if(or(eq(Accounts!J773,"No Valet"),eq(Accounts!J773,"Has Valet")), H773 * AVERAGE(Accounts!J$2:J$36),H773*Accounts!J773)</f>
        <v/>
      </c>
      <c r="J773" s="168">
        <f>iferror(I773*360,"")</f>
        <v/>
      </c>
      <c r="K773" s="168">
        <f>J773*0.1</f>
        <v/>
      </c>
    </row>
    <row r="774" ht="54.75" customHeight="1" s="211">
      <c r="A774" s="164">
        <f>Accounts!A774</f>
        <v/>
      </c>
      <c r="B774" s="12" t="n"/>
      <c r="C774" s="65" t="n"/>
      <c r="D774" s="165">
        <f>Accounts!K774</f>
        <v/>
      </c>
      <c r="E774" s="166" t="n">
        <v>0.6</v>
      </c>
      <c r="F774" s="167">
        <f>Accounts!K774*E774</f>
        <v/>
      </c>
      <c r="G774" s="166" t="n">
        <v>0.4</v>
      </c>
      <c r="H774" s="167">
        <f>F774*G774</f>
        <v/>
      </c>
      <c r="I774" s="168">
        <f>if(or(eq(Accounts!J774,"No Valet"),eq(Accounts!J774,"Has Valet")), H774 * AVERAGE(Accounts!J$2:J$36),H774*Accounts!J774)</f>
        <v/>
      </c>
      <c r="J774" s="168">
        <f>iferror(I774*360,"")</f>
        <v/>
      </c>
      <c r="K774" s="168">
        <f>J774*0.1</f>
        <v/>
      </c>
    </row>
    <row r="775" ht="54.75" customHeight="1" s="211">
      <c r="A775" s="164">
        <f>Accounts!A775</f>
        <v/>
      </c>
      <c r="B775" s="12" t="n"/>
      <c r="C775" s="65" t="n"/>
      <c r="D775" s="165">
        <f>Accounts!K775</f>
        <v/>
      </c>
      <c r="E775" s="166" t="n">
        <v>0.6</v>
      </c>
      <c r="F775" s="167">
        <f>Accounts!K775*E775</f>
        <v/>
      </c>
      <c r="G775" s="166" t="n">
        <v>0.4</v>
      </c>
      <c r="H775" s="167">
        <f>F775*G775</f>
        <v/>
      </c>
      <c r="I775" s="168">
        <f>if(or(eq(Accounts!J775,"No Valet"),eq(Accounts!J775,"Has Valet")), H775 * AVERAGE(Accounts!J$2:J$36),H775*Accounts!J775)</f>
        <v/>
      </c>
      <c r="J775" s="168">
        <f>iferror(I775*360,"")</f>
        <v/>
      </c>
      <c r="K775" s="168">
        <f>J775*0.1</f>
        <v/>
      </c>
    </row>
    <row r="776" ht="54.75" customHeight="1" s="211">
      <c r="A776" s="164">
        <f>Accounts!A776</f>
        <v/>
      </c>
      <c r="B776" s="12" t="n"/>
      <c r="C776" s="65" t="n"/>
      <c r="D776" s="165">
        <f>Accounts!K776</f>
        <v/>
      </c>
      <c r="E776" s="166" t="n">
        <v>0.6</v>
      </c>
      <c r="F776" s="167">
        <f>Accounts!K776*E776</f>
        <v/>
      </c>
      <c r="G776" s="166" t="n">
        <v>0.4</v>
      </c>
      <c r="H776" s="167">
        <f>F776*G776</f>
        <v/>
      </c>
      <c r="I776" s="168">
        <f>if(or(eq(Accounts!J776,"No Valet"),eq(Accounts!J776,"Has Valet")), H776 * AVERAGE(Accounts!J$2:J$36),H776*Accounts!J776)</f>
        <v/>
      </c>
      <c r="J776" s="168">
        <f>iferror(I776*360,"")</f>
        <v/>
      </c>
      <c r="K776" s="168">
        <f>J776*0.1</f>
        <v/>
      </c>
    </row>
    <row r="777" ht="54.75" customHeight="1" s="211">
      <c r="A777" s="164">
        <f>Accounts!A777</f>
        <v/>
      </c>
      <c r="B777" s="12" t="n"/>
      <c r="C777" s="65" t="n"/>
      <c r="D777" s="165">
        <f>Accounts!K777</f>
        <v/>
      </c>
      <c r="E777" s="166" t="n">
        <v>0.6</v>
      </c>
      <c r="F777" s="167">
        <f>Accounts!K777*E777</f>
        <v/>
      </c>
      <c r="G777" s="166" t="n">
        <v>0.4</v>
      </c>
      <c r="H777" s="167">
        <f>F777*G777</f>
        <v/>
      </c>
      <c r="I777" s="168">
        <f>if(or(eq(Accounts!J777,"No Valet"),eq(Accounts!J777,"Has Valet")), H777 * AVERAGE(Accounts!J$2:J$36),H777*Accounts!J777)</f>
        <v/>
      </c>
      <c r="J777" s="168">
        <f>iferror(I777*360,"")</f>
        <v/>
      </c>
      <c r="K777" s="168">
        <f>J777*0.1</f>
        <v/>
      </c>
    </row>
    <row r="778" ht="54.75" customHeight="1" s="211">
      <c r="A778" s="164">
        <f>Accounts!A778</f>
        <v/>
      </c>
      <c r="B778" s="12" t="n"/>
      <c r="C778" s="65" t="n"/>
      <c r="D778" s="165">
        <f>Accounts!K778</f>
        <v/>
      </c>
      <c r="E778" s="166" t="n">
        <v>0.6</v>
      </c>
      <c r="F778" s="167">
        <f>Accounts!K778*E778</f>
        <v/>
      </c>
      <c r="G778" s="166" t="n">
        <v>0.4</v>
      </c>
      <c r="H778" s="167">
        <f>F778*G778</f>
        <v/>
      </c>
      <c r="I778" s="168">
        <f>if(or(eq(Accounts!J778,"No Valet"),eq(Accounts!J778,"Has Valet")), H778 * AVERAGE(Accounts!J$2:J$36),H778*Accounts!J778)</f>
        <v/>
      </c>
      <c r="J778" s="168">
        <f>iferror(I778*360,"")</f>
        <v/>
      </c>
      <c r="K778" s="168">
        <f>J778*0.1</f>
        <v/>
      </c>
    </row>
    <row r="779" ht="54.75" customHeight="1" s="211">
      <c r="A779" s="164">
        <f>Accounts!A779</f>
        <v/>
      </c>
      <c r="B779" s="12" t="n"/>
      <c r="C779" s="65" t="n"/>
      <c r="D779" s="165">
        <f>Accounts!K779</f>
        <v/>
      </c>
      <c r="E779" s="166" t="n">
        <v>0.6</v>
      </c>
      <c r="F779" s="167">
        <f>Accounts!K779*E779</f>
        <v/>
      </c>
      <c r="G779" s="166" t="n">
        <v>0.4</v>
      </c>
      <c r="H779" s="167">
        <f>F779*G779</f>
        <v/>
      </c>
      <c r="I779" s="168">
        <f>if(or(eq(Accounts!J779,"No Valet"),eq(Accounts!J779,"Has Valet")), H779 * AVERAGE(Accounts!J$2:J$36),H779*Accounts!J779)</f>
        <v/>
      </c>
      <c r="J779" s="168">
        <f>iferror(I779*360,"")</f>
        <v/>
      </c>
      <c r="K779" s="168">
        <f>J779*0.1</f>
        <v/>
      </c>
    </row>
    <row r="780" ht="54.75" customHeight="1" s="211">
      <c r="A780" s="164">
        <f>Accounts!A780</f>
        <v/>
      </c>
      <c r="B780" s="12" t="n"/>
      <c r="C780" s="65" t="n"/>
      <c r="D780" s="165">
        <f>Accounts!K780</f>
        <v/>
      </c>
      <c r="E780" s="166" t="n">
        <v>0.6</v>
      </c>
      <c r="F780" s="167">
        <f>Accounts!K780*E780</f>
        <v/>
      </c>
      <c r="G780" s="166" t="n">
        <v>0.4</v>
      </c>
      <c r="H780" s="167">
        <f>F780*G780</f>
        <v/>
      </c>
      <c r="I780" s="168">
        <f>if(or(eq(Accounts!J780,"No Valet"),eq(Accounts!J780,"Has Valet")), H780 * AVERAGE(Accounts!J$2:J$36),H780*Accounts!J780)</f>
        <v/>
      </c>
      <c r="J780" s="168">
        <f>iferror(I780*360,"")</f>
        <v/>
      </c>
      <c r="K780" s="168">
        <f>J780*0.1</f>
        <v/>
      </c>
    </row>
    <row r="781" ht="54.75" customHeight="1" s="211">
      <c r="A781" s="164">
        <f>Accounts!A781</f>
        <v/>
      </c>
      <c r="B781" s="12" t="n"/>
      <c r="C781" s="65" t="n"/>
      <c r="D781" s="165">
        <f>Accounts!K781</f>
        <v/>
      </c>
      <c r="E781" s="166" t="n">
        <v>0.6</v>
      </c>
      <c r="F781" s="167">
        <f>Accounts!K781*E781</f>
        <v/>
      </c>
      <c r="G781" s="166" t="n">
        <v>0.4</v>
      </c>
      <c r="H781" s="167">
        <f>F781*G781</f>
        <v/>
      </c>
      <c r="I781" s="168">
        <f>if(or(eq(Accounts!J781,"No Valet"),eq(Accounts!J781,"Has Valet")), H781 * AVERAGE(Accounts!J$2:J$36),H781*Accounts!J781)</f>
        <v/>
      </c>
      <c r="J781" s="168">
        <f>iferror(I781*360,"")</f>
        <v/>
      </c>
      <c r="K781" s="168">
        <f>J781*0.1</f>
        <v/>
      </c>
    </row>
    <row r="782" ht="54.75" customHeight="1" s="211">
      <c r="A782" s="164">
        <f>Accounts!A782</f>
        <v/>
      </c>
      <c r="B782" s="12" t="n"/>
      <c r="C782" s="65" t="n"/>
      <c r="D782" s="165">
        <f>Accounts!K782</f>
        <v/>
      </c>
      <c r="E782" s="166" t="n">
        <v>0.6</v>
      </c>
      <c r="F782" s="167">
        <f>Accounts!K782*E782</f>
        <v/>
      </c>
      <c r="G782" s="166" t="n">
        <v>0.4</v>
      </c>
      <c r="H782" s="167">
        <f>F782*G782</f>
        <v/>
      </c>
      <c r="I782" s="168">
        <f>if(or(eq(Accounts!J782,"No Valet"),eq(Accounts!J782,"Has Valet")), H782 * AVERAGE(Accounts!J$2:J$36),H782*Accounts!J782)</f>
        <v/>
      </c>
      <c r="J782" s="168">
        <f>iferror(I782*360,"")</f>
        <v/>
      </c>
      <c r="K782" s="168">
        <f>J782*0.1</f>
        <v/>
      </c>
    </row>
    <row r="783" ht="54.75" customHeight="1" s="211">
      <c r="A783" s="164">
        <f>Accounts!A783</f>
        <v/>
      </c>
      <c r="B783" s="12" t="n"/>
      <c r="C783" s="65" t="n"/>
      <c r="D783" s="165">
        <f>Accounts!K783</f>
        <v/>
      </c>
      <c r="E783" s="166" t="n">
        <v>0.6</v>
      </c>
      <c r="F783" s="167">
        <f>Accounts!K783*E783</f>
        <v/>
      </c>
      <c r="G783" s="166" t="n">
        <v>0.4</v>
      </c>
      <c r="H783" s="167">
        <f>F783*G783</f>
        <v/>
      </c>
      <c r="I783" s="168">
        <f>if(or(eq(Accounts!J783,"No Valet"),eq(Accounts!J783,"Has Valet")), H783 * AVERAGE(Accounts!J$2:J$36),H783*Accounts!J783)</f>
        <v/>
      </c>
      <c r="J783" s="168">
        <f>iferror(I783*360,"")</f>
        <v/>
      </c>
      <c r="K783" s="168">
        <f>J783*0.1</f>
        <v/>
      </c>
    </row>
    <row r="784" ht="54.75" customHeight="1" s="211">
      <c r="A784" s="164">
        <f>Accounts!A784</f>
        <v/>
      </c>
      <c r="B784" s="12" t="n"/>
      <c r="C784" s="65" t="n"/>
      <c r="D784" s="165">
        <f>Accounts!K784</f>
        <v/>
      </c>
      <c r="E784" s="166" t="n">
        <v>0.6</v>
      </c>
      <c r="F784" s="167">
        <f>Accounts!K784*E784</f>
        <v/>
      </c>
      <c r="G784" s="166" t="n">
        <v>0.4</v>
      </c>
      <c r="H784" s="167">
        <f>F784*G784</f>
        <v/>
      </c>
      <c r="I784" s="168">
        <f>if(or(eq(Accounts!J784,"No Valet"),eq(Accounts!J784,"Has Valet")), H784 * AVERAGE(Accounts!J$2:J$36),H784*Accounts!J784)</f>
        <v/>
      </c>
      <c r="J784" s="168">
        <f>iferror(I784*360,"")</f>
        <v/>
      </c>
      <c r="K784" s="168">
        <f>J784*0.1</f>
        <v/>
      </c>
    </row>
    <row r="785" ht="54.75" customHeight="1" s="211">
      <c r="A785" s="164">
        <f>Accounts!A785</f>
        <v/>
      </c>
      <c r="B785" s="12" t="n"/>
      <c r="C785" s="65" t="n"/>
      <c r="D785" s="165">
        <f>Accounts!K785</f>
        <v/>
      </c>
      <c r="E785" s="166" t="n">
        <v>0.6</v>
      </c>
      <c r="F785" s="167">
        <f>Accounts!K785*E785</f>
        <v/>
      </c>
      <c r="G785" s="166" t="n">
        <v>0.4</v>
      </c>
      <c r="H785" s="167">
        <f>F785*G785</f>
        <v/>
      </c>
      <c r="I785" s="168">
        <f>if(or(eq(Accounts!J785,"No Valet"),eq(Accounts!J785,"Has Valet")), H785 * AVERAGE(Accounts!J$2:J$36),H785*Accounts!J785)</f>
        <v/>
      </c>
      <c r="J785" s="168">
        <f>iferror(I785*360,"")</f>
        <v/>
      </c>
      <c r="K785" s="168">
        <f>J785*0.1</f>
        <v/>
      </c>
    </row>
    <row r="786" ht="54.75" customHeight="1" s="211">
      <c r="A786" s="164">
        <f>Accounts!A786</f>
        <v/>
      </c>
      <c r="B786" s="12" t="n"/>
      <c r="C786" s="65" t="n"/>
      <c r="D786" s="165">
        <f>Accounts!K786</f>
        <v/>
      </c>
      <c r="E786" s="166" t="n">
        <v>0.6</v>
      </c>
      <c r="F786" s="167">
        <f>Accounts!K786*E786</f>
        <v/>
      </c>
      <c r="G786" s="166" t="n">
        <v>0.4</v>
      </c>
      <c r="H786" s="167">
        <f>F786*G786</f>
        <v/>
      </c>
      <c r="I786" s="168">
        <f>if(or(eq(Accounts!J786,"No Valet"),eq(Accounts!J786,"Has Valet")), H786 * AVERAGE(Accounts!J$2:J$36),H786*Accounts!J786)</f>
        <v/>
      </c>
      <c r="J786" s="168">
        <f>iferror(I786*360,"")</f>
        <v/>
      </c>
      <c r="K786" s="168">
        <f>J786*0.1</f>
        <v/>
      </c>
    </row>
    <row r="787" ht="54.75" customHeight="1" s="211">
      <c r="A787" s="164">
        <f>Accounts!A787</f>
        <v/>
      </c>
      <c r="B787" s="12" t="n"/>
      <c r="C787" s="65" t="n"/>
      <c r="D787" s="165">
        <f>Accounts!K787</f>
        <v/>
      </c>
      <c r="E787" s="166" t="n">
        <v>0.6</v>
      </c>
      <c r="F787" s="167">
        <f>Accounts!K787*E787</f>
        <v/>
      </c>
      <c r="G787" s="166" t="n">
        <v>0.4</v>
      </c>
      <c r="H787" s="167">
        <f>F787*G787</f>
        <v/>
      </c>
      <c r="I787" s="168">
        <f>if(or(eq(Accounts!J787,"No Valet"),eq(Accounts!J787,"Has Valet")), H787 * AVERAGE(Accounts!J$2:J$36),H787*Accounts!J787)</f>
        <v/>
      </c>
      <c r="J787" s="168">
        <f>iferror(I787*360,"")</f>
        <v/>
      </c>
      <c r="K787" s="168">
        <f>J787*0.1</f>
        <v/>
      </c>
    </row>
    <row r="788" ht="54.75" customHeight="1" s="211">
      <c r="A788" s="164">
        <f>Accounts!A788</f>
        <v/>
      </c>
      <c r="B788" s="12" t="n"/>
      <c r="C788" s="65" t="n"/>
      <c r="D788" s="165">
        <f>Accounts!K788</f>
        <v/>
      </c>
      <c r="E788" s="166" t="n">
        <v>0.6</v>
      </c>
      <c r="F788" s="167">
        <f>Accounts!K788*E788</f>
        <v/>
      </c>
      <c r="G788" s="166" t="n">
        <v>0.4</v>
      </c>
      <c r="H788" s="167">
        <f>F788*G788</f>
        <v/>
      </c>
      <c r="I788" s="168">
        <f>if(or(eq(Accounts!J788,"No Valet"),eq(Accounts!J788,"Has Valet")), H788 * AVERAGE(Accounts!J$2:J$36),H788*Accounts!J788)</f>
        <v/>
      </c>
      <c r="J788" s="168">
        <f>iferror(I788*360,"")</f>
        <v/>
      </c>
      <c r="K788" s="168">
        <f>J788*0.1</f>
        <v/>
      </c>
    </row>
    <row r="789" ht="54.75" customHeight="1" s="211">
      <c r="A789" s="164">
        <f>Accounts!A789</f>
        <v/>
      </c>
      <c r="B789" s="12" t="n"/>
      <c r="C789" s="65" t="n"/>
      <c r="D789" s="165">
        <f>Accounts!K789</f>
        <v/>
      </c>
      <c r="E789" s="166" t="n">
        <v>0.6</v>
      </c>
      <c r="F789" s="167">
        <f>Accounts!K789*E789</f>
        <v/>
      </c>
      <c r="G789" s="166" t="n">
        <v>0.4</v>
      </c>
      <c r="H789" s="167">
        <f>F789*G789</f>
        <v/>
      </c>
      <c r="I789" s="168">
        <f>if(or(eq(Accounts!J789,"No Valet"),eq(Accounts!J789,"Has Valet")), H789 * AVERAGE(Accounts!J$2:J$36),H789*Accounts!J789)</f>
        <v/>
      </c>
      <c r="J789" s="168">
        <f>iferror(I789*360,"")</f>
        <v/>
      </c>
      <c r="K789" s="168">
        <f>J789*0.1</f>
        <v/>
      </c>
    </row>
    <row r="790" ht="54.75" customHeight="1" s="211">
      <c r="A790" s="164">
        <f>Accounts!A790</f>
        <v/>
      </c>
      <c r="B790" s="12" t="n"/>
      <c r="C790" s="65" t="n"/>
      <c r="D790" s="165">
        <f>Accounts!K790</f>
        <v/>
      </c>
      <c r="E790" s="166" t="n">
        <v>0.6</v>
      </c>
      <c r="F790" s="167">
        <f>Accounts!K790*E790</f>
        <v/>
      </c>
      <c r="G790" s="166" t="n">
        <v>0.4</v>
      </c>
      <c r="H790" s="167">
        <f>F790*G790</f>
        <v/>
      </c>
      <c r="I790" s="168">
        <f>if(or(eq(Accounts!J790,"No Valet"),eq(Accounts!J790,"Has Valet")), H790 * AVERAGE(Accounts!J$2:J$36),H790*Accounts!J790)</f>
        <v/>
      </c>
      <c r="J790" s="168">
        <f>iferror(I790*360,"")</f>
        <v/>
      </c>
      <c r="K790" s="168">
        <f>J790*0.1</f>
        <v/>
      </c>
    </row>
    <row r="791" ht="54.75" customHeight="1" s="211">
      <c r="A791" s="164">
        <f>Accounts!A791</f>
        <v/>
      </c>
      <c r="B791" s="12" t="n"/>
      <c r="C791" s="65" t="n"/>
      <c r="D791" s="165">
        <f>Accounts!K791</f>
        <v/>
      </c>
      <c r="E791" s="166" t="n">
        <v>0.6</v>
      </c>
      <c r="F791" s="167">
        <f>Accounts!K791*E791</f>
        <v/>
      </c>
      <c r="G791" s="166" t="n">
        <v>0.4</v>
      </c>
      <c r="H791" s="167">
        <f>F791*G791</f>
        <v/>
      </c>
      <c r="I791" s="168">
        <f>if(or(eq(Accounts!J791,"No Valet"),eq(Accounts!J791,"Has Valet")), H791 * AVERAGE(Accounts!J$2:J$36),H791*Accounts!J791)</f>
        <v/>
      </c>
      <c r="J791" s="168">
        <f>iferror(I791*360,"")</f>
        <v/>
      </c>
      <c r="K791" s="168">
        <f>J791*0.1</f>
        <v/>
      </c>
    </row>
    <row r="792" ht="54.75" customHeight="1" s="211">
      <c r="A792" s="164">
        <f>Accounts!A792</f>
        <v/>
      </c>
      <c r="B792" s="12" t="n"/>
      <c r="C792" s="65" t="n"/>
      <c r="D792" s="165">
        <f>Accounts!K792</f>
        <v/>
      </c>
      <c r="E792" s="166" t="n">
        <v>0.6</v>
      </c>
      <c r="F792" s="167">
        <f>Accounts!K792*E792</f>
        <v/>
      </c>
      <c r="G792" s="166" t="n">
        <v>0.4</v>
      </c>
      <c r="H792" s="167">
        <f>F792*G792</f>
        <v/>
      </c>
      <c r="I792" s="168">
        <f>if(or(eq(Accounts!J792,"No Valet"),eq(Accounts!J792,"Has Valet")), H792 * AVERAGE(Accounts!J$2:J$36),H792*Accounts!J792)</f>
        <v/>
      </c>
      <c r="J792" s="168">
        <f>iferror(I792*360,"")</f>
        <v/>
      </c>
      <c r="K792" s="168">
        <f>J792*0.1</f>
        <v/>
      </c>
    </row>
    <row r="793" ht="54.75" customHeight="1" s="211">
      <c r="A793" s="164">
        <f>Accounts!A793</f>
        <v/>
      </c>
      <c r="B793" s="12" t="n"/>
      <c r="C793" s="65" t="n"/>
      <c r="D793" s="165">
        <f>Accounts!K793</f>
        <v/>
      </c>
      <c r="E793" s="166" t="n">
        <v>0.6</v>
      </c>
      <c r="F793" s="167">
        <f>Accounts!K793*E793</f>
        <v/>
      </c>
      <c r="G793" s="166" t="n">
        <v>0.4</v>
      </c>
      <c r="H793" s="167">
        <f>F793*G793</f>
        <v/>
      </c>
      <c r="I793" s="168">
        <f>if(or(eq(Accounts!J793,"No Valet"),eq(Accounts!J793,"Has Valet")), H793 * AVERAGE(Accounts!J$2:J$36),H793*Accounts!J793)</f>
        <v/>
      </c>
      <c r="J793" s="168">
        <f>iferror(I793*360,"")</f>
        <v/>
      </c>
      <c r="K793" s="168">
        <f>J793*0.1</f>
        <v/>
      </c>
    </row>
    <row r="794" ht="54.75" customHeight="1" s="211">
      <c r="A794" s="164">
        <f>Accounts!A794</f>
        <v/>
      </c>
      <c r="B794" s="12" t="n"/>
      <c r="C794" s="65" t="n"/>
      <c r="D794" s="165">
        <f>Accounts!K794</f>
        <v/>
      </c>
      <c r="E794" s="166" t="n">
        <v>0.6</v>
      </c>
      <c r="F794" s="167">
        <f>Accounts!K794*E794</f>
        <v/>
      </c>
      <c r="G794" s="166" t="n">
        <v>0.4</v>
      </c>
      <c r="H794" s="167">
        <f>F794*G794</f>
        <v/>
      </c>
      <c r="I794" s="168">
        <f>if(or(eq(Accounts!J794,"No Valet"),eq(Accounts!J794,"Has Valet")), H794 * AVERAGE(Accounts!J$2:J$36),H794*Accounts!J794)</f>
        <v/>
      </c>
      <c r="J794" s="168">
        <f>iferror(I794*360,"")</f>
        <v/>
      </c>
      <c r="K794" s="168">
        <f>J794*0.1</f>
        <v/>
      </c>
    </row>
    <row r="795" ht="54.75" customHeight="1" s="211">
      <c r="A795" s="164">
        <f>Accounts!A795</f>
        <v/>
      </c>
      <c r="B795" s="12" t="n"/>
      <c r="C795" s="65" t="n"/>
      <c r="D795" s="165">
        <f>Accounts!K795</f>
        <v/>
      </c>
      <c r="E795" s="166" t="n">
        <v>0.6</v>
      </c>
      <c r="F795" s="167">
        <f>Accounts!K795*E795</f>
        <v/>
      </c>
      <c r="G795" s="166" t="n">
        <v>0.4</v>
      </c>
      <c r="H795" s="167">
        <f>F795*G795</f>
        <v/>
      </c>
      <c r="I795" s="168">
        <f>if(or(eq(Accounts!J795,"No Valet"),eq(Accounts!J795,"Has Valet")), H795 * AVERAGE(Accounts!J$2:J$36),H795*Accounts!J795)</f>
        <v/>
      </c>
      <c r="J795" s="168">
        <f>iferror(I795*360,"")</f>
        <v/>
      </c>
      <c r="K795" s="168">
        <f>J795*0.1</f>
        <v/>
      </c>
    </row>
    <row r="796" ht="54.75" customHeight="1" s="211">
      <c r="A796" s="164">
        <f>Accounts!A796</f>
        <v/>
      </c>
      <c r="B796" s="12" t="n"/>
      <c r="C796" s="65" t="n"/>
      <c r="D796" s="165">
        <f>Accounts!K796</f>
        <v/>
      </c>
      <c r="E796" s="166" t="n">
        <v>0.6</v>
      </c>
      <c r="F796" s="167">
        <f>Accounts!K796*E796</f>
        <v/>
      </c>
      <c r="G796" s="166" t="n">
        <v>0.4</v>
      </c>
      <c r="H796" s="167">
        <f>F796*G796</f>
        <v/>
      </c>
      <c r="I796" s="168">
        <f>if(or(eq(Accounts!J796,"No Valet"),eq(Accounts!J796,"Has Valet")), H796 * AVERAGE(Accounts!J$2:J$36),H796*Accounts!J796)</f>
        <v/>
      </c>
      <c r="J796" s="168">
        <f>iferror(I796*360,"")</f>
        <v/>
      </c>
      <c r="K796" s="168">
        <f>J796*0.1</f>
        <v/>
      </c>
    </row>
    <row r="797" ht="54.75" customHeight="1" s="211">
      <c r="A797" s="164">
        <f>Accounts!A797</f>
        <v/>
      </c>
      <c r="B797" s="12" t="n"/>
      <c r="C797" s="65" t="n"/>
      <c r="D797" s="165">
        <f>Accounts!K797</f>
        <v/>
      </c>
      <c r="E797" s="166" t="n">
        <v>0.6</v>
      </c>
      <c r="F797" s="167">
        <f>Accounts!K797*E797</f>
        <v/>
      </c>
      <c r="G797" s="166" t="n">
        <v>0.4</v>
      </c>
      <c r="H797" s="167">
        <f>F797*G797</f>
        <v/>
      </c>
      <c r="I797" s="168">
        <f>if(or(eq(Accounts!J797,"No Valet"),eq(Accounts!J797,"Has Valet")), H797 * AVERAGE(Accounts!J$2:J$36),H797*Accounts!J797)</f>
        <v/>
      </c>
      <c r="J797" s="168">
        <f>iferror(I797*360,"")</f>
        <v/>
      </c>
      <c r="K797" s="168">
        <f>J797*0.1</f>
        <v/>
      </c>
    </row>
    <row r="798" ht="54.75" customHeight="1" s="211">
      <c r="A798" s="164">
        <f>Accounts!A798</f>
        <v/>
      </c>
      <c r="B798" s="12" t="n"/>
      <c r="C798" s="65" t="n"/>
      <c r="D798" s="165">
        <f>Accounts!K798</f>
        <v/>
      </c>
      <c r="E798" s="166" t="n">
        <v>0.6</v>
      </c>
      <c r="F798" s="167">
        <f>Accounts!K798*E798</f>
        <v/>
      </c>
      <c r="G798" s="166" t="n">
        <v>0.4</v>
      </c>
      <c r="H798" s="167">
        <f>F798*G798</f>
        <v/>
      </c>
      <c r="I798" s="168">
        <f>if(or(eq(Accounts!J798,"No Valet"),eq(Accounts!J798,"Has Valet")), H798 * AVERAGE(Accounts!J$2:J$36),H798*Accounts!J798)</f>
        <v/>
      </c>
      <c r="J798" s="168">
        <f>iferror(I798*360,"")</f>
        <v/>
      </c>
      <c r="K798" s="168">
        <f>J798*0.1</f>
        <v/>
      </c>
    </row>
    <row r="799" ht="54.75" customHeight="1" s="211">
      <c r="A799" s="164">
        <f>Accounts!A799</f>
        <v/>
      </c>
      <c r="B799" s="12" t="n"/>
      <c r="C799" s="65" t="n"/>
      <c r="D799" s="165">
        <f>Accounts!K799</f>
        <v/>
      </c>
      <c r="E799" s="166" t="n">
        <v>0.6</v>
      </c>
      <c r="F799" s="167">
        <f>Accounts!K799*E799</f>
        <v/>
      </c>
      <c r="G799" s="166" t="n">
        <v>0.4</v>
      </c>
      <c r="H799" s="167">
        <f>F799*G799</f>
        <v/>
      </c>
      <c r="I799" s="168">
        <f>if(or(eq(Accounts!J799,"No Valet"),eq(Accounts!J799,"Has Valet")), H799 * AVERAGE(Accounts!J$2:J$36),H799*Accounts!J799)</f>
        <v/>
      </c>
      <c r="J799" s="168">
        <f>iferror(I799*360,"")</f>
        <v/>
      </c>
      <c r="K799" s="168">
        <f>J799*0.1</f>
        <v/>
      </c>
    </row>
    <row r="800" ht="54.75" customHeight="1" s="211">
      <c r="A800" s="164">
        <f>Accounts!A800</f>
        <v/>
      </c>
      <c r="B800" s="12" t="n"/>
      <c r="C800" s="65" t="n"/>
      <c r="D800" s="165">
        <f>Accounts!K800</f>
        <v/>
      </c>
      <c r="E800" s="166" t="n">
        <v>0.6</v>
      </c>
      <c r="F800" s="167">
        <f>Accounts!K800*E800</f>
        <v/>
      </c>
      <c r="G800" s="166" t="n">
        <v>0.4</v>
      </c>
      <c r="H800" s="167">
        <f>F800*G800</f>
        <v/>
      </c>
      <c r="I800" s="168">
        <f>if(or(eq(Accounts!J800,"No Valet"),eq(Accounts!J800,"Has Valet")), H800 * AVERAGE(Accounts!J$2:J$36),H800*Accounts!J800)</f>
        <v/>
      </c>
      <c r="J800" s="168">
        <f>iferror(I800*360,"")</f>
        <v/>
      </c>
      <c r="K800" s="168">
        <f>J800*0.1</f>
        <v/>
      </c>
    </row>
    <row r="801" ht="54.75" customHeight="1" s="211">
      <c r="A801" s="164">
        <f>Accounts!A801</f>
        <v/>
      </c>
      <c r="B801" s="12" t="n"/>
      <c r="C801" s="65" t="n"/>
      <c r="D801" s="165">
        <f>Accounts!K801</f>
        <v/>
      </c>
      <c r="E801" s="166" t="n">
        <v>0.6</v>
      </c>
      <c r="F801" s="167">
        <f>Accounts!K801*E801</f>
        <v/>
      </c>
      <c r="G801" s="166" t="n">
        <v>0.4</v>
      </c>
      <c r="H801" s="167">
        <f>F801*G801</f>
        <v/>
      </c>
      <c r="I801" s="168">
        <f>if(or(eq(Accounts!J801,"No Valet"),eq(Accounts!J801,"Has Valet")), H801 * AVERAGE(Accounts!J$2:J$36),H801*Accounts!J801)</f>
        <v/>
      </c>
      <c r="J801" s="168">
        <f>iferror(I801*360,"")</f>
        <v/>
      </c>
      <c r="K801" s="168">
        <f>J801*0.1</f>
        <v/>
      </c>
    </row>
    <row r="802" ht="54.75" customHeight="1" s="211">
      <c r="A802" s="164">
        <f>Accounts!A802</f>
        <v/>
      </c>
      <c r="B802" s="12" t="n"/>
      <c r="C802" s="65" t="n"/>
      <c r="D802" s="165">
        <f>Accounts!K802</f>
        <v/>
      </c>
      <c r="E802" s="166" t="n">
        <v>0.6</v>
      </c>
      <c r="F802" s="167">
        <f>Accounts!K802*E802</f>
        <v/>
      </c>
      <c r="G802" s="166" t="n">
        <v>0.4</v>
      </c>
      <c r="H802" s="167">
        <f>F802*G802</f>
        <v/>
      </c>
      <c r="I802" s="168">
        <f>if(or(eq(Accounts!J802,"No Valet"),eq(Accounts!J802,"Has Valet")), H802 * AVERAGE(Accounts!J$2:J$36),H802*Accounts!J802)</f>
        <v/>
      </c>
      <c r="J802" s="168">
        <f>iferror(I802*360,"")</f>
        <v/>
      </c>
      <c r="K802" s="168">
        <f>J802*0.1</f>
        <v/>
      </c>
    </row>
    <row r="803" ht="54.75" customHeight="1" s="211">
      <c r="A803" s="164">
        <f>Accounts!A803</f>
        <v/>
      </c>
      <c r="B803" s="12" t="n"/>
      <c r="C803" s="65" t="n"/>
      <c r="D803" s="165">
        <f>Accounts!K803</f>
        <v/>
      </c>
      <c r="E803" s="166" t="n">
        <v>0.6</v>
      </c>
      <c r="F803" s="167">
        <f>Accounts!K803*E803</f>
        <v/>
      </c>
      <c r="G803" s="166" t="n">
        <v>0.4</v>
      </c>
      <c r="H803" s="167">
        <f>F803*G803</f>
        <v/>
      </c>
      <c r="I803" s="168">
        <f>if(or(eq(Accounts!J803,"No Valet"),eq(Accounts!J803,"Has Valet")), H803 * AVERAGE(Accounts!J$2:J$36),H803*Accounts!J803)</f>
        <v/>
      </c>
      <c r="J803" s="168">
        <f>iferror(I803*360,"")</f>
        <v/>
      </c>
      <c r="K803" s="168">
        <f>J803*0.1</f>
        <v/>
      </c>
    </row>
    <row r="804" ht="54.75" customHeight="1" s="211">
      <c r="A804" s="164">
        <f>Accounts!A804</f>
        <v/>
      </c>
      <c r="B804" s="12" t="n"/>
      <c r="C804" s="65" t="n"/>
      <c r="D804" s="165">
        <f>Accounts!K804</f>
        <v/>
      </c>
      <c r="E804" s="166" t="n">
        <v>0.6</v>
      </c>
      <c r="F804" s="167">
        <f>Accounts!K804*E804</f>
        <v/>
      </c>
      <c r="G804" s="166" t="n">
        <v>0.4</v>
      </c>
      <c r="H804" s="167">
        <f>F804*G804</f>
        <v/>
      </c>
      <c r="I804" s="168">
        <f>if(or(eq(Accounts!J804,"No Valet"),eq(Accounts!J804,"Has Valet")), H804 * AVERAGE(Accounts!J$2:J$36),H804*Accounts!J804)</f>
        <v/>
      </c>
      <c r="J804" s="168">
        <f>iferror(I804*360,"")</f>
        <v/>
      </c>
      <c r="K804" s="168">
        <f>J804*0.1</f>
        <v/>
      </c>
    </row>
    <row r="805" ht="54.75" customHeight="1" s="211">
      <c r="A805" s="164">
        <f>Accounts!A805</f>
        <v/>
      </c>
      <c r="B805" s="12" t="n"/>
      <c r="C805" s="65" t="n"/>
      <c r="D805" s="165">
        <f>Accounts!K805</f>
        <v/>
      </c>
      <c r="E805" s="166" t="n">
        <v>0.6</v>
      </c>
      <c r="F805" s="167">
        <f>Accounts!K805*E805</f>
        <v/>
      </c>
      <c r="G805" s="166" t="n">
        <v>0.4</v>
      </c>
      <c r="H805" s="167">
        <f>F805*G805</f>
        <v/>
      </c>
      <c r="I805" s="168">
        <f>if(or(eq(Accounts!J805,"No Valet"),eq(Accounts!J805,"Has Valet")), H805 * AVERAGE(Accounts!J$2:J$36),H805*Accounts!J805)</f>
        <v/>
      </c>
      <c r="J805" s="168">
        <f>iferror(I805*360,"")</f>
        <v/>
      </c>
      <c r="K805" s="168">
        <f>J805*0.1</f>
        <v/>
      </c>
    </row>
    <row r="806" ht="54.75" customHeight="1" s="211">
      <c r="A806" s="164">
        <f>Accounts!A806</f>
        <v/>
      </c>
      <c r="B806" s="12" t="n"/>
      <c r="C806" s="65" t="n"/>
      <c r="D806" s="165">
        <f>Accounts!K806</f>
        <v/>
      </c>
      <c r="E806" s="166" t="n">
        <v>0.6</v>
      </c>
      <c r="F806" s="167">
        <f>Accounts!K806*E806</f>
        <v/>
      </c>
      <c r="G806" s="166" t="n">
        <v>0.4</v>
      </c>
      <c r="H806" s="167">
        <f>F806*G806</f>
        <v/>
      </c>
      <c r="I806" s="168">
        <f>if(or(eq(Accounts!J806,"No Valet"),eq(Accounts!J806,"Has Valet")), H806 * AVERAGE(Accounts!J$2:J$36),H806*Accounts!J806)</f>
        <v/>
      </c>
      <c r="J806" s="168">
        <f>iferror(I806*360,"")</f>
        <v/>
      </c>
      <c r="K806" s="168">
        <f>J806*0.1</f>
        <v/>
      </c>
    </row>
    <row r="807" ht="54.75" customHeight="1" s="211">
      <c r="A807" s="164">
        <f>Accounts!A807</f>
        <v/>
      </c>
      <c r="B807" s="12" t="n"/>
      <c r="C807" s="65" t="n"/>
      <c r="D807" s="165">
        <f>Accounts!K807</f>
        <v/>
      </c>
      <c r="E807" s="166" t="n">
        <v>0.6</v>
      </c>
      <c r="F807" s="167">
        <f>Accounts!K807*E807</f>
        <v/>
      </c>
      <c r="G807" s="166" t="n">
        <v>0.4</v>
      </c>
      <c r="H807" s="167">
        <f>F807*G807</f>
        <v/>
      </c>
      <c r="I807" s="168">
        <f>if(or(eq(Accounts!J807,"No Valet"),eq(Accounts!J807,"Has Valet")), H807 * AVERAGE(Accounts!J$2:J$36),H807*Accounts!J807)</f>
        <v/>
      </c>
      <c r="J807" s="168">
        <f>iferror(I807*360,"")</f>
        <v/>
      </c>
      <c r="K807" s="168">
        <f>J807*0.1</f>
        <v/>
      </c>
    </row>
    <row r="808" ht="54.75" customHeight="1" s="211">
      <c r="A808" s="164">
        <f>Accounts!A808</f>
        <v/>
      </c>
      <c r="B808" s="12" t="n"/>
      <c r="C808" s="65" t="n"/>
      <c r="D808" s="165">
        <f>Accounts!K808</f>
        <v/>
      </c>
      <c r="E808" s="166" t="n">
        <v>0.6</v>
      </c>
      <c r="F808" s="167">
        <f>Accounts!K808*E808</f>
        <v/>
      </c>
      <c r="G808" s="166" t="n">
        <v>0.4</v>
      </c>
      <c r="H808" s="167">
        <f>F808*G808</f>
        <v/>
      </c>
      <c r="I808" s="168">
        <f>if(or(eq(Accounts!J808,"No Valet"),eq(Accounts!J808,"Has Valet")), H808 * AVERAGE(Accounts!J$2:J$36),H808*Accounts!J808)</f>
        <v/>
      </c>
      <c r="J808" s="168">
        <f>iferror(I808*360,"")</f>
        <v/>
      </c>
      <c r="K808" s="168">
        <f>J808*0.1</f>
        <v/>
      </c>
    </row>
    <row r="809" ht="54.75" customHeight="1" s="211">
      <c r="A809" s="164">
        <f>Accounts!A809</f>
        <v/>
      </c>
      <c r="B809" s="12" t="n"/>
      <c r="C809" s="65" t="n"/>
      <c r="D809" s="165">
        <f>Accounts!K809</f>
        <v/>
      </c>
      <c r="E809" s="166" t="n">
        <v>0.6</v>
      </c>
      <c r="F809" s="167">
        <f>Accounts!K809*E809</f>
        <v/>
      </c>
      <c r="G809" s="166" t="n">
        <v>0.4</v>
      </c>
      <c r="H809" s="167">
        <f>F809*G809</f>
        <v/>
      </c>
      <c r="I809" s="168">
        <f>if(or(eq(Accounts!J809,"No Valet"),eq(Accounts!J809,"Has Valet")), H809 * AVERAGE(Accounts!J$2:J$36),H809*Accounts!J809)</f>
        <v/>
      </c>
      <c r="J809" s="168">
        <f>iferror(I809*360,"")</f>
        <v/>
      </c>
      <c r="K809" s="168">
        <f>J809*0.1</f>
        <v/>
      </c>
    </row>
    <row r="810" ht="54.75" customHeight="1" s="211">
      <c r="A810" s="164">
        <f>Accounts!A810</f>
        <v/>
      </c>
      <c r="B810" s="12" t="n"/>
      <c r="C810" s="65" t="n"/>
      <c r="D810" s="165">
        <f>Accounts!K810</f>
        <v/>
      </c>
      <c r="E810" s="166" t="n">
        <v>0.6</v>
      </c>
      <c r="F810" s="167">
        <f>Accounts!K810*E810</f>
        <v/>
      </c>
      <c r="G810" s="166" t="n">
        <v>0.4</v>
      </c>
      <c r="H810" s="167">
        <f>F810*G810</f>
        <v/>
      </c>
      <c r="I810" s="168">
        <f>if(or(eq(Accounts!J810,"No Valet"),eq(Accounts!J810,"Has Valet")), H810 * AVERAGE(Accounts!J$2:J$36),H810*Accounts!J810)</f>
        <v/>
      </c>
      <c r="J810" s="168">
        <f>iferror(I810*360,"")</f>
        <v/>
      </c>
      <c r="K810" s="168">
        <f>J810*0.1</f>
        <v/>
      </c>
    </row>
    <row r="811" ht="54.75" customHeight="1" s="211">
      <c r="A811" s="164">
        <f>Accounts!A811</f>
        <v/>
      </c>
      <c r="B811" s="12" t="n"/>
      <c r="C811" s="65" t="n"/>
      <c r="D811" s="165">
        <f>Accounts!K811</f>
        <v/>
      </c>
      <c r="E811" s="166" t="n">
        <v>0.6</v>
      </c>
      <c r="F811" s="167">
        <f>Accounts!K811*E811</f>
        <v/>
      </c>
      <c r="G811" s="166" t="n">
        <v>0.4</v>
      </c>
      <c r="H811" s="167">
        <f>F811*G811</f>
        <v/>
      </c>
      <c r="I811" s="168">
        <f>if(or(eq(Accounts!J811,"No Valet"),eq(Accounts!J811,"Has Valet")), H811 * AVERAGE(Accounts!J$2:J$36),H811*Accounts!J811)</f>
        <v/>
      </c>
      <c r="J811" s="168">
        <f>iferror(I811*360,"")</f>
        <v/>
      </c>
      <c r="K811" s="168">
        <f>J811*0.1</f>
        <v/>
      </c>
    </row>
    <row r="812" ht="54.75" customHeight="1" s="211">
      <c r="A812" s="164">
        <f>Accounts!A812</f>
        <v/>
      </c>
      <c r="B812" s="12" t="n"/>
      <c r="C812" s="65" t="n"/>
      <c r="D812" s="165">
        <f>Accounts!K812</f>
        <v/>
      </c>
      <c r="E812" s="166" t="n">
        <v>0.6</v>
      </c>
      <c r="F812" s="167">
        <f>Accounts!K812*E812</f>
        <v/>
      </c>
      <c r="G812" s="166" t="n">
        <v>0.4</v>
      </c>
      <c r="H812" s="167">
        <f>F812*G812</f>
        <v/>
      </c>
      <c r="I812" s="168">
        <f>if(or(eq(Accounts!J812,"No Valet"),eq(Accounts!J812,"Has Valet")), H812 * AVERAGE(Accounts!J$2:J$36),H812*Accounts!J812)</f>
        <v/>
      </c>
      <c r="J812" s="168">
        <f>iferror(I812*360,"")</f>
        <v/>
      </c>
      <c r="K812" s="168">
        <f>J812*0.1</f>
        <v/>
      </c>
    </row>
    <row r="813" ht="54.75" customHeight="1" s="211">
      <c r="A813" s="164">
        <f>Accounts!A813</f>
        <v/>
      </c>
      <c r="B813" s="12" t="n"/>
      <c r="C813" s="65" t="n"/>
      <c r="D813" s="165">
        <f>Accounts!K813</f>
        <v/>
      </c>
      <c r="E813" s="166" t="n">
        <v>0.6</v>
      </c>
      <c r="F813" s="167">
        <f>Accounts!K813*E813</f>
        <v/>
      </c>
      <c r="G813" s="166" t="n">
        <v>0.4</v>
      </c>
      <c r="H813" s="167">
        <f>F813*G813</f>
        <v/>
      </c>
      <c r="I813" s="168">
        <f>if(or(eq(Accounts!J813,"No Valet"),eq(Accounts!J813,"Has Valet")), H813 * AVERAGE(Accounts!J$2:J$36),H813*Accounts!J813)</f>
        <v/>
      </c>
      <c r="J813" s="168">
        <f>iferror(I813*360,"")</f>
        <v/>
      </c>
      <c r="K813" s="168">
        <f>J813*0.1</f>
        <v/>
      </c>
    </row>
    <row r="814" ht="54.75" customHeight="1" s="211">
      <c r="A814" s="164">
        <f>Accounts!A814</f>
        <v/>
      </c>
      <c r="B814" s="12" t="n"/>
      <c r="C814" s="65" t="n"/>
      <c r="D814" s="165">
        <f>Accounts!K814</f>
        <v/>
      </c>
      <c r="E814" s="166" t="n">
        <v>0.6</v>
      </c>
      <c r="F814" s="167">
        <f>Accounts!K814*E814</f>
        <v/>
      </c>
      <c r="G814" s="166" t="n">
        <v>0.4</v>
      </c>
      <c r="H814" s="167">
        <f>F814*G814</f>
        <v/>
      </c>
      <c r="I814" s="168">
        <f>if(or(eq(Accounts!J814,"No Valet"),eq(Accounts!J814,"Has Valet")), H814 * AVERAGE(Accounts!J$2:J$36),H814*Accounts!J814)</f>
        <v/>
      </c>
      <c r="J814" s="168">
        <f>iferror(I814*360,"")</f>
        <v/>
      </c>
      <c r="K814" s="168">
        <f>J814*0.1</f>
        <v/>
      </c>
    </row>
    <row r="815" ht="54.75" customHeight="1" s="211">
      <c r="A815" s="164">
        <f>Accounts!A815</f>
        <v/>
      </c>
      <c r="B815" s="12" t="n"/>
      <c r="C815" s="65" t="n"/>
      <c r="D815" s="165">
        <f>Accounts!K815</f>
        <v/>
      </c>
      <c r="E815" s="166" t="n">
        <v>0.6</v>
      </c>
      <c r="F815" s="167">
        <f>Accounts!K815*E815</f>
        <v/>
      </c>
      <c r="G815" s="166" t="n">
        <v>0.4</v>
      </c>
      <c r="H815" s="167">
        <f>F815*G815</f>
        <v/>
      </c>
      <c r="I815" s="168">
        <f>if(or(eq(Accounts!J815,"No Valet"),eq(Accounts!J815,"Has Valet")), H815 * AVERAGE(Accounts!J$2:J$36),H815*Accounts!J815)</f>
        <v/>
      </c>
      <c r="J815" s="168">
        <f>iferror(I815*360,"")</f>
        <v/>
      </c>
      <c r="K815" s="168">
        <f>J815*0.1</f>
        <v/>
      </c>
    </row>
    <row r="816" ht="54.75" customHeight="1" s="211">
      <c r="A816" s="164">
        <f>Accounts!A816</f>
        <v/>
      </c>
      <c r="B816" s="12" t="n"/>
      <c r="C816" s="65" t="n"/>
      <c r="D816" s="165">
        <f>Accounts!K816</f>
        <v/>
      </c>
      <c r="E816" s="166" t="n">
        <v>0.6</v>
      </c>
      <c r="F816" s="167">
        <f>Accounts!K816*E816</f>
        <v/>
      </c>
      <c r="G816" s="166" t="n">
        <v>0.4</v>
      </c>
      <c r="H816" s="167">
        <f>F816*G816</f>
        <v/>
      </c>
      <c r="I816" s="168">
        <f>if(or(eq(Accounts!J816,"No Valet"),eq(Accounts!J816,"Has Valet")), H816 * AVERAGE(Accounts!J$2:J$36),H816*Accounts!J816)</f>
        <v/>
      </c>
      <c r="J816" s="168">
        <f>iferror(I816*360,"")</f>
        <v/>
      </c>
      <c r="K816" s="168">
        <f>J816*0.1</f>
        <v/>
      </c>
    </row>
    <row r="817" ht="54.75" customHeight="1" s="211">
      <c r="A817" s="164">
        <f>Accounts!A817</f>
        <v/>
      </c>
      <c r="B817" s="12" t="n"/>
      <c r="C817" s="65" t="n"/>
      <c r="D817" s="165">
        <f>Accounts!K817</f>
        <v/>
      </c>
      <c r="E817" s="166" t="n">
        <v>0.6</v>
      </c>
      <c r="F817" s="167">
        <f>Accounts!K817*E817</f>
        <v/>
      </c>
      <c r="G817" s="166" t="n">
        <v>0.4</v>
      </c>
      <c r="H817" s="167">
        <f>F817*G817</f>
        <v/>
      </c>
      <c r="I817" s="168">
        <f>if(or(eq(Accounts!J817,"No Valet"),eq(Accounts!J817,"Has Valet")), H817 * AVERAGE(Accounts!J$2:J$36),H817*Accounts!J817)</f>
        <v/>
      </c>
      <c r="J817" s="168">
        <f>iferror(I817*360,"")</f>
        <v/>
      </c>
      <c r="K817" s="168">
        <f>J817*0.1</f>
        <v/>
      </c>
    </row>
    <row r="818" ht="54.75" customHeight="1" s="211">
      <c r="A818" s="164">
        <f>Accounts!A818</f>
        <v/>
      </c>
      <c r="B818" s="12" t="n"/>
      <c r="C818" s="65" t="n"/>
      <c r="D818" s="165">
        <f>Accounts!K818</f>
        <v/>
      </c>
      <c r="E818" s="166" t="n">
        <v>0.6</v>
      </c>
      <c r="F818" s="167">
        <f>Accounts!K818*E818</f>
        <v/>
      </c>
      <c r="G818" s="166" t="n">
        <v>0.4</v>
      </c>
      <c r="H818" s="167">
        <f>F818*G818</f>
        <v/>
      </c>
      <c r="I818" s="168">
        <f>if(or(eq(Accounts!J818,"No Valet"),eq(Accounts!J818,"Has Valet")), H818 * AVERAGE(Accounts!J$2:J$36),H818*Accounts!J818)</f>
        <v/>
      </c>
      <c r="J818" s="168">
        <f>iferror(I818*360,"")</f>
        <v/>
      </c>
      <c r="K818" s="168">
        <f>J818*0.1</f>
        <v/>
      </c>
    </row>
    <row r="819" ht="54.75" customHeight="1" s="211">
      <c r="A819" s="164">
        <f>Accounts!A819</f>
        <v/>
      </c>
      <c r="B819" s="12" t="n"/>
      <c r="C819" s="65" t="n"/>
      <c r="D819" s="165">
        <f>Accounts!K819</f>
        <v/>
      </c>
      <c r="E819" s="166" t="n">
        <v>0.6</v>
      </c>
      <c r="F819" s="167">
        <f>Accounts!K819*E819</f>
        <v/>
      </c>
      <c r="G819" s="166" t="n">
        <v>0.4</v>
      </c>
      <c r="H819" s="167">
        <f>F819*G819</f>
        <v/>
      </c>
      <c r="I819" s="168">
        <f>if(or(eq(Accounts!J819,"No Valet"),eq(Accounts!J819,"Has Valet")), H819 * AVERAGE(Accounts!J$2:J$36),H819*Accounts!J819)</f>
        <v/>
      </c>
      <c r="J819" s="168">
        <f>iferror(I819*360,"")</f>
        <v/>
      </c>
      <c r="K819" s="168">
        <f>J819*0.1</f>
        <v/>
      </c>
    </row>
    <row r="820" ht="54.75" customHeight="1" s="211">
      <c r="A820" s="164">
        <f>Accounts!A820</f>
        <v/>
      </c>
      <c r="B820" s="12" t="n"/>
      <c r="C820" s="65" t="n"/>
      <c r="D820" s="165">
        <f>Accounts!K820</f>
        <v/>
      </c>
      <c r="E820" s="166" t="n">
        <v>0.6</v>
      </c>
      <c r="F820" s="167">
        <f>Accounts!K820*E820</f>
        <v/>
      </c>
      <c r="G820" s="166" t="n">
        <v>0.4</v>
      </c>
      <c r="H820" s="167">
        <f>F820*G820</f>
        <v/>
      </c>
      <c r="I820" s="168">
        <f>if(or(eq(Accounts!J820,"No Valet"),eq(Accounts!J820,"Has Valet")), H820 * AVERAGE(Accounts!J$2:J$36),H820*Accounts!J820)</f>
        <v/>
      </c>
      <c r="J820" s="168">
        <f>iferror(I820*360,"")</f>
        <v/>
      </c>
      <c r="K820" s="168">
        <f>J820*0.1</f>
        <v/>
      </c>
    </row>
    <row r="821" ht="54.75" customHeight="1" s="211">
      <c r="A821" s="164">
        <f>Accounts!A821</f>
        <v/>
      </c>
      <c r="B821" s="12" t="n"/>
      <c r="C821" s="65" t="n"/>
      <c r="D821" s="165">
        <f>Accounts!K821</f>
        <v/>
      </c>
      <c r="E821" s="166" t="n">
        <v>0.6</v>
      </c>
      <c r="F821" s="167">
        <f>Accounts!K821*E821</f>
        <v/>
      </c>
      <c r="G821" s="166" t="n">
        <v>0.4</v>
      </c>
      <c r="H821" s="167">
        <f>F821*G821</f>
        <v/>
      </c>
      <c r="I821" s="168">
        <f>if(or(eq(Accounts!J821,"No Valet"),eq(Accounts!J821,"Has Valet")), H821 * AVERAGE(Accounts!J$2:J$36),H821*Accounts!J821)</f>
        <v/>
      </c>
      <c r="J821" s="168">
        <f>iferror(I821*360,"")</f>
        <v/>
      </c>
      <c r="K821" s="168">
        <f>J821*0.1</f>
        <v/>
      </c>
    </row>
    <row r="822" ht="54.75" customHeight="1" s="211">
      <c r="A822" s="164">
        <f>Accounts!A822</f>
        <v/>
      </c>
      <c r="B822" s="12" t="n"/>
      <c r="C822" s="65" t="n"/>
      <c r="D822" s="165">
        <f>Accounts!K822</f>
        <v/>
      </c>
      <c r="E822" s="166" t="n">
        <v>0.6</v>
      </c>
      <c r="F822" s="167">
        <f>Accounts!K822*E822</f>
        <v/>
      </c>
      <c r="G822" s="166" t="n">
        <v>0.4</v>
      </c>
      <c r="H822" s="167">
        <f>F822*G822</f>
        <v/>
      </c>
      <c r="I822" s="168">
        <f>if(or(eq(Accounts!J822,"No Valet"),eq(Accounts!J822,"Has Valet")), H822 * AVERAGE(Accounts!J$2:J$36),H822*Accounts!J822)</f>
        <v/>
      </c>
      <c r="J822" s="168">
        <f>iferror(I822*360,"")</f>
        <v/>
      </c>
      <c r="K822" s="168">
        <f>J822*0.1</f>
        <v/>
      </c>
    </row>
    <row r="823" ht="54.75" customHeight="1" s="211">
      <c r="A823" s="164">
        <f>Accounts!A823</f>
        <v/>
      </c>
      <c r="B823" s="12" t="n"/>
      <c r="C823" s="65" t="n"/>
      <c r="D823" s="165">
        <f>Accounts!K823</f>
        <v/>
      </c>
      <c r="E823" s="166" t="n">
        <v>0.6</v>
      </c>
      <c r="F823" s="167">
        <f>Accounts!K823*E823</f>
        <v/>
      </c>
      <c r="G823" s="166" t="n">
        <v>0.4</v>
      </c>
      <c r="H823" s="167">
        <f>F823*G823</f>
        <v/>
      </c>
      <c r="I823" s="168">
        <f>if(or(eq(Accounts!J823,"No Valet"),eq(Accounts!J823,"Has Valet")), H823 * AVERAGE(Accounts!J$2:J$36),H823*Accounts!J823)</f>
        <v/>
      </c>
      <c r="J823" s="168">
        <f>iferror(I823*360,"")</f>
        <v/>
      </c>
      <c r="K823" s="168">
        <f>J823*0.1</f>
        <v/>
      </c>
    </row>
    <row r="824" ht="54.75" customHeight="1" s="211">
      <c r="A824" s="164">
        <f>Accounts!A824</f>
        <v/>
      </c>
      <c r="B824" s="12" t="n"/>
      <c r="C824" s="65" t="n"/>
      <c r="D824" s="165">
        <f>Accounts!K824</f>
        <v/>
      </c>
      <c r="E824" s="166" t="n">
        <v>0.6</v>
      </c>
      <c r="F824" s="167">
        <f>Accounts!K824*E824</f>
        <v/>
      </c>
      <c r="G824" s="166" t="n">
        <v>0.4</v>
      </c>
      <c r="H824" s="167">
        <f>F824*G824</f>
        <v/>
      </c>
      <c r="I824" s="168">
        <f>if(or(eq(Accounts!J824,"No Valet"),eq(Accounts!J824,"Has Valet")), H824 * AVERAGE(Accounts!J$2:J$36),H824*Accounts!J824)</f>
        <v/>
      </c>
      <c r="J824" s="168">
        <f>iferror(I824*360,"")</f>
        <v/>
      </c>
      <c r="K824" s="168">
        <f>J824*0.1</f>
        <v/>
      </c>
    </row>
    <row r="825" ht="54.75" customHeight="1" s="211">
      <c r="A825" s="164">
        <f>Accounts!A825</f>
        <v/>
      </c>
      <c r="B825" s="12" t="n"/>
      <c r="C825" s="65" t="n"/>
      <c r="D825" s="165">
        <f>Accounts!K825</f>
        <v/>
      </c>
      <c r="E825" s="166" t="n">
        <v>0.6</v>
      </c>
      <c r="F825" s="167">
        <f>Accounts!K825*E825</f>
        <v/>
      </c>
      <c r="G825" s="166" t="n">
        <v>0.4</v>
      </c>
      <c r="H825" s="167">
        <f>F825*G825</f>
        <v/>
      </c>
      <c r="I825" s="168">
        <f>if(or(eq(Accounts!J825,"No Valet"),eq(Accounts!J825,"Has Valet")), H825 * AVERAGE(Accounts!J$2:J$36),H825*Accounts!J825)</f>
        <v/>
      </c>
      <c r="J825" s="168">
        <f>iferror(I825*360,"")</f>
        <v/>
      </c>
      <c r="K825" s="168">
        <f>J825*0.1</f>
        <v/>
      </c>
    </row>
    <row r="826" ht="54.75" customHeight="1" s="211">
      <c r="A826" s="164">
        <f>Accounts!A826</f>
        <v/>
      </c>
      <c r="B826" s="12" t="n"/>
      <c r="C826" s="65" t="n"/>
      <c r="D826" s="165">
        <f>Accounts!K826</f>
        <v/>
      </c>
      <c r="E826" s="166" t="n">
        <v>0.6</v>
      </c>
      <c r="F826" s="167">
        <f>Accounts!K826*E826</f>
        <v/>
      </c>
      <c r="G826" s="166" t="n">
        <v>0.4</v>
      </c>
      <c r="H826" s="167">
        <f>F826*G826</f>
        <v/>
      </c>
      <c r="I826" s="168">
        <f>if(or(eq(Accounts!J826,"No Valet"),eq(Accounts!J826,"Has Valet")), H826 * AVERAGE(Accounts!J$2:J$36),H826*Accounts!J826)</f>
        <v/>
      </c>
      <c r="J826" s="168">
        <f>iferror(I826*360,"")</f>
        <v/>
      </c>
      <c r="K826" s="168">
        <f>J826*0.1</f>
        <v/>
      </c>
    </row>
    <row r="827" ht="54.75" customHeight="1" s="211">
      <c r="A827" s="164">
        <f>Accounts!A827</f>
        <v/>
      </c>
      <c r="B827" s="12" t="n"/>
      <c r="C827" s="65" t="n"/>
      <c r="D827" s="165">
        <f>Accounts!K827</f>
        <v/>
      </c>
      <c r="E827" s="166" t="n">
        <v>0.6</v>
      </c>
      <c r="F827" s="167">
        <f>Accounts!K827*E827</f>
        <v/>
      </c>
      <c r="G827" s="166" t="n">
        <v>0.4</v>
      </c>
      <c r="H827" s="167">
        <f>F827*G827</f>
        <v/>
      </c>
      <c r="I827" s="168">
        <f>if(or(eq(Accounts!J827,"No Valet"),eq(Accounts!J827,"Has Valet")), H827 * AVERAGE(Accounts!J$2:J$36),H827*Accounts!J827)</f>
        <v/>
      </c>
      <c r="J827" s="168">
        <f>iferror(I827*360,"")</f>
        <v/>
      </c>
      <c r="K827" s="168">
        <f>J827*0.1</f>
        <v/>
      </c>
    </row>
    <row r="828" ht="54.75" customHeight="1" s="211">
      <c r="A828" s="164">
        <f>Accounts!A828</f>
        <v/>
      </c>
      <c r="B828" s="12" t="n"/>
      <c r="C828" s="65" t="n"/>
      <c r="D828" s="165">
        <f>Accounts!K828</f>
        <v/>
      </c>
      <c r="E828" s="166" t="n">
        <v>0.6</v>
      </c>
      <c r="F828" s="167">
        <f>Accounts!K828*E828</f>
        <v/>
      </c>
      <c r="G828" s="166" t="n">
        <v>0.4</v>
      </c>
      <c r="H828" s="167">
        <f>F828*G828</f>
        <v/>
      </c>
      <c r="I828" s="168">
        <f>if(or(eq(Accounts!J828,"No Valet"),eq(Accounts!J828,"Has Valet")), H828 * AVERAGE(Accounts!J$2:J$36),H828*Accounts!J828)</f>
        <v/>
      </c>
      <c r="J828" s="168">
        <f>iferror(I828*360,"")</f>
        <v/>
      </c>
      <c r="K828" s="168">
        <f>J828*0.1</f>
        <v/>
      </c>
    </row>
    <row r="829" ht="54.75" customHeight="1" s="211">
      <c r="A829" s="164">
        <f>Accounts!A829</f>
        <v/>
      </c>
      <c r="B829" s="12" t="n"/>
      <c r="C829" s="65" t="n"/>
      <c r="D829" s="165">
        <f>Accounts!K829</f>
        <v/>
      </c>
      <c r="E829" s="166" t="n">
        <v>0.6</v>
      </c>
      <c r="F829" s="167">
        <f>Accounts!K829*E829</f>
        <v/>
      </c>
      <c r="G829" s="166" t="n">
        <v>0.4</v>
      </c>
      <c r="H829" s="167">
        <f>F829*G829</f>
        <v/>
      </c>
      <c r="I829" s="168">
        <f>if(or(eq(Accounts!J829,"No Valet"),eq(Accounts!J829,"Has Valet")), H829 * AVERAGE(Accounts!J$2:J$36),H829*Accounts!J829)</f>
        <v/>
      </c>
      <c r="J829" s="168">
        <f>iferror(I829*360,"")</f>
        <v/>
      </c>
      <c r="K829" s="168">
        <f>J829*0.1</f>
        <v/>
      </c>
    </row>
    <row r="830" ht="54.75" customHeight="1" s="211">
      <c r="A830" s="164">
        <f>Accounts!A830</f>
        <v/>
      </c>
      <c r="B830" s="12" t="n"/>
      <c r="C830" s="65" t="n"/>
      <c r="D830" s="165">
        <f>Accounts!K830</f>
        <v/>
      </c>
      <c r="E830" s="166" t="n">
        <v>0.6</v>
      </c>
      <c r="F830" s="167">
        <f>Accounts!K830*E830</f>
        <v/>
      </c>
      <c r="G830" s="166" t="n">
        <v>0.4</v>
      </c>
      <c r="H830" s="167">
        <f>F830*G830</f>
        <v/>
      </c>
      <c r="I830" s="168">
        <f>if(or(eq(Accounts!J830,"No Valet"),eq(Accounts!J830,"Has Valet")), H830 * AVERAGE(Accounts!J$2:J$36),H830*Accounts!J830)</f>
        <v/>
      </c>
      <c r="J830" s="168">
        <f>iferror(I830*360,"")</f>
        <v/>
      </c>
      <c r="K830" s="168">
        <f>J830*0.1</f>
        <v/>
      </c>
    </row>
    <row r="831" ht="54.75" customHeight="1" s="211">
      <c r="A831" s="164">
        <f>Accounts!A831</f>
        <v/>
      </c>
      <c r="B831" s="12" t="n"/>
      <c r="C831" s="65" t="n"/>
      <c r="D831" s="165">
        <f>Accounts!K831</f>
        <v/>
      </c>
      <c r="E831" s="166" t="n">
        <v>0.6</v>
      </c>
      <c r="F831" s="167">
        <f>Accounts!K831*E831</f>
        <v/>
      </c>
      <c r="G831" s="166" t="n">
        <v>0.4</v>
      </c>
      <c r="H831" s="167">
        <f>F831*G831</f>
        <v/>
      </c>
      <c r="I831" s="168">
        <f>if(or(eq(Accounts!J831,"No Valet"),eq(Accounts!J831,"Has Valet")), H831 * AVERAGE(Accounts!J$2:J$36),H831*Accounts!J831)</f>
        <v/>
      </c>
      <c r="J831" s="168">
        <f>iferror(I831*360,"")</f>
        <v/>
      </c>
      <c r="K831" s="168">
        <f>J831*0.1</f>
        <v/>
      </c>
    </row>
    <row r="832" ht="54.75" customHeight="1" s="211">
      <c r="A832" s="164">
        <f>Accounts!A832</f>
        <v/>
      </c>
      <c r="B832" s="12" t="n"/>
      <c r="C832" s="65" t="n"/>
      <c r="D832" s="165">
        <f>Accounts!K832</f>
        <v/>
      </c>
      <c r="E832" s="166" t="n">
        <v>0.6</v>
      </c>
      <c r="F832" s="167">
        <f>Accounts!K832*E832</f>
        <v/>
      </c>
      <c r="G832" s="166" t="n">
        <v>0.4</v>
      </c>
      <c r="H832" s="167">
        <f>F832*G832</f>
        <v/>
      </c>
      <c r="I832" s="168">
        <f>if(or(eq(Accounts!J832,"No Valet"),eq(Accounts!J832,"Has Valet")), H832 * AVERAGE(Accounts!J$2:J$36),H832*Accounts!J832)</f>
        <v/>
      </c>
      <c r="J832" s="168">
        <f>iferror(I832*360,"")</f>
        <v/>
      </c>
      <c r="K832" s="168">
        <f>J832*0.1</f>
        <v/>
      </c>
    </row>
    <row r="833" ht="54.75" customHeight="1" s="211">
      <c r="A833" s="164">
        <f>Accounts!A833</f>
        <v/>
      </c>
      <c r="B833" s="12" t="n"/>
      <c r="C833" s="65" t="n"/>
      <c r="D833" s="165">
        <f>Accounts!K833</f>
        <v/>
      </c>
      <c r="E833" s="166" t="n">
        <v>0.6</v>
      </c>
      <c r="F833" s="167">
        <f>Accounts!K833*E833</f>
        <v/>
      </c>
      <c r="G833" s="166" t="n">
        <v>0.4</v>
      </c>
      <c r="H833" s="167">
        <f>F833*G833</f>
        <v/>
      </c>
      <c r="I833" s="168">
        <f>if(or(eq(Accounts!J833,"No Valet"),eq(Accounts!J833,"Has Valet")), H833 * AVERAGE(Accounts!J$2:J$36),H833*Accounts!J833)</f>
        <v/>
      </c>
      <c r="J833" s="168">
        <f>iferror(I833*360,"")</f>
        <v/>
      </c>
      <c r="K833" s="168">
        <f>J833*0.1</f>
        <v/>
      </c>
    </row>
    <row r="834" ht="54.75" customHeight="1" s="211">
      <c r="A834" s="164">
        <f>Accounts!A834</f>
        <v/>
      </c>
      <c r="B834" s="12" t="n"/>
      <c r="C834" s="65" t="n"/>
      <c r="D834" s="165">
        <f>Accounts!K834</f>
        <v/>
      </c>
      <c r="E834" s="166" t="n">
        <v>0.6</v>
      </c>
      <c r="F834" s="167">
        <f>Accounts!K834*E834</f>
        <v/>
      </c>
      <c r="G834" s="166" t="n">
        <v>0.4</v>
      </c>
      <c r="H834" s="167">
        <f>F834*G834</f>
        <v/>
      </c>
      <c r="I834" s="168">
        <f>if(or(eq(Accounts!J834,"No Valet"),eq(Accounts!J834,"Has Valet")), H834 * AVERAGE(Accounts!J$2:J$36),H834*Accounts!J834)</f>
        <v/>
      </c>
      <c r="J834" s="168">
        <f>iferror(I834*360,"")</f>
        <v/>
      </c>
      <c r="K834" s="168">
        <f>J834*0.1</f>
        <v/>
      </c>
    </row>
    <row r="835" ht="54.75" customHeight="1" s="211">
      <c r="A835" s="164">
        <f>Accounts!A835</f>
        <v/>
      </c>
      <c r="B835" s="12" t="n"/>
      <c r="C835" s="65" t="n"/>
      <c r="D835" s="165">
        <f>Accounts!K835</f>
        <v/>
      </c>
      <c r="E835" s="166" t="n">
        <v>0.6</v>
      </c>
      <c r="F835" s="167">
        <f>Accounts!K835*E835</f>
        <v/>
      </c>
      <c r="G835" s="166" t="n">
        <v>0.4</v>
      </c>
      <c r="H835" s="167">
        <f>F835*G835</f>
        <v/>
      </c>
      <c r="I835" s="168">
        <f>if(or(eq(Accounts!J835,"No Valet"),eq(Accounts!J835,"Has Valet")), H835 * AVERAGE(Accounts!J$2:J$36),H835*Accounts!J835)</f>
        <v/>
      </c>
      <c r="J835" s="168">
        <f>iferror(I835*360,"")</f>
        <v/>
      </c>
      <c r="K835" s="168">
        <f>J835*0.1</f>
        <v/>
      </c>
    </row>
    <row r="836" ht="54.75" customHeight="1" s="211">
      <c r="A836" s="164">
        <f>Accounts!A836</f>
        <v/>
      </c>
      <c r="B836" s="12" t="n"/>
      <c r="C836" s="65" t="n"/>
      <c r="D836" s="165">
        <f>Accounts!K836</f>
        <v/>
      </c>
      <c r="E836" s="166" t="n">
        <v>0.6</v>
      </c>
      <c r="F836" s="167">
        <f>Accounts!K836*E836</f>
        <v/>
      </c>
      <c r="G836" s="166" t="n">
        <v>0.4</v>
      </c>
      <c r="H836" s="167">
        <f>F836*G836</f>
        <v/>
      </c>
      <c r="I836" s="168">
        <f>if(or(eq(Accounts!J836,"No Valet"),eq(Accounts!J836,"Has Valet")), H836 * AVERAGE(Accounts!J$2:J$36),H836*Accounts!J836)</f>
        <v/>
      </c>
      <c r="J836" s="168">
        <f>iferror(I836*360,"")</f>
        <v/>
      </c>
      <c r="K836" s="168">
        <f>J836*0.1</f>
        <v/>
      </c>
    </row>
    <row r="837" ht="54.75" customHeight="1" s="211">
      <c r="A837" s="164">
        <f>Accounts!A837</f>
        <v/>
      </c>
      <c r="B837" s="12" t="n"/>
      <c r="C837" s="65" t="n"/>
      <c r="D837" s="165">
        <f>Accounts!K837</f>
        <v/>
      </c>
      <c r="E837" s="166" t="n">
        <v>0.6</v>
      </c>
      <c r="F837" s="167">
        <f>Accounts!K837*E837</f>
        <v/>
      </c>
      <c r="G837" s="166" t="n">
        <v>0.4</v>
      </c>
      <c r="H837" s="167">
        <f>F837*G837</f>
        <v/>
      </c>
      <c r="I837" s="168">
        <f>if(or(eq(Accounts!J837,"No Valet"),eq(Accounts!J837,"Has Valet")), H837 * AVERAGE(Accounts!J$2:J$36),H837*Accounts!J837)</f>
        <v/>
      </c>
      <c r="J837" s="168">
        <f>iferror(I837*360,"")</f>
        <v/>
      </c>
      <c r="K837" s="168">
        <f>J837*0.1</f>
        <v/>
      </c>
    </row>
    <row r="838" ht="54.75" customHeight="1" s="211">
      <c r="A838" s="164">
        <f>Accounts!A838</f>
        <v/>
      </c>
      <c r="B838" s="12" t="n"/>
      <c r="C838" s="65" t="n"/>
      <c r="D838" s="165">
        <f>Accounts!K838</f>
        <v/>
      </c>
      <c r="E838" s="166" t="n">
        <v>0.6</v>
      </c>
      <c r="F838" s="167">
        <f>Accounts!K838*E838</f>
        <v/>
      </c>
      <c r="G838" s="166" t="n">
        <v>0.4</v>
      </c>
      <c r="H838" s="167">
        <f>F838*G838</f>
        <v/>
      </c>
      <c r="I838" s="168">
        <f>if(or(eq(Accounts!J838,"No Valet"),eq(Accounts!J838,"Has Valet")), H838 * AVERAGE(Accounts!J$2:J$36),H838*Accounts!J838)</f>
        <v/>
      </c>
      <c r="J838" s="168">
        <f>iferror(I838*360,"")</f>
        <v/>
      </c>
      <c r="K838" s="168">
        <f>J838*0.1</f>
        <v/>
      </c>
    </row>
    <row r="839" ht="54.75" customHeight="1" s="211">
      <c r="A839" s="164">
        <f>Accounts!A839</f>
        <v/>
      </c>
      <c r="B839" s="12" t="n"/>
      <c r="C839" s="65" t="n"/>
      <c r="D839" s="165">
        <f>Accounts!K839</f>
        <v/>
      </c>
      <c r="E839" s="166" t="n">
        <v>0.6</v>
      </c>
      <c r="F839" s="167">
        <f>Accounts!K839*E839</f>
        <v/>
      </c>
      <c r="G839" s="166" t="n">
        <v>0.4</v>
      </c>
      <c r="H839" s="167">
        <f>F839*G839</f>
        <v/>
      </c>
      <c r="I839" s="168">
        <f>if(or(eq(Accounts!J839,"No Valet"),eq(Accounts!J839,"Has Valet")), H839 * AVERAGE(Accounts!J$2:J$36),H839*Accounts!J839)</f>
        <v/>
      </c>
      <c r="J839" s="168">
        <f>iferror(I839*360,"")</f>
        <v/>
      </c>
      <c r="K839" s="168">
        <f>J839*0.1</f>
        <v/>
      </c>
    </row>
    <row r="840" ht="54.75" customHeight="1" s="211">
      <c r="A840" s="164">
        <f>Accounts!A840</f>
        <v/>
      </c>
      <c r="B840" s="12" t="n"/>
      <c r="C840" s="65" t="n"/>
      <c r="D840" s="165">
        <f>Accounts!K840</f>
        <v/>
      </c>
      <c r="E840" s="166" t="n">
        <v>0.6</v>
      </c>
      <c r="F840" s="167">
        <f>Accounts!K840*E840</f>
        <v/>
      </c>
      <c r="G840" s="166" t="n">
        <v>0.4</v>
      </c>
      <c r="H840" s="167">
        <f>F840*G840</f>
        <v/>
      </c>
      <c r="I840" s="168">
        <f>if(or(eq(Accounts!J840,"No Valet"),eq(Accounts!J840,"Has Valet")), H840 * AVERAGE(Accounts!J$2:J$36),H840*Accounts!J840)</f>
        <v/>
      </c>
      <c r="J840" s="168">
        <f>iferror(I840*360,"")</f>
        <v/>
      </c>
      <c r="K840" s="168">
        <f>J840*0.1</f>
        <v/>
      </c>
    </row>
    <row r="841" ht="54.75" customHeight="1" s="211">
      <c r="A841" s="164">
        <f>Accounts!A841</f>
        <v/>
      </c>
      <c r="B841" s="12" t="n"/>
      <c r="C841" s="65" t="n"/>
      <c r="D841" s="165">
        <f>Accounts!K841</f>
        <v/>
      </c>
      <c r="E841" s="166" t="n">
        <v>0.6</v>
      </c>
      <c r="F841" s="167">
        <f>Accounts!K841*E841</f>
        <v/>
      </c>
      <c r="G841" s="166" t="n">
        <v>0.4</v>
      </c>
      <c r="H841" s="167">
        <f>F841*G841</f>
        <v/>
      </c>
      <c r="I841" s="168">
        <f>if(or(eq(Accounts!J841,"No Valet"),eq(Accounts!J841,"Has Valet")), H841 * AVERAGE(Accounts!J$2:J$36),H841*Accounts!J841)</f>
        <v/>
      </c>
      <c r="J841" s="168">
        <f>iferror(I841*360,"")</f>
        <v/>
      </c>
      <c r="K841" s="168">
        <f>J841*0.1</f>
        <v/>
      </c>
    </row>
    <row r="842" ht="54.75" customHeight="1" s="211">
      <c r="A842" s="164">
        <f>Accounts!A842</f>
        <v/>
      </c>
      <c r="B842" s="12" t="n"/>
      <c r="C842" s="65" t="n"/>
      <c r="D842" s="165">
        <f>Accounts!K842</f>
        <v/>
      </c>
      <c r="E842" s="166" t="n">
        <v>0.6</v>
      </c>
      <c r="F842" s="167">
        <f>Accounts!K842*E842</f>
        <v/>
      </c>
      <c r="G842" s="166" t="n">
        <v>0.4</v>
      </c>
      <c r="H842" s="167">
        <f>F842*G842</f>
        <v/>
      </c>
      <c r="I842" s="168">
        <f>if(or(eq(Accounts!J842,"No Valet"),eq(Accounts!J842,"Has Valet")), H842 * AVERAGE(Accounts!J$2:J$36),H842*Accounts!J842)</f>
        <v/>
      </c>
      <c r="J842" s="168">
        <f>iferror(I842*360,"")</f>
        <v/>
      </c>
      <c r="K842" s="168">
        <f>J842*0.1</f>
        <v/>
      </c>
    </row>
    <row r="843" ht="54.75" customHeight="1" s="211">
      <c r="A843" s="164">
        <f>Accounts!A843</f>
        <v/>
      </c>
      <c r="B843" s="12" t="n"/>
      <c r="C843" s="65" t="n"/>
      <c r="D843" s="165">
        <f>Accounts!K843</f>
        <v/>
      </c>
      <c r="E843" s="166" t="n">
        <v>0.6</v>
      </c>
      <c r="F843" s="167">
        <f>Accounts!K843*E843</f>
        <v/>
      </c>
      <c r="G843" s="166" t="n">
        <v>0.4</v>
      </c>
      <c r="H843" s="167">
        <f>F843*G843</f>
        <v/>
      </c>
      <c r="I843" s="168">
        <f>if(or(eq(Accounts!J843,"No Valet"),eq(Accounts!J843,"Has Valet")), H843 * AVERAGE(Accounts!J$2:J$36),H843*Accounts!J843)</f>
        <v/>
      </c>
      <c r="J843" s="168">
        <f>iferror(I843*360,"")</f>
        <v/>
      </c>
      <c r="K843" s="168">
        <f>J843*0.1</f>
        <v/>
      </c>
    </row>
    <row r="844" ht="54.75" customHeight="1" s="211">
      <c r="A844" s="164">
        <f>Accounts!A844</f>
        <v/>
      </c>
      <c r="B844" s="12" t="n"/>
      <c r="C844" s="65" t="n"/>
      <c r="D844" s="165">
        <f>Accounts!K844</f>
        <v/>
      </c>
      <c r="E844" s="166" t="n">
        <v>0.6</v>
      </c>
      <c r="F844" s="167">
        <f>Accounts!K844*E844</f>
        <v/>
      </c>
      <c r="G844" s="166" t="n">
        <v>0.4</v>
      </c>
      <c r="H844" s="167">
        <f>F844*G844</f>
        <v/>
      </c>
      <c r="I844" s="168">
        <f>if(or(eq(Accounts!J844,"No Valet"),eq(Accounts!J844,"Has Valet")), H844 * AVERAGE(Accounts!J$2:J$36),H844*Accounts!J844)</f>
        <v/>
      </c>
      <c r="J844" s="168">
        <f>iferror(I844*360,"")</f>
        <v/>
      </c>
      <c r="K844" s="168">
        <f>J844*0.1</f>
        <v/>
      </c>
    </row>
    <row r="845" ht="54.75" customHeight="1" s="211">
      <c r="A845" s="164">
        <f>Accounts!A845</f>
        <v/>
      </c>
      <c r="B845" s="12" t="n"/>
      <c r="C845" s="65" t="n"/>
      <c r="D845" s="165">
        <f>Accounts!K845</f>
        <v/>
      </c>
      <c r="E845" s="166" t="n">
        <v>0.6</v>
      </c>
      <c r="F845" s="167">
        <f>Accounts!K845*E845</f>
        <v/>
      </c>
      <c r="G845" s="166" t="n">
        <v>0.4</v>
      </c>
      <c r="H845" s="167">
        <f>F845*G845</f>
        <v/>
      </c>
      <c r="I845" s="168">
        <f>if(or(eq(Accounts!J845,"No Valet"),eq(Accounts!J845,"Has Valet")), H845 * AVERAGE(Accounts!J$2:J$36),H845*Accounts!J845)</f>
        <v/>
      </c>
      <c r="J845" s="168">
        <f>iferror(I845*360,"")</f>
        <v/>
      </c>
      <c r="K845" s="168">
        <f>J845*0.1</f>
        <v/>
      </c>
    </row>
    <row r="846" ht="54.75" customHeight="1" s="211">
      <c r="A846" s="164">
        <f>Accounts!A846</f>
        <v/>
      </c>
      <c r="B846" s="12" t="n"/>
      <c r="C846" s="65" t="n"/>
      <c r="D846" s="165">
        <f>Accounts!K846</f>
        <v/>
      </c>
      <c r="E846" s="166" t="n">
        <v>0.6</v>
      </c>
      <c r="F846" s="167">
        <f>Accounts!K846*E846</f>
        <v/>
      </c>
      <c r="G846" s="166" t="n">
        <v>0.4</v>
      </c>
      <c r="H846" s="167">
        <f>F846*G846</f>
        <v/>
      </c>
      <c r="I846" s="168">
        <f>if(or(eq(Accounts!J846,"No Valet"),eq(Accounts!J846,"Has Valet")), H846 * AVERAGE(Accounts!J$2:J$36),H846*Accounts!J846)</f>
        <v/>
      </c>
      <c r="J846" s="168">
        <f>iferror(I846*360,"")</f>
        <v/>
      </c>
      <c r="K846" s="168">
        <f>J846*0.1</f>
        <v/>
      </c>
    </row>
    <row r="847" ht="54.75" customHeight="1" s="211">
      <c r="A847" s="164">
        <f>Accounts!A847</f>
        <v/>
      </c>
      <c r="B847" s="12" t="n"/>
      <c r="C847" s="65" t="n"/>
      <c r="D847" s="165">
        <f>Accounts!K847</f>
        <v/>
      </c>
      <c r="E847" s="166" t="n">
        <v>0.6</v>
      </c>
      <c r="F847" s="167">
        <f>Accounts!K847*E847</f>
        <v/>
      </c>
      <c r="G847" s="166" t="n">
        <v>0.4</v>
      </c>
      <c r="H847" s="167">
        <f>F847*G847</f>
        <v/>
      </c>
      <c r="I847" s="168">
        <f>if(or(eq(Accounts!J847,"No Valet"),eq(Accounts!J847,"Has Valet")), H847 * AVERAGE(Accounts!J$2:J$36),H847*Accounts!J847)</f>
        <v/>
      </c>
      <c r="J847" s="168">
        <f>iferror(I847*360,"")</f>
        <v/>
      </c>
      <c r="K847" s="168">
        <f>J847*0.1</f>
        <v/>
      </c>
    </row>
    <row r="848" ht="54.75" customHeight="1" s="211">
      <c r="A848" s="164">
        <f>Accounts!A848</f>
        <v/>
      </c>
      <c r="B848" s="12" t="n"/>
      <c r="C848" s="65" t="n"/>
      <c r="D848" s="165">
        <f>Accounts!K848</f>
        <v/>
      </c>
      <c r="E848" s="166" t="n">
        <v>0.6</v>
      </c>
      <c r="F848" s="167">
        <f>Accounts!K848*E848</f>
        <v/>
      </c>
      <c r="G848" s="166" t="n">
        <v>0.4</v>
      </c>
      <c r="H848" s="167">
        <f>F848*G848</f>
        <v/>
      </c>
      <c r="I848" s="168">
        <f>if(or(eq(Accounts!J848,"No Valet"),eq(Accounts!J848,"Has Valet")), H848 * AVERAGE(Accounts!J$2:J$36),H848*Accounts!J848)</f>
        <v/>
      </c>
      <c r="J848" s="168">
        <f>iferror(I848*360,"")</f>
        <v/>
      </c>
      <c r="K848" s="168">
        <f>J848*0.1</f>
        <v/>
      </c>
    </row>
    <row r="849" ht="54.75" customHeight="1" s="211">
      <c r="A849" s="164">
        <f>Accounts!A849</f>
        <v/>
      </c>
      <c r="B849" s="12" t="n"/>
      <c r="C849" s="65" t="n"/>
      <c r="D849" s="165">
        <f>Accounts!K849</f>
        <v/>
      </c>
      <c r="E849" s="166" t="n">
        <v>0.6</v>
      </c>
      <c r="F849" s="167">
        <f>Accounts!K849*E849</f>
        <v/>
      </c>
      <c r="G849" s="166" t="n">
        <v>0.4</v>
      </c>
      <c r="H849" s="167">
        <f>F849*G849</f>
        <v/>
      </c>
      <c r="I849" s="168">
        <f>if(or(eq(Accounts!J849,"No Valet"),eq(Accounts!J849,"Has Valet")), H849 * AVERAGE(Accounts!J$2:J$36),H849*Accounts!J849)</f>
        <v/>
      </c>
      <c r="J849" s="168">
        <f>iferror(I849*360,"")</f>
        <v/>
      </c>
      <c r="K849" s="168">
        <f>J849*0.1</f>
        <v/>
      </c>
    </row>
    <row r="850" ht="54.75" customHeight="1" s="211">
      <c r="A850" s="164">
        <f>Accounts!A850</f>
        <v/>
      </c>
      <c r="B850" s="12" t="n"/>
      <c r="C850" s="65" t="n"/>
      <c r="D850" s="165">
        <f>Accounts!K850</f>
        <v/>
      </c>
      <c r="E850" s="166" t="n">
        <v>0.6</v>
      </c>
      <c r="F850" s="167">
        <f>Accounts!K850*E850</f>
        <v/>
      </c>
      <c r="G850" s="166" t="n">
        <v>0.4</v>
      </c>
      <c r="H850" s="167">
        <f>F850*G850</f>
        <v/>
      </c>
      <c r="I850" s="168">
        <f>if(or(eq(Accounts!J850,"No Valet"),eq(Accounts!J850,"Has Valet")), H850 * AVERAGE(Accounts!J$2:J$36),H850*Accounts!J850)</f>
        <v/>
      </c>
      <c r="J850" s="168">
        <f>iferror(I850*360,"")</f>
        <v/>
      </c>
      <c r="K850" s="168">
        <f>J850*0.1</f>
        <v/>
      </c>
    </row>
    <row r="851" ht="54.75" customHeight="1" s="211">
      <c r="A851" s="164">
        <f>Accounts!A851</f>
        <v/>
      </c>
      <c r="B851" s="12" t="n"/>
      <c r="C851" s="65" t="n"/>
      <c r="D851" s="165">
        <f>Accounts!K851</f>
        <v/>
      </c>
      <c r="E851" s="166" t="n">
        <v>0.6</v>
      </c>
      <c r="F851" s="167">
        <f>Accounts!K851*E851</f>
        <v/>
      </c>
      <c r="G851" s="166" t="n">
        <v>0.4</v>
      </c>
      <c r="H851" s="167">
        <f>F851*G851</f>
        <v/>
      </c>
      <c r="I851" s="168">
        <f>if(or(eq(Accounts!J851,"No Valet"),eq(Accounts!J851,"Has Valet")), H851 * AVERAGE(Accounts!J$2:J$36),H851*Accounts!J851)</f>
        <v/>
      </c>
      <c r="J851" s="168">
        <f>iferror(I851*360,"")</f>
        <v/>
      </c>
      <c r="K851" s="168">
        <f>J851*0.1</f>
        <v/>
      </c>
    </row>
    <row r="852" ht="54.75" customHeight="1" s="211">
      <c r="A852" s="164">
        <f>Accounts!A852</f>
        <v/>
      </c>
      <c r="B852" s="12" t="n"/>
      <c r="C852" s="65" t="n"/>
      <c r="D852" s="165">
        <f>Accounts!K852</f>
        <v/>
      </c>
      <c r="E852" s="166" t="n">
        <v>0.6</v>
      </c>
      <c r="F852" s="167">
        <f>Accounts!K852*E852</f>
        <v/>
      </c>
      <c r="G852" s="166" t="n">
        <v>0.4</v>
      </c>
      <c r="H852" s="167">
        <f>F852*G852</f>
        <v/>
      </c>
      <c r="I852" s="168">
        <f>if(or(eq(Accounts!J852,"No Valet"),eq(Accounts!J852,"Has Valet")), H852 * AVERAGE(Accounts!J$2:J$36),H852*Accounts!J852)</f>
        <v/>
      </c>
      <c r="J852" s="168">
        <f>iferror(I852*360,"")</f>
        <v/>
      </c>
      <c r="K852" s="168">
        <f>J852*0.1</f>
        <v/>
      </c>
    </row>
    <row r="853" ht="54.75" customHeight="1" s="211">
      <c r="A853" s="164">
        <f>Accounts!A853</f>
        <v/>
      </c>
      <c r="B853" s="12" t="n"/>
      <c r="C853" s="65" t="n"/>
      <c r="D853" s="165">
        <f>Accounts!K853</f>
        <v/>
      </c>
      <c r="E853" s="166" t="n">
        <v>0.6</v>
      </c>
      <c r="F853" s="167">
        <f>Accounts!K853*E853</f>
        <v/>
      </c>
      <c r="G853" s="166" t="n">
        <v>0.4</v>
      </c>
      <c r="H853" s="167">
        <f>F853*G853</f>
        <v/>
      </c>
      <c r="I853" s="168">
        <f>if(or(eq(Accounts!J853,"No Valet"),eq(Accounts!J853,"Has Valet")), H853 * AVERAGE(Accounts!J$2:J$36),H853*Accounts!J853)</f>
        <v/>
      </c>
      <c r="J853" s="168">
        <f>iferror(I853*360,"")</f>
        <v/>
      </c>
      <c r="K853" s="168">
        <f>J853*0.1</f>
        <v/>
      </c>
    </row>
    <row r="854" ht="54.75" customHeight="1" s="211">
      <c r="A854" s="164">
        <f>Accounts!A854</f>
        <v/>
      </c>
      <c r="B854" s="12" t="n"/>
      <c r="C854" s="65" t="n"/>
      <c r="D854" s="165">
        <f>Accounts!K854</f>
        <v/>
      </c>
      <c r="E854" s="166" t="n">
        <v>0.6</v>
      </c>
      <c r="F854" s="167">
        <f>Accounts!K854*E854</f>
        <v/>
      </c>
      <c r="G854" s="166" t="n">
        <v>0.4</v>
      </c>
      <c r="H854" s="167">
        <f>F854*G854</f>
        <v/>
      </c>
      <c r="I854" s="168">
        <f>if(or(eq(Accounts!J854,"No Valet"),eq(Accounts!J854,"Has Valet")), H854 * AVERAGE(Accounts!J$2:J$36),H854*Accounts!J854)</f>
        <v/>
      </c>
      <c r="J854" s="168">
        <f>iferror(I854*360,"")</f>
        <v/>
      </c>
      <c r="K854" s="168">
        <f>J854*0.1</f>
        <v/>
      </c>
    </row>
    <row r="855" ht="54.75" customHeight="1" s="211">
      <c r="A855" s="164">
        <f>Accounts!A855</f>
        <v/>
      </c>
      <c r="B855" s="12" t="n"/>
      <c r="C855" s="65" t="n"/>
      <c r="D855" s="165">
        <f>Accounts!K855</f>
        <v/>
      </c>
      <c r="E855" s="166" t="n">
        <v>0.6</v>
      </c>
      <c r="F855" s="167">
        <f>Accounts!K855*E855</f>
        <v/>
      </c>
      <c r="G855" s="166" t="n">
        <v>0.4</v>
      </c>
      <c r="H855" s="167">
        <f>F855*G855</f>
        <v/>
      </c>
      <c r="I855" s="168">
        <f>if(or(eq(Accounts!J855,"No Valet"),eq(Accounts!J855,"Has Valet")), H855 * AVERAGE(Accounts!J$2:J$36),H855*Accounts!J855)</f>
        <v/>
      </c>
      <c r="J855" s="168">
        <f>iferror(I855*360,"")</f>
        <v/>
      </c>
      <c r="K855" s="168">
        <f>J855*0.1</f>
        <v/>
      </c>
    </row>
    <row r="856" ht="54.75" customHeight="1" s="211">
      <c r="A856" s="164">
        <f>Accounts!A856</f>
        <v/>
      </c>
      <c r="B856" s="12" t="n"/>
      <c r="C856" s="65" t="n"/>
      <c r="D856" s="165">
        <f>Accounts!K856</f>
        <v/>
      </c>
      <c r="E856" s="166" t="n">
        <v>0.6</v>
      </c>
      <c r="F856" s="167">
        <f>Accounts!K856*E856</f>
        <v/>
      </c>
      <c r="G856" s="166" t="n">
        <v>0.4</v>
      </c>
      <c r="H856" s="167">
        <f>F856*G856</f>
        <v/>
      </c>
      <c r="I856" s="168">
        <f>if(or(eq(Accounts!J856,"No Valet"),eq(Accounts!J856,"Has Valet")), H856 * AVERAGE(Accounts!J$2:J$36),H856*Accounts!J856)</f>
        <v/>
      </c>
      <c r="J856" s="168">
        <f>iferror(I856*360,"")</f>
        <v/>
      </c>
      <c r="K856" s="168">
        <f>J856*0.1</f>
        <v/>
      </c>
    </row>
    <row r="857" ht="54.75" customHeight="1" s="211">
      <c r="A857" s="164">
        <f>Accounts!A857</f>
        <v/>
      </c>
      <c r="B857" s="12" t="n"/>
      <c r="C857" s="65" t="n"/>
      <c r="D857" s="165">
        <f>Accounts!K857</f>
        <v/>
      </c>
      <c r="E857" s="166" t="n">
        <v>0.6</v>
      </c>
      <c r="F857" s="167">
        <f>Accounts!K857*E857</f>
        <v/>
      </c>
      <c r="G857" s="166" t="n">
        <v>0.4</v>
      </c>
      <c r="H857" s="167">
        <f>F857*G857</f>
        <v/>
      </c>
      <c r="I857" s="168">
        <f>if(or(eq(Accounts!J857,"No Valet"),eq(Accounts!J857,"Has Valet")), H857 * AVERAGE(Accounts!J$2:J$36),H857*Accounts!J857)</f>
        <v/>
      </c>
      <c r="J857" s="168">
        <f>iferror(I857*360,"")</f>
        <v/>
      </c>
      <c r="K857" s="168">
        <f>J857*0.1</f>
        <v/>
      </c>
    </row>
    <row r="858" ht="54.75" customHeight="1" s="211">
      <c r="A858" s="164">
        <f>Accounts!A858</f>
        <v/>
      </c>
      <c r="B858" s="12" t="n"/>
      <c r="C858" s="65" t="n"/>
      <c r="D858" s="165">
        <f>Accounts!K858</f>
        <v/>
      </c>
      <c r="E858" s="166" t="n">
        <v>0.6</v>
      </c>
      <c r="F858" s="167">
        <f>Accounts!K858*E858</f>
        <v/>
      </c>
      <c r="G858" s="166" t="n">
        <v>0.4</v>
      </c>
      <c r="H858" s="167">
        <f>F858*G858</f>
        <v/>
      </c>
      <c r="I858" s="168">
        <f>if(or(eq(Accounts!J858,"No Valet"),eq(Accounts!J858,"Has Valet")), H858 * AVERAGE(Accounts!J$2:J$36),H858*Accounts!J858)</f>
        <v/>
      </c>
      <c r="J858" s="168">
        <f>iferror(I858*360,"")</f>
        <v/>
      </c>
      <c r="K858" s="168">
        <f>J858*0.1</f>
        <v/>
      </c>
    </row>
    <row r="859" ht="54.75" customHeight="1" s="211">
      <c r="A859" s="164">
        <f>Accounts!A859</f>
        <v/>
      </c>
      <c r="B859" s="12" t="n"/>
      <c r="C859" s="65" t="n"/>
      <c r="D859" s="165">
        <f>Accounts!K859</f>
        <v/>
      </c>
      <c r="E859" s="166" t="n">
        <v>0.6</v>
      </c>
      <c r="F859" s="167">
        <f>Accounts!K859*E859</f>
        <v/>
      </c>
      <c r="G859" s="166" t="n">
        <v>0.4</v>
      </c>
      <c r="H859" s="167">
        <f>F859*G859</f>
        <v/>
      </c>
      <c r="I859" s="168">
        <f>if(or(eq(Accounts!J859,"No Valet"),eq(Accounts!J859,"Has Valet")), H859 * AVERAGE(Accounts!J$2:J$36),H859*Accounts!J859)</f>
        <v/>
      </c>
      <c r="J859" s="168">
        <f>iferror(I859*360,"")</f>
        <v/>
      </c>
      <c r="K859" s="168">
        <f>J859*0.1</f>
        <v/>
      </c>
    </row>
    <row r="860" ht="54.75" customHeight="1" s="211">
      <c r="A860" s="164">
        <f>Accounts!A860</f>
        <v/>
      </c>
      <c r="B860" s="12" t="n"/>
      <c r="C860" s="65" t="n"/>
      <c r="D860" s="165">
        <f>Accounts!K860</f>
        <v/>
      </c>
      <c r="E860" s="166" t="n">
        <v>0.6</v>
      </c>
      <c r="F860" s="167">
        <f>Accounts!K860*E860</f>
        <v/>
      </c>
      <c r="G860" s="166" t="n">
        <v>0.4</v>
      </c>
      <c r="H860" s="167">
        <f>F860*G860</f>
        <v/>
      </c>
      <c r="I860" s="168">
        <f>if(or(eq(Accounts!J860,"No Valet"),eq(Accounts!J860,"Has Valet")), H860 * AVERAGE(Accounts!J$2:J$36),H860*Accounts!J860)</f>
        <v/>
      </c>
      <c r="J860" s="168">
        <f>iferror(I860*360,"")</f>
        <v/>
      </c>
      <c r="K860" s="168">
        <f>J860*0.1</f>
        <v/>
      </c>
    </row>
    <row r="861" ht="54.75" customHeight="1" s="211">
      <c r="A861" s="164">
        <f>Accounts!A861</f>
        <v/>
      </c>
      <c r="B861" s="12" t="n"/>
      <c r="C861" s="65" t="n"/>
      <c r="D861" s="165">
        <f>Accounts!K861</f>
        <v/>
      </c>
      <c r="E861" s="166" t="n">
        <v>0.6</v>
      </c>
      <c r="F861" s="167">
        <f>Accounts!K861*E861</f>
        <v/>
      </c>
      <c r="G861" s="166" t="n">
        <v>0.4</v>
      </c>
      <c r="H861" s="167">
        <f>F861*G861</f>
        <v/>
      </c>
      <c r="I861" s="168">
        <f>if(or(eq(Accounts!J861,"No Valet"),eq(Accounts!J861,"Has Valet")), H861 * AVERAGE(Accounts!J$2:J$36),H861*Accounts!J861)</f>
        <v/>
      </c>
      <c r="J861" s="168">
        <f>iferror(I861*360,"")</f>
        <v/>
      </c>
      <c r="K861" s="168">
        <f>J861*0.1</f>
        <v/>
      </c>
    </row>
    <row r="862" ht="54.75" customHeight="1" s="211">
      <c r="A862" s="164">
        <f>Accounts!A862</f>
        <v/>
      </c>
      <c r="B862" s="12" t="n"/>
      <c r="C862" s="65" t="n"/>
      <c r="D862" s="165">
        <f>Accounts!K862</f>
        <v/>
      </c>
      <c r="E862" s="166" t="n">
        <v>0.6</v>
      </c>
      <c r="F862" s="167">
        <f>Accounts!K862*E862</f>
        <v/>
      </c>
      <c r="G862" s="166" t="n">
        <v>0.4</v>
      </c>
      <c r="H862" s="167">
        <f>F862*G862</f>
        <v/>
      </c>
      <c r="I862" s="168">
        <f>if(or(eq(Accounts!J862,"No Valet"),eq(Accounts!J862,"Has Valet")), H862 * AVERAGE(Accounts!J$2:J$36),H862*Accounts!J862)</f>
        <v/>
      </c>
      <c r="J862" s="168">
        <f>iferror(I862*360,"")</f>
        <v/>
      </c>
      <c r="K862" s="168">
        <f>J862*0.1</f>
        <v/>
      </c>
    </row>
    <row r="863" ht="54.75" customHeight="1" s="211">
      <c r="A863" s="164">
        <f>Accounts!A863</f>
        <v/>
      </c>
      <c r="B863" s="12" t="n"/>
      <c r="C863" s="65" t="n"/>
      <c r="D863" s="165">
        <f>Accounts!K863</f>
        <v/>
      </c>
      <c r="E863" s="166" t="n">
        <v>0.6</v>
      </c>
      <c r="F863" s="167">
        <f>Accounts!K863*E863</f>
        <v/>
      </c>
      <c r="G863" s="166" t="n">
        <v>0.4</v>
      </c>
      <c r="H863" s="167">
        <f>F863*G863</f>
        <v/>
      </c>
      <c r="I863" s="168">
        <f>if(or(eq(Accounts!J863,"No Valet"),eq(Accounts!J863,"Has Valet")), H863 * AVERAGE(Accounts!J$2:J$36),H863*Accounts!J863)</f>
        <v/>
      </c>
      <c r="J863" s="168">
        <f>iferror(I863*360,"")</f>
        <v/>
      </c>
      <c r="K863" s="168">
        <f>J863*0.1</f>
        <v/>
      </c>
    </row>
    <row r="864" ht="54.75" customHeight="1" s="211">
      <c r="A864" s="164">
        <f>Accounts!A864</f>
        <v/>
      </c>
      <c r="B864" s="12" t="n"/>
      <c r="C864" s="65" t="n"/>
      <c r="D864" s="165">
        <f>Accounts!K864</f>
        <v/>
      </c>
      <c r="E864" s="166" t="n">
        <v>0.6</v>
      </c>
      <c r="F864" s="167">
        <f>Accounts!K864*E864</f>
        <v/>
      </c>
      <c r="G864" s="166" t="n">
        <v>0.4</v>
      </c>
      <c r="H864" s="167">
        <f>F864*G864</f>
        <v/>
      </c>
      <c r="I864" s="168">
        <f>if(or(eq(Accounts!J864,"No Valet"),eq(Accounts!J864,"Has Valet")), H864 * AVERAGE(Accounts!J$2:J$36),H864*Accounts!J864)</f>
        <v/>
      </c>
      <c r="J864" s="168">
        <f>iferror(I864*360,"")</f>
        <v/>
      </c>
      <c r="K864" s="168">
        <f>J864*0.1</f>
        <v/>
      </c>
    </row>
    <row r="865" ht="54.75" customHeight="1" s="211">
      <c r="A865" s="164">
        <f>Accounts!A865</f>
        <v/>
      </c>
      <c r="B865" s="12" t="n"/>
      <c r="C865" s="65" t="n"/>
      <c r="D865" s="165">
        <f>Accounts!K865</f>
        <v/>
      </c>
      <c r="E865" s="166" t="n">
        <v>0.6</v>
      </c>
      <c r="F865" s="167">
        <f>Accounts!K865*E865</f>
        <v/>
      </c>
      <c r="G865" s="166" t="n">
        <v>0.4</v>
      </c>
      <c r="H865" s="167">
        <f>F865*G865</f>
        <v/>
      </c>
      <c r="I865" s="168">
        <f>if(or(eq(Accounts!J865,"No Valet"),eq(Accounts!J865,"Has Valet")), H865 * AVERAGE(Accounts!J$2:J$36),H865*Accounts!J865)</f>
        <v/>
      </c>
      <c r="J865" s="168">
        <f>iferror(I865*360,"")</f>
        <v/>
      </c>
      <c r="K865" s="168">
        <f>J865*0.1</f>
        <v/>
      </c>
    </row>
    <row r="866" ht="54.75" customHeight="1" s="211">
      <c r="A866" s="164">
        <f>Accounts!A866</f>
        <v/>
      </c>
      <c r="B866" s="12" t="n"/>
      <c r="C866" s="65" t="n"/>
      <c r="D866" s="165">
        <f>Accounts!K866</f>
        <v/>
      </c>
      <c r="E866" s="166" t="n">
        <v>0.6</v>
      </c>
      <c r="F866" s="167">
        <f>Accounts!K866*E866</f>
        <v/>
      </c>
      <c r="G866" s="166" t="n">
        <v>0.4</v>
      </c>
      <c r="H866" s="167">
        <f>F866*G866</f>
        <v/>
      </c>
      <c r="I866" s="168">
        <f>if(or(eq(Accounts!J866,"No Valet"),eq(Accounts!J866,"Has Valet")), H866 * AVERAGE(Accounts!J$2:J$36),H866*Accounts!J866)</f>
        <v/>
      </c>
      <c r="J866" s="168">
        <f>iferror(I866*360,"")</f>
        <v/>
      </c>
      <c r="K866" s="168">
        <f>J866*0.1</f>
        <v/>
      </c>
    </row>
    <row r="867" ht="54.75" customHeight="1" s="211">
      <c r="A867" s="164">
        <f>Accounts!A867</f>
        <v/>
      </c>
      <c r="B867" s="12" t="n"/>
      <c r="C867" s="65" t="n"/>
      <c r="D867" s="165">
        <f>Accounts!K867</f>
        <v/>
      </c>
      <c r="E867" s="166" t="n">
        <v>0.6</v>
      </c>
      <c r="F867" s="167">
        <f>Accounts!K867*E867</f>
        <v/>
      </c>
      <c r="G867" s="166" t="n">
        <v>0.4</v>
      </c>
      <c r="H867" s="167">
        <f>F867*G867</f>
        <v/>
      </c>
      <c r="I867" s="168">
        <f>if(or(eq(Accounts!J867,"No Valet"),eq(Accounts!J867,"Has Valet")), H867 * AVERAGE(Accounts!J$2:J$36),H867*Accounts!J867)</f>
        <v/>
      </c>
      <c r="J867" s="168">
        <f>iferror(I867*360,"")</f>
        <v/>
      </c>
      <c r="K867" s="168">
        <f>J867*0.1</f>
        <v/>
      </c>
    </row>
    <row r="868" ht="54.75" customHeight="1" s="211">
      <c r="A868" s="164">
        <f>Accounts!A868</f>
        <v/>
      </c>
      <c r="B868" s="12" t="n"/>
      <c r="C868" s="65" t="n"/>
      <c r="D868" s="165">
        <f>Accounts!K868</f>
        <v/>
      </c>
      <c r="E868" s="166" t="n">
        <v>0.6</v>
      </c>
      <c r="F868" s="167">
        <f>Accounts!K868*E868</f>
        <v/>
      </c>
      <c r="G868" s="166" t="n">
        <v>0.4</v>
      </c>
      <c r="H868" s="167">
        <f>F868*G868</f>
        <v/>
      </c>
      <c r="I868" s="168">
        <f>if(or(eq(Accounts!J868,"No Valet"),eq(Accounts!J868,"Has Valet")), H868 * AVERAGE(Accounts!J$2:J$36),H868*Accounts!J868)</f>
        <v/>
      </c>
      <c r="J868" s="168">
        <f>iferror(I868*360,"")</f>
        <v/>
      </c>
      <c r="K868" s="168">
        <f>J868*0.1</f>
        <v/>
      </c>
    </row>
    <row r="869" ht="54.75" customHeight="1" s="211">
      <c r="A869" s="164">
        <f>Accounts!A869</f>
        <v/>
      </c>
      <c r="B869" s="12" t="n"/>
      <c r="C869" s="65" t="n"/>
      <c r="D869" s="165">
        <f>Accounts!K869</f>
        <v/>
      </c>
      <c r="E869" s="166" t="n">
        <v>0.6</v>
      </c>
      <c r="F869" s="167">
        <f>Accounts!K869*E869</f>
        <v/>
      </c>
      <c r="G869" s="166" t="n">
        <v>0.4</v>
      </c>
      <c r="H869" s="167">
        <f>F869*G869</f>
        <v/>
      </c>
      <c r="I869" s="168">
        <f>if(or(eq(Accounts!J869,"No Valet"),eq(Accounts!J869,"Has Valet")), H869 * AVERAGE(Accounts!J$2:J$36),H869*Accounts!J869)</f>
        <v/>
      </c>
      <c r="J869" s="168">
        <f>iferror(I869*360,"")</f>
        <v/>
      </c>
      <c r="K869" s="168">
        <f>J869*0.1</f>
        <v/>
      </c>
    </row>
    <row r="870" ht="54.75" customHeight="1" s="211">
      <c r="A870" s="164">
        <f>Accounts!A870</f>
        <v/>
      </c>
      <c r="B870" s="12" t="n"/>
      <c r="C870" s="65" t="n"/>
      <c r="D870" s="165">
        <f>Accounts!K870</f>
        <v/>
      </c>
      <c r="E870" s="166" t="n">
        <v>0.6</v>
      </c>
      <c r="F870" s="167">
        <f>Accounts!K870*E870</f>
        <v/>
      </c>
      <c r="G870" s="166" t="n">
        <v>0.4</v>
      </c>
      <c r="H870" s="167">
        <f>F870*G870</f>
        <v/>
      </c>
      <c r="I870" s="168">
        <f>if(or(eq(Accounts!J870,"No Valet"),eq(Accounts!J870,"Has Valet")), H870 * AVERAGE(Accounts!J$2:J$36),H870*Accounts!J870)</f>
        <v/>
      </c>
      <c r="J870" s="168">
        <f>iferror(I870*360,"")</f>
        <v/>
      </c>
      <c r="K870" s="168">
        <f>J870*0.1</f>
        <v/>
      </c>
    </row>
    <row r="871" ht="54.75" customHeight="1" s="211">
      <c r="A871" s="164">
        <f>Accounts!A871</f>
        <v/>
      </c>
      <c r="B871" s="12" t="n"/>
      <c r="C871" s="65" t="n"/>
      <c r="D871" s="165">
        <f>Accounts!K871</f>
        <v/>
      </c>
      <c r="E871" s="166" t="n">
        <v>0.6</v>
      </c>
      <c r="F871" s="167">
        <f>Accounts!K871*E871</f>
        <v/>
      </c>
      <c r="G871" s="166" t="n">
        <v>0.4</v>
      </c>
      <c r="H871" s="167">
        <f>F871*G871</f>
        <v/>
      </c>
      <c r="I871" s="168">
        <f>if(or(eq(Accounts!J871,"No Valet"),eq(Accounts!J871,"Has Valet")), H871 * AVERAGE(Accounts!J$2:J$36),H871*Accounts!J871)</f>
        <v/>
      </c>
      <c r="J871" s="168">
        <f>iferror(I871*360,"")</f>
        <v/>
      </c>
      <c r="K871" s="168">
        <f>J871*0.1</f>
        <v/>
      </c>
    </row>
    <row r="872" ht="54.75" customHeight="1" s="211">
      <c r="A872" s="164">
        <f>Accounts!A872</f>
        <v/>
      </c>
      <c r="B872" s="12" t="n"/>
      <c r="C872" s="65" t="n"/>
      <c r="D872" s="165">
        <f>Accounts!K872</f>
        <v/>
      </c>
      <c r="E872" s="166" t="n">
        <v>0.6</v>
      </c>
      <c r="F872" s="167">
        <f>Accounts!K872*E872</f>
        <v/>
      </c>
      <c r="G872" s="166" t="n">
        <v>0.4</v>
      </c>
      <c r="H872" s="167">
        <f>F872*G872</f>
        <v/>
      </c>
      <c r="I872" s="168">
        <f>if(or(eq(Accounts!J872,"No Valet"),eq(Accounts!J872,"Has Valet")), H872 * AVERAGE(Accounts!J$2:J$36),H872*Accounts!J872)</f>
        <v/>
      </c>
      <c r="J872" s="168">
        <f>iferror(I872*360,"")</f>
        <v/>
      </c>
      <c r="K872" s="168">
        <f>J872*0.1</f>
        <v/>
      </c>
    </row>
    <row r="873" ht="54.75" customHeight="1" s="211">
      <c r="A873" s="164">
        <f>Accounts!A873</f>
        <v/>
      </c>
      <c r="B873" s="12" t="n"/>
      <c r="C873" s="65" t="n"/>
      <c r="D873" s="165">
        <f>Accounts!K873</f>
        <v/>
      </c>
      <c r="E873" s="166" t="n">
        <v>0.6</v>
      </c>
      <c r="F873" s="167">
        <f>Accounts!K873*E873</f>
        <v/>
      </c>
      <c r="G873" s="166" t="n">
        <v>0.4</v>
      </c>
      <c r="H873" s="167">
        <f>F873*G873</f>
        <v/>
      </c>
      <c r="I873" s="168">
        <f>if(or(eq(Accounts!J873,"No Valet"),eq(Accounts!J873,"Has Valet")), H873 * AVERAGE(Accounts!J$2:J$36),H873*Accounts!J873)</f>
        <v/>
      </c>
      <c r="J873" s="168">
        <f>iferror(I873*360,"")</f>
        <v/>
      </c>
      <c r="K873" s="168">
        <f>J873*0.1</f>
        <v/>
      </c>
    </row>
    <row r="874" ht="54.75" customHeight="1" s="211">
      <c r="A874" s="164">
        <f>Accounts!A874</f>
        <v/>
      </c>
      <c r="B874" s="12" t="n"/>
      <c r="C874" s="65" t="n"/>
      <c r="D874" s="165">
        <f>Accounts!K874</f>
        <v/>
      </c>
      <c r="E874" s="166" t="n">
        <v>0.6</v>
      </c>
      <c r="F874" s="167">
        <f>Accounts!K874*E874</f>
        <v/>
      </c>
      <c r="G874" s="166" t="n">
        <v>0.4</v>
      </c>
      <c r="H874" s="167">
        <f>F874*G874</f>
        <v/>
      </c>
      <c r="I874" s="168">
        <f>if(or(eq(Accounts!J874,"No Valet"),eq(Accounts!J874,"Has Valet")), H874 * AVERAGE(Accounts!J$2:J$36),H874*Accounts!J874)</f>
        <v/>
      </c>
      <c r="J874" s="168">
        <f>iferror(I874*360,"")</f>
        <v/>
      </c>
      <c r="K874" s="168">
        <f>J874*0.1</f>
        <v/>
      </c>
    </row>
    <row r="875" ht="54.75" customHeight="1" s="211">
      <c r="A875" s="164">
        <f>Accounts!A875</f>
        <v/>
      </c>
      <c r="B875" s="12" t="n"/>
      <c r="C875" s="65" t="n"/>
      <c r="D875" s="165">
        <f>Accounts!K875</f>
        <v/>
      </c>
      <c r="E875" s="166" t="n">
        <v>0.6</v>
      </c>
      <c r="F875" s="167">
        <f>Accounts!K875*E875</f>
        <v/>
      </c>
      <c r="G875" s="166" t="n">
        <v>0.4</v>
      </c>
      <c r="H875" s="167">
        <f>F875*G875</f>
        <v/>
      </c>
      <c r="I875" s="168">
        <f>if(or(eq(Accounts!J875,"No Valet"),eq(Accounts!J875,"Has Valet")), H875 * AVERAGE(Accounts!J$2:J$36),H875*Accounts!J875)</f>
        <v/>
      </c>
      <c r="J875" s="168">
        <f>iferror(I875*360,"")</f>
        <v/>
      </c>
      <c r="K875" s="168">
        <f>J875*0.1</f>
        <v/>
      </c>
    </row>
    <row r="876" ht="54.75" customHeight="1" s="211">
      <c r="A876" s="164">
        <f>Accounts!A876</f>
        <v/>
      </c>
      <c r="B876" s="12" t="n"/>
      <c r="C876" s="65" t="n"/>
      <c r="D876" s="165">
        <f>Accounts!K876</f>
        <v/>
      </c>
      <c r="E876" s="166" t="n">
        <v>0.6</v>
      </c>
      <c r="F876" s="167">
        <f>Accounts!K876*E876</f>
        <v/>
      </c>
      <c r="G876" s="166" t="n">
        <v>0.4</v>
      </c>
      <c r="H876" s="167">
        <f>F876*G876</f>
        <v/>
      </c>
      <c r="I876" s="168">
        <f>if(or(eq(Accounts!J876,"No Valet"),eq(Accounts!J876,"Has Valet")), H876 * AVERAGE(Accounts!J$2:J$36),H876*Accounts!J876)</f>
        <v/>
      </c>
      <c r="J876" s="168">
        <f>iferror(I876*360,"")</f>
        <v/>
      </c>
      <c r="K876" s="168">
        <f>J876*0.1</f>
        <v/>
      </c>
    </row>
    <row r="877" ht="54.75" customHeight="1" s="211">
      <c r="A877" s="164">
        <f>Accounts!A877</f>
        <v/>
      </c>
      <c r="B877" s="12" t="n"/>
      <c r="C877" s="65" t="n"/>
      <c r="D877" s="165">
        <f>Accounts!K877</f>
        <v/>
      </c>
      <c r="E877" s="166" t="n">
        <v>0.6</v>
      </c>
      <c r="F877" s="167">
        <f>Accounts!K877*E877</f>
        <v/>
      </c>
      <c r="G877" s="166" t="n">
        <v>0.4</v>
      </c>
      <c r="H877" s="167">
        <f>F877*G877</f>
        <v/>
      </c>
      <c r="I877" s="168">
        <f>if(or(eq(Accounts!J877,"No Valet"),eq(Accounts!J877,"Has Valet")), H877 * AVERAGE(Accounts!J$2:J$36),H877*Accounts!J877)</f>
        <v/>
      </c>
      <c r="J877" s="168">
        <f>iferror(I877*360,"")</f>
        <v/>
      </c>
      <c r="K877" s="168">
        <f>J877*0.1</f>
        <v/>
      </c>
    </row>
    <row r="878" ht="54.75" customHeight="1" s="211">
      <c r="A878" s="164">
        <f>Accounts!A878</f>
        <v/>
      </c>
      <c r="B878" s="12" t="n"/>
      <c r="C878" s="65" t="n"/>
      <c r="D878" s="165">
        <f>Accounts!K878</f>
        <v/>
      </c>
      <c r="E878" s="166" t="n">
        <v>0.6</v>
      </c>
      <c r="F878" s="167">
        <f>Accounts!K878*E878</f>
        <v/>
      </c>
      <c r="G878" s="166" t="n">
        <v>0.4</v>
      </c>
      <c r="H878" s="167">
        <f>F878*G878</f>
        <v/>
      </c>
      <c r="I878" s="168">
        <f>if(or(eq(Accounts!J878,"No Valet"),eq(Accounts!J878,"Has Valet")), H878 * AVERAGE(Accounts!J$2:J$36),H878*Accounts!J878)</f>
        <v/>
      </c>
      <c r="J878" s="168">
        <f>iferror(I878*360,"")</f>
        <v/>
      </c>
      <c r="K878" s="168">
        <f>J878*0.1</f>
        <v/>
      </c>
    </row>
    <row r="879" ht="54.75" customHeight="1" s="211">
      <c r="A879" s="164">
        <f>Accounts!A879</f>
        <v/>
      </c>
      <c r="B879" s="12" t="n"/>
      <c r="C879" s="65" t="n"/>
      <c r="D879" s="165">
        <f>Accounts!K879</f>
        <v/>
      </c>
      <c r="E879" s="166" t="n">
        <v>0.6</v>
      </c>
      <c r="F879" s="167">
        <f>Accounts!K879*E879</f>
        <v/>
      </c>
      <c r="G879" s="166" t="n">
        <v>0.4</v>
      </c>
      <c r="H879" s="167">
        <f>F879*G879</f>
        <v/>
      </c>
      <c r="I879" s="168">
        <f>if(or(eq(Accounts!J879,"No Valet"),eq(Accounts!J879,"Has Valet")), H879 * AVERAGE(Accounts!J$2:J$36),H879*Accounts!J879)</f>
        <v/>
      </c>
      <c r="J879" s="168">
        <f>iferror(I879*360,"")</f>
        <v/>
      </c>
      <c r="K879" s="168">
        <f>J879*0.1</f>
        <v/>
      </c>
    </row>
    <row r="880" ht="54.75" customHeight="1" s="211">
      <c r="A880" s="164">
        <f>Accounts!A880</f>
        <v/>
      </c>
      <c r="B880" s="12" t="n"/>
      <c r="C880" s="65" t="n"/>
      <c r="D880" s="165">
        <f>Accounts!K880</f>
        <v/>
      </c>
      <c r="E880" s="166" t="n">
        <v>0.6</v>
      </c>
      <c r="F880" s="167">
        <f>Accounts!K880*E880</f>
        <v/>
      </c>
      <c r="G880" s="166" t="n">
        <v>0.4</v>
      </c>
      <c r="H880" s="167">
        <f>F880*G880</f>
        <v/>
      </c>
      <c r="I880" s="168">
        <f>if(or(eq(Accounts!J880,"No Valet"),eq(Accounts!J880,"Has Valet")), H880 * AVERAGE(Accounts!J$2:J$36),H880*Accounts!J880)</f>
        <v/>
      </c>
      <c r="J880" s="168">
        <f>iferror(I880*360,"")</f>
        <v/>
      </c>
      <c r="K880" s="168">
        <f>J880*0.1</f>
        <v/>
      </c>
    </row>
    <row r="881" ht="54.75" customHeight="1" s="211">
      <c r="A881" s="164">
        <f>Accounts!A881</f>
        <v/>
      </c>
      <c r="B881" s="12" t="n"/>
      <c r="C881" s="65" t="n"/>
      <c r="D881" s="165">
        <f>Accounts!K881</f>
        <v/>
      </c>
      <c r="E881" s="166" t="n">
        <v>0.6</v>
      </c>
      <c r="F881" s="167">
        <f>Accounts!K881*E881</f>
        <v/>
      </c>
      <c r="G881" s="166" t="n">
        <v>0.4</v>
      </c>
      <c r="H881" s="167">
        <f>F881*G881</f>
        <v/>
      </c>
      <c r="I881" s="168">
        <f>if(or(eq(Accounts!J881,"No Valet"),eq(Accounts!J881,"Has Valet")), H881 * AVERAGE(Accounts!J$2:J$36),H881*Accounts!J881)</f>
        <v/>
      </c>
      <c r="J881" s="168">
        <f>iferror(I881*360,"")</f>
        <v/>
      </c>
      <c r="K881" s="168">
        <f>J881*0.1</f>
        <v/>
      </c>
    </row>
    <row r="882" ht="54.75" customHeight="1" s="211">
      <c r="A882" s="164">
        <f>Accounts!A882</f>
        <v/>
      </c>
      <c r="B882" s="12" t="n"/>
      <c r="C882" s="65" t="n"/>
      <c r="D882" s="165">
        <f>Accounts!K882</f>
        <v/>
      </c>
      <c r="E882" s="166" t="n">
        <v>0.6</v>
      </c>
      <c r="F882" s="167">
        <f>Accounts!K882*E882</f>
        <v/>
      </c>
      <c r="G882" s="166" t="n">
        <v>0.4</v>
      </c>
      <c r="H882" s="167">
        <f>F882*G882</f>
        <v/>
      </c>
      <c r="I882" s="168">
        <f>if(or(eq(Accounts!J882,"No Valet"),eq(Accounts!J882,"Has Valet")), H882 * AVERAGE(Accounts!J$2:J$36),H882*Accounts!J882)</f>
        <v/>
      </c>
      <c r="J882" s="168">
        <f>iferror(I882*360,"")</f>
        <v/>
      </c>
      <c r="K882" s="168">
        <f>J882*0.1</f>
        <v/>
      </c>
    </row>
    <row r="883" ht="54.75" customHeight="1" s="211">
      <c r="A883" s="164">
        <f>Accounts!A883</f>
        <v/>
      </c>
      <c r="B883" s="12" t="n"/>
      <c r="C883" s="65" t="n"/>
      <c r="D883" s="165">
        <f>Accounts!K883</f>
        <v/>
      </c>
      <c r="E883" s="166" t="n">
        <v>0.6</v>
      </c>
      <c r="F883" s="167">
        <f>Accounts!K883*E883</f>
        <v/>
      </c>
      <c r="G883" s="166" t="n">
        <v>0.4</v>
      </c>
      <c r="H883" s="167">
        <f>F883*G883</f>
        <v/>
      </c>
      <c r="I883" s="168">
        <f>if(or(eq(Accounts!J883,"No Valet"),eq(Accounts!J883,"Has Valet")), H883 * AVERAGE(Accounts!J$2:J$36),H883*Accounts!J883)</f>
        <v/>
      </c>
      <c r="J883" s="168">
        <f>iferror(I883*360,"")</f>
        <v/>
      </c>
      <c r="K883" s="168">
        <f>J883*0.1</f>
        <v/>
      </c>
    </row>
    <row r="884" ht="54.75" customHeight="1" s="211">
      <c r="A884" s="164">
        <f>Accounts!A884</f>
        <v/>
      </c>
      <c r="B884" s="12" t="n"/>
      <c r="C884" s="65" t="n"/>
      <c r="D884" s="165">
        <f>Accounts!K884</f>
        <v/>
      </c>
      <c r="E884" s="166" t="n">
        <v>0.6</v>
      </c>
      <c r="F884" s="167">
        <f>Accounts!K884*E884</f>
        <v/>
      </c>
      <c r="G884" s="166" t="n">
        <v>0.4</v>
      </c>
      <c r="H884" s="167">
        <f>F884*G884</f>
        <v/>
      </c>
      <c r="I884" s="168">
        <f>if(or(eq(Accounts!J884,"No Valet"),eq(Accounts!J884,"Has Valet")), H884 * AVERAGE(Accounts!J$2:J$36),H884*Accounts!J884)</f>
        <v/>
      </c>
      <c r="J884" s="168">
        <f>iferror(I884*360,"")</f>
        <v/>
      </c>
      <c r="K884" s="168">
        <f>J884*0.1</f>
        <v/>
      </c>
    </row>
    <row r="885" ht="54.75" customHeight="1" s="211">
      <c r="A885" s="164">
        <f>Accounts!A885</f>
        <v/>
      </c>
      <c r="B885" s="12" t="n"/>
      <c r="C885" s="65" t="n"/>
      <c r="D885" s="165">
        <f>Accounts!K885</f>
        <v/>
      </c>
      <c r="E885" s="166" t="n">
        <v>0.6</v>
      </c>
      <c r="F885" s="167">
        <f>Accounts!K885*E885</f>
        <v/>
      </c>
      <c r="G885" s="166" t="n">
        <v>0.4</v>
      </c>
      <c r="H885" s="167">
        <f>F885*G885</f>
        <v/>
      </c>
      <c r="I885" s="168">
        <f>if(or(eq(Accounts!J885,"No Valet"),eq(Accounts!J885,"Has Valet")), H885 * AVERAGE(Accounts!J$2:J$36),H885*Accounts!J885)</f>
        <v/>
      </c>
      <c r="J885" s="168">
        <f>iferror(I885*360,"")</f>
        <v/>
      </c>
      <c r="K885" s="168">
        <f>J885*0.1</f>
        <v/>
      </c>
    </row>
    <row r="886" ht="54.75" customHeight="1" s="211">
      <c r="A886" s="164">
        <f>Accounts!A886</f>
        <v/>
      </c>
      <c r="B886" s="12" t="n"/>
      <c r="C886" s="65" t="n"/>
      <c r="D886" s="165">
        <f>Accounts!K886</f>
        <v/>
      </c>
      <c r="E886" s="166" t="n">
        <v>0.6</v>
      </c>
      <c r="F886" s="167">
        <f>Accounts!K886*E886</f>
        <v/>
      </c>
      <c r="G886" s="166" t="n">
        <v>0.4</v>
      </c>
      <c r="H886" s="167">
        <f>F886*G886</f>
        <v/>
      </c>
      <c r="I886" s="168">
        <f>if(or(eq(Accounts!J886,"No Valet"),eq(Accounts!J886,"Has Valet")), H886 * AVERAGE(Accounts!J$2:J$36),H886*Accounts!J886)</f>
        <v/>
      </c>
      <c r="J886" s="168">
        <f>iferror(I886*360,"")</f>
        <v/>
      </c>
      <c r="K886" s="168">
        <f>J886*0.1</f>
        <v/>
      </c>
    </row>
    <row r="887" ht="54.75" customHeight="1" s="211">
      <c r="A887" s="164">
        <f>Accounts!A887</f>
        <v/>
      </c>
      <c r="B887" s="12" t="n"/>
      <c r="C887" s="65" t="n"/>
      <c r="D887" s="165">
        <f>Accounts!K887</f>
        <v/>
      </c>
      <c r="E887" s="166" t="n">
        <v>0.6</v>
      </c>
      <c r="F887" s="167">
        <f>Accounts!K887*E887</f>
        <v/>
      </c>
      <c r="G887" s="166" t="n">
        <v>0.4</v>
      </c>
      <c r="H887" s="167">
        <f>F887*G887</f>
        <v/>
      </c>
      <c r="I887" s="168">
        <f>if(or(eq(Accounts!J887,"No Valet"),eq(Accounts!J887,"Has Valet")), H887 * AVERAGE(Accounts!J$2:J$36),H887*Accounts!J887)</f>
        <v/>
      </c>
      <c r="J887" s="168">
        <f>iferror(I887*360,"")</f>
        <v/>
      </c>
      <c r="K887" s="168">
        <f>J887*0.1</f>
        <v/>
      </c>
    </row>
    <row r="888" ht="54.75" customHeight="1" s="211">
      <c r="A888" s="164">
        <f>Accounts!A888</f>
        <v/>
      </c>
      <c r="B888" s="12" t="n"/>
      <c r="C888" s="65" t="n"/>
      <c r="D888" s="165">
        <f>Accounts!K888</f>
        <v/>
      </c>
      <c r="E888" s="166" t="n">
        <v>0.6</v>
      </c>
      <c r="F888" s="167">
        <f>Accounts!K888*E888</f>
        <v/>
      </c>
      <c r="G888" s="166" t="n">
        <v>0.4</v>
      </c>
      <c r="H888" s="167">
        <f>F888*G888</f>
        <v/>
      </c>
      <c r="I888" s="168">
        <f>if(or(eq(Accounts!J888,"No Valet"),eq(Accounts!J888,"Has Valet")), H888 * AVERAGE(Accounts!J$2:J$36),H888*Accounts!J888)</f>
        <v/>
      </c>
      <c r="J888" s="168">
        <f>iferror(I888*360,"")</f>
        <v/>
      </c>
      <c r="K888" s="168">
        <f>J888*0.1</f>
        <v/>
      </c>
    </row>
    <row r="889" ht="54.75" customHeight="1" s="211">
      <c r="A889" s="164">
        <f>Accounts!A889</f>
        <v/>
      </c>
      <c r="B889" s="12" t="n"/>
      <c r="C889" s="65" t="n"/>
      <c r="D889" s="165">
        <f>Accounts!K889</f>
        <v/>
      </c>
      <c r="E889" s="166" t="n">
        <v>0.6</v>
      </c>
      <c r="F889" s="167">
        <f>Accounts!K889*E889</f>
        <v/>
      </c>
      <c r="G889" s="166" t="n">
        <v>0.4</v>
      </c>
      <c r="H889" s="167">
        <f>F889*G889</f>
        <v/>
      </c>
      <c r="I889" s="168">
        <f>if(or(eq(Accounts!J889,"No Valet"),eq(Accounts!J889,"Has Valet")), H889 * AVERAGE(Accounts!J$2:J$36),H889*Accounts!J889)</f>
        <v/>
      </c>
      <c r="J889" s="168">
        <f>iferror(I889*360,"")</f>
        <v/>
      </c>
      <c r="K889" s="168">
        <f>J889*0.1</f>
        <v/>
      </c>
    </row>
    <row r="890" ht="54.75" customHeight="1" s="211">
      <c r="A890" s="164">
        <f>Accounts!A890</f>
        <v/>
      </c>
      <c r="B890" s="12" t="n"/>
      <c r="C890" s="65" t="n"/>
      <c r="D890" s="165">
        <f>Accounts!K890</f>
        <v/>
      </c>
      <c r="E890" s="166" t="n">
        <v>0.6</v>
      </c>
      <c r="F890" s="167">
        <f>Accounts!K890*E890</f>
        <v/>
      </c>
      <c r="G890" s="166" t="n">
        <v>0.4</v>
      </c>
      <c r="H890" s="167">
        <f>F890*G890</f>
        <v/>
      </c>
      <c r="I890" s="168">
        <f>if(or(eq(Accounts!J890,"No Valet"),eq(Accounts!J890,"Has Valet")), H890 * AVERAGE(Accounts!J$2:J$36),H890*Accounts!J890)</f>
        <v/>
      </c>
      <c r="J890" s="168">
        <f>iferror(I890*360,"")</f>
        <v/>
      </c>
      <c r="K890" s="168">
        <f>J890*0.1</f>
        <v/>
      </c>
    </row>
    <row r="891" ht="54.75" customHeight="1" s="211">
      <c r="A891" s="164">
        <f>Accounts!A891</f>
        <v/>
      </c>
      <c r="B891" s="12" t="n"/>
      <c r="C891" s="65" t="n"/>
      <c r="D891" s="165">
        <f>Accounts!K891</f>
        <v/>
      </c>
      <c r="E891" s="166" t="n">
        <v>0.6</v>
      </c>
      <c r="F891" s="167">
        <f>Accounts!K891*E891</f>
        <v/>
      </c>
      <c r="G891" s="166" t="n">
        <v>0.4</v>
      </c>
      <c r="H891" s="167">
        <f>F891*G891</f>
        <v/>
      </c>
      <c r="I891" s="168">
        <f>if(or(eq(Accounts!J891,"No Valet"),eq(Accounts!J891,"Has Valet")), H891 * AVERAGE(Accounts!J$2:J$36),H891*Accounts!J891)</f>
        <v/>
      </c>
      <c r="J891" s="168">
        <f>iferror(I891*360,"")</f>
        <v/>
      </c>
      <c r="K891" s="168">
        <f>J891*0.1</f>
        <v/>
      </c>
    </row>
    <row r="892" ht="54.75" customHeight="1" s="211">
      <c r="A892" s="164">
        <f>Accounts!A892</f>
        <v/>
      </c>
      <c r="B892" s="12" t="n"/>
      <c r="C892" s="65" t="n"/>
      <c r="D892" s="165">
        <f>Accounts!K892</f>
        <v/>
      </c>
      <c r="E892" s="166" t="n">
        <v>0.6</v>
      </c>
      <c r="F892" s="167">
        <f>Accounts!K892*E892</f>
        <v/>
      </c>
      <c r="G892" s="166" t="n">
        <v>0.4</v>
      </c>
      <c r="H892" s="167">
        <f>F892*G892</f>
        <v/>
      </c>
      <c r="I892" s="168">
        <f>if(or(eq(Accounts!J892,"No Valet"),eq(Accounts!J892,"Has Valet")), H892 * AVERAGE(Accounts!J$2:J$36),H892*Accounts!J892)</f>
        <v/>
      </c>
      <c r="J892" s="168">
        <f>iferror(I892*360,"")</f>
        <v/>
      </c>
      <c r="K892" s="168">
        <f>J892*0.1</f>
        <v/>
      </c>
    </row>
    <row r="893" ht="54.75" customHeight="1" s="211">
      <c r="A893" s="164">
        <f>Accounts!A893</f>
        <v/>
      </c>
      <c r="B893" s="12" t="n"/>
      <c r="C893" s="65" t="n"/>
      <c r="D893" s="165">
        <f>Accounts!K893</f>
        <v/>
      </c>
      <c r="E893" s="166" t="n">
        <v>0.6</v>
      </c>
      <c r="F893" s="167">
        <f>Accounts!K893*E893</f>
        <v/>
      </c>
      <c r="G893" s="166" t="n">
        <v>0.4</v>
      </c>
      <c r="H893" s="167">
        <f>F893*G893</f>
        <v/>
      </c>
      <c r="I893" s="168">
        <f>if(or(eq(Accounts!J893,"No Valet"),eq(Accounts!J893,"Has Valet")), H893 * AVERAGE(Accounts!J$2:J$36),H893*Accounts!J893)</f>
        <v/>
      </c>
      <c r="J893" s="168">
        <f>iferror(I893*360,"")</f>
        <v/>
      </c>
      <c r="K893" s="168">
        <f>J893*0.1</f>
        <v/>
      </c>
    </row>
    <row r="894" ht="54.75" customHeight="1" s="211">
      <c r="A894" s="164">
        <f>Accounts!A894</f>
        <v/>
      </c>
      <c r="B894" s="12" t="n"/>
      <c r="C894" s="65" t="n"/>
      <c r="D894" s="165">
        <f>Accounts!K894</f>
        <v/>
      </c>
      <c r="E894" s="166" t="n">
        <v>0.6</v>
      </c>
      <c r="F894" s="167">
        <f>Accounts!K894*E894</f>
        <v/>
      </c>
      <c r="G894" s="166" t="n">
        <v>0.4</v>
      </c>
      <c r="H894" s="167">
        <f>F894*G894</f>
        <v/>
      </c>
      <c r="I894" s="168">
        <f>if(or(eq(Accounts!J894,"No Valet"),eq(Accounts!J894,"Has Valet")), H894 * AVERAGE(Accounts!J$2:J$36),H894*Accounts!J894)</f>
        <v/>
      </c>
      <c r="J894" s="168">
        <f>iferror(I894*360,"")</f>
        <v/>
      </c>
      <c r="K894" s="168">
        <f>J894*0.1</f>
        <v/>
      </c>
    </row>
    <row r="895" ht="54.75" customHeight="1" s="211">
      <c r="A895" s="164">
        <f>Accounts!A895</f>
        <v/>
      </c>
      <c r="B895" s="12" t="n"/>
      <c r="C895" s="65" t="n"/>
      <c r="D895" s="165">
        <f>Accounts!K895</f>
        <v/>
      </c>
      <c r="E895" s="166" t="n">
        <v>0.6</v>
      </c>
      <c r="F895" s="167">
        <f>Accounts!K895*E895</f>
        <v/>
      </c>
      <c r="G895" s="166" t="n">
        <v>0.4</v>
      </c>
      <c r="H895" s="167">
        <f>F895*G895</f>
        <v/>
      </c>
      <c r="I895" s="168">
        <f>if(or(eq(Accounts!J895,"No Valet"),eq(Accounts!J895,"Has Valet")), H895 * AVERAGE(Accounts!J$2:J$36),H895*Accounts!J895)</f>
        <v/>
      </c>
      <c r="J895" s="168">
        <f>iferror(I895*360,"")</f>
        <v/>
      </c>
      <c r="K895" s="168">
        <f>J895*0.1</f>
        <v/>
      </c>
    </row>
    <row r="896" ht="54.75" customHeight="1" s="211">
      <c r="A896" s="164">
        <f>Accounts!A896</f>
        <v/>
      </c>
      <c r="B896" s="12" t="n"/>
      <c r="C896" s="65" t="n"/>
      <c r="D896" s="165">
        <f>Accounts!K896</f>
        <v/>
      </c>
      <c r="E896" s="166" t="n">
        <v>0.6</v>
      </c>
      <c r="F896" s="167">
        <f>Accounts!K896*E896</f>
        <v/>
      </c>
      <c r="G896" s="166" t="n">
        <v>0.4</v>
      </c>
      <c r="H896" s="167">
        <f>F896*G896</f>
        <v/>
      </c>
      <c r="I896" s="168">
        <f>if(or(eq(Accounts!J896,"No Valet"),eq(Accounts!J896,"Has Valet")), H896 * AVERAGE(Accounts!J$2:J$36),H896*Accounts!J896)</f>
        <v/>
      </c>
      <c r="J896" s="168">
        <f>iferror(I896*360,"")</f>
        <v/>
      </c>
      <c r="K896" s="168">
        <f>J896*0.1</f>
        <v/>
      </c>
    </row>
    <row r="897" ht="54.75" customHeight="1" s="211">
      <c r="A897" s="164">
        <f>Accounts!A897</f>
        <v/>
      </c>
      <c r="B897" s="12" t="n"/>
      <c r="C897" s="65" t="n"/>
      <c r="D897" s="165">
        <f>Accounts!K897</f>
        <v/>
      </c>
      <c r="E897" s="166" t="n">
        <v>0.6</v>
      </c>
      <c r="F897" s="167">
        <f>Accounts!K897*E897</f>
        <v/>
      </c>
      <c r="G897" s="166" t="n">
        <v>0.4</v>
      </c>
      <c r="H897" s="167">
        <f>F897*G897</f>
        <v/>
      </c>
      <c r="I897" s="168">
        <f>if(or(eq(Accounts!J897,"No Valet"),eq(Accounts!J897,"Has Valet")), H897 * AVERAGE(Accounts!J$2:J$36),H897*Accounts!J897)</f>
        <v/>
      </c>
      <c r="J897" s="168">
        <f>iferror(I897*360,"")</f>
        <v/>
      </c>
      <c r="K897" s="168">
        <f>J897*0.1</f>
        <v/>
      </c>
    </row>
    <row r="898" ht="54.75" customHeight="1" s="211">
      <c r="A898" s="164">
        <f>Accounts!A898</f>
        <v/>
      </c>
      <c r="B898" s="12" t="n"/>
      <c r="C898" s="65" t="n"/>
      <c r="D898" s="165">
        <f>Accounts!K898</f>
        <v/>
      </c>
      <c r="E898" s="166" t="n">
        <v>0.6</v>
      </c>
      <c r="F898" s="167">
        <f>Accounts!K898*E898</f>
        <v/>
      </c>
      <c r="G898" s="166" t="n">
        <v>0.4</v>
      </c>
      <c r="H898" s="167">
        <f>F898*G898</f>
        <v/>
      </c>
      <c r="I898" s="168">
        <f>if(or(eq(Accounts!J898,"No Valet"),eq(Accounts!J898,"Has Valet")), H898 * AVERAGE(Accounts!J$2:J$36),H898*Accounts!J898)</f>
        <v/>
      </c>
      <c r="J898" s="168">
        <f>iferror(I898*360,"")</f>
        <v/>
      </c>
      <c r="K898" s="168">
        <f>J898*0.1</f>
        <v/>
      </c>
    </row>
    <row r="899" ht="54.75" customHeight="1" s="211">
      <c r="A899" s="164">
        <f>Accounts!A899</f>
        <v/>
      </c>
      <c r="B899" s="12" t="n"/>
      <c r="C899" s="65" t="n"/>
      <c r="D899" s="165">
        <f>Accounts!K899</f>
        <v/>
      </c>
      <c r="E899" s="166" t="n">
        <v>0.6</v>
      </c>
      <c r="F899" s="167">
        <f>Accounts!K899*E899</f>
        <v/>
      </c>
      <c r="G899" s="166" t="n">
        <v>0.4</v>
      </c>
      <c r="H899" s="167">
        <f>F899*G899</f>
        <v/>
      </c>
      <c r="I899" s="168">
        <f>if(or(eq(Accounts!J899,"No Valet"),eq(Accounts!J899,"Has Valet")), H899 * AVERAGE(Accounts!J$2:J$36),H899*Accounts!J899)</f>
        <v/>
      </c>
      <c r="J899" s="168">
        <f>iferror(I899*360,"")</f>
        <v/>
      </c>
      <c r="K899" s="168">
        <f>J899*0.1</f>
        <v/>
      </c>
    </row>
    <row r="900" ht="54.75" customHeight="1" s="211">
      <c r="A900" s="164">
        <f>Accounts!A900</f>
        <v/>
      </c>
      <c r="B900" s="12" t="n"/>
      <c r="C900" s="65" t="n"/>
      <c r="D900" s="165">
        <f>Accounts!K900</f>
        <v/>
      </c>
      <c r="E900" s="166" t="n">
        <v>0.6</v>
      </c>
      <c r="F900" s="167">
        <f>Accounts!K900*E900</f>
        <v/>
      </c>
      <c r="G900" s="166" t="n">
        <v>0.4</v>
      </c>
      <c r="H900" s="167">
        <f>F900*G900</f>
        <v/>
      </c>
      <c r="I900" s="168">
        <f>if(or(eq(Accounts!J900,"No Valet"),eq(Accounts!J900,"Has Valet")), H900 * AVERAGE(Accounts!J$2:J$36),H900*Accounts!J900)</f>
        <v/>
      </c>
      <c r="J900" s="168">
        <f>iferror(I900*360,"")</f>
        <v/>
      </c>
      <c r="K900" s="168">
        <f>J900*0.1</f>
        <v/>
      </c>
    </row>
    <row r="901" ht="54.75" customHeight="1" s="211">
      <c r="A901" s="164">
        <f>Accounts!A901</f>
        <v/>
      </c>
      <c r="B901" s="12" t="n"/>
      <c r="C901" s="65" t="n"/>
      <c r="D901" s="165">
        <f>Accounts!K901</f>
        <v/>
      </c>
      <c r="E901" s="166" t="n">
        <v>0.6</v>
      </c>
      <c r="F901" s="167">
        <f>Accounts!K901*E901</f>
        <v/>
      </c>
      <c r="G901" s="166" t="n">
        <v>0.4</v>
      </c>
      <c r="H901" s="167">
        <f>F901*G901</f>
        <v/>
      </c>
      <c r="I901" s="168">
        <f>if(or(eq(Accounts!J901,"No Valet"),eq(Accounts!J901,"Has Valet")), H901 * AVERAGE(Accounts!J$2:J$36),H901*Accounts!J901)</f>
        <v/>
      </c>
      <c r="J901" s="168">
        <f>iferror(I901*360,"")</f>
        <v/>
      </c>
      <c r="K901" s="168">
        <f>J901*0.1</f>
        <v/>
      </c>
    </row>
    <row r="902" ht="54.75" customHeight="1" s="211">
      <c r="A902" s="164">
        <f>Accounts!A902</f>
        <v/>
      </c>
      <c r="B902" s="12" t="n"/>
      <c r="C902" s="65" t="n"/>
      <c r="D902" s="165">
        <f>Accounts!K902</f>
        <v/>
      </c>
      <c r="E902" s="166" t="n">
        <v>0.6</v>
      </c>
      <c r="F902" s="167">
        <f>Accounts!K902*E902</f>
        <v/>
      </c>
      <c r="G902" s="166" t="n">
        <v>0.4</v>
      </c>
      <c r="H902" s="167">
        <f>F902*G902</f>
        <v/>
      </c>
      <c r="I902" s="168">
        <f>if(or(eq(Accounts!J902,"No Valet"),eq(Accounts!J902,"Has Valet")), H902 * AVERAGE(Accounts!J$2:J$36),H902*Accounts!J902)</f>
        <v/>
      </c>
      <c r="J902" s="168">
        <f>iferror(I902*360,"")</f>
        <v/>
      </c>
      <c r="K902" s="168">
        <f>J902*0.1</f>
        <v/>
      </c>
    </row>
    <row r="903" ht="54.75" customHeight="1" s="211">
      <c r="A903" s="164">
        <f>Accounts!A903</f>
        <v/>
      </c>
      <c r="B903" s="12" t="n"/>
      <c r="C903" s="65" t="n"/>
      <c r="D903" s="165">
        <f>Accounts!K903</f>
        <v/>
      </c>
      <c r="E903" s="166" t="n">
        <v>0.6</v>
      </c>
      <c r="F903" s="167">
        <f>Accounts!K903*E903</f>
        <v/>
      </c>
      <c r="G903" s="166" t="n">
        <v>0.4</v>
      </c>
      <c r="H903" s="167">
        <f>F903*G903</f>
        <v/>
      </c>
      <c r="I903" s="168">
        <f>if(or(eq(Accounts!J903,"No Valet"),eq(Accounts!J903,"Has Valet")), H903 * AVERAGE(Accounts!J$2:J$36),H903*Accounts!J903)</f>
        <v/>
      </c>
      <c r="J903" s="168">
        <f>iferror(I903*360,"")</f>
        <v/>
      </c>
      <c r="K903" s="168">
        <f>J903*0.1</f>
        <v/>
      </c>
    </row>
    <row r="904" ht="54.75" customHeight="1" s="211">
      <c r="A904" s="164">
        <f>Accounts!A904</f>
        <v/>
      </c>
      <c r="B904" s="12" t="n"/>
      <c r="C904" s="65" t="n"/>
      <c r="D904" s="165">
        <f>Accounts!K904</f>
        <v/>
      </c>
      <c r="E904" s="166" t="n">
        <v>0.6</v>
      </c>
      <c r="F904" s="167">
        <f>Accounts!K904*E904</f>
        <v/>
      </c>
      <c r="G904" s="166" t="n">
        <v>0.4</v>
      </c>
      <c r="H904" s="167">
        <f>F904*G904</f>
        <v/>
      </c>
      <c r="I904" s="168">
        <f>if(or(eq(Accounts!J904,"No Valet"),eq(Accounts!J904,"Has Valet")), H904 * AVERAGE(Accounts!J$2:J$36),H904*Accounts!J904)</f>
        <v/>
      </c>
      <c r="J904" s="168">
        <f>iferror(I904*360,"")</f>
        <v/>
      </c>
      <c r="K904" s="168">
        <f>J904*0.1</f>
        <v/>
      </c>
    </row>
    <row r="905" ht="54.75" customHeight="1" s="211">
      <c r="A905" s="164">
        <f>Accounts!A905</f>
        <v/>
      </c>
      <c r="B905" s="12" t="n"/>
      <c r="C905" s="65" t="n"/>
      <c r="D905" s="165">
        <f>Accounts!K905</f>
        <v/>
      </c>
      <c r="E905" s="166" t="n">
        <v>0.6</v>
      </c>
      <c r="F905" s="167">
        <f>Accounts!K905*E905</f>
        <v/>
      </c>
      <c r="G905" s="166" t="n">
        <v>0.4</v>
      </c>
      <c r="H905" s="167">
        <f>F905*G905</f>
        <v/>
      </c>
      <c r="I905" s="168">
        <f>if(or(eq(Accounts!J905,"No Valet"),eq(Accounts!J905,"Has Valet")), H905 * AVERAGE(Accounts!J$2:J$36),H905*Accounts!J905)</f>
        <v/>
      </c>
      <c r="J905" s="168">
        <f>iferror(I905*360,"")</f>
        <v/>
      </c>
      <c r="K905" s="168">
        <f>J905*0.1</f>
        <v/>
      </c>
    </row>
    <row r="906" ht="54.75" customHeight="1" s="211">
      <c r="A906" s="164">
        <f>Accounts!A906</f>
        <v/>
      </c>
      <c r="B906" s="12" t="n"/>
      <c r="C906" s="65" t="n"/>
      <c r="D906" s="165">
        <f>Accounts!K906</f>
        <v/>
      </c>
      <c r="E906" s="166" t="n">
        <v>0.6</v>
      </c>
      <c r="F906" s="167">
        <f>Accounts!K906*E906</f>
        <v/>
      </c>
      <c r="G906" s="166" t="n">
        <v>0.4</v>
      </c>
      <c r="H906" s="167">
        <f>F906*G906</f>
        <v/>
      </c>
      <c r="I906" s="168">
        <f>if(or(eq(Accounts!J906,"No Valet"),eq(Accounts!J906,"Has Valet")), H906 * AVERAGE(Accounts!J$2:J$36),H906*Accounts!J906)</f>
        <v/>
      </c>
      <c r="J906" s="168">
        <f>iferror(I906*360,"")</f>
        <v/>
      </c>
      <c r="K906" s="168">
        <f>J906*0.1</f>
        <v/>
      </c>
    </row>
    <row r="907" ht="54.75" customHeight="1" s="211">
      <c r="A907" s="164">
        <f>Accounts!A907</f>
        <v/>
      </c>
      <c r="B907" s="12" t="n"/>
      <c r="C907" s="65" t="n"/>
      <c r="D907" s="165">
        <f>Accounts!K907</f>
        <v/>
      </c>
      <c r="E907" s="166" t="n">
        <v>0.6</v>
      </c>
      <c r="F907" s="167">
        <f>Accounts!K907*E907</f>
        <v/>
      </c>
      <c r="G907" s="166" t="n">
        <v>0.4</v>
      </c>
      <c r="H907" s="167">
        <f>F907*G907</f>
        <v/>
      </c>
      <c r="I907" s="168">
        <f>if(or(eq(Accounts!J907,"No Valet"),eq(Accounts!J907,"Has Valet")), H907 * AVERAGE(Accounts!J$2:J$36),H907*Accounts!J907)</f>
        <v/>
      </c>
      <c r="J907" s="168">
        <f>iferror(I907*360,"")</f>
        <v/>
      </c>
      <c r="K907" s="168">
        <f>J907*0.1</f>
        <v/>
      </c>
    </row>
    <row r="908" ht="54.75" customHeight="1" s="211">
      <c r="A908" s="164">
        <f>Accounts!A908</f>
        <v/>
      </c>
      <c r="B908" s="12" t="n"/>
      <c r="C908" s="65" t="n"/>
      <c r="D908" s="165">
        <f>Accounts!K908</f>
        <v/>
      </c>
      <c r="E908" s="166" t="n">
        <v>0.6</v>
      </c>
      <c r="F908" s="167">
        <f>Accounts!K908*E908</f>
        <v/>
      </c>
      <c r="G908" s="166" t="n">
        <v>0.4</v>
      </c>
      <c r="H908" s="167">
        <f>F908*G908</f>
        <v/>
      </c>
      <c r="I908" s="168">
        <f>if(or(eq(Accounts!J908,"No Valet"),eq(Accounts!J908,"Has Valet")), H908 * AVERAGE(Accounts!J$2:J$36),H908*Accounts!J908)</f>
        <v/>
      </c>
      <c r="J908" s="168">
        <f>iferror(I908*360,"")</f>
        <v/>
      </c>
      <c r="K908" s="168">
        <f>J908*0.1</f>
        <v/>
      </c>
    </row>
    <row r="909" ht="54.75" customHeight="1" s="211">
      <c r="A909" s="164">
        <f>Accounts!A909</f>
        <v/>
      </c>
      <c r="B909" s="12" t="n"/>
      <c r="C909" s="65" t="n"/>
      <c r="D909" s="165">
        <f>Accounts!K909</f>
        <v/>
      </c>
      <c r="E909" s="166" t="n">
        <v>0.6</v>
      </c>
      <c r="F909" s="167">
        <f>Accounts!K909*E909</f>
        <v/>
      </c>
      <c r="G909" s="166" t="n">
        <v>0.4</v>
      </c>
      <c r="H909" s="167">
        <f>F909*G909</f>
        <v/>
      </c>
      <c r="I909" s="168">
        <f>if(or(eq(Accounts!J909,"No Valet"),eq(Accounts!J909,"Has Valet")), H909 * AVERAGE(Accounts!J$2:J$36),H909*Accounts!J909)</f>
        <v/>
      </c>
      <c r="J909" s="168">
        <f>iferror(I909*360,"")</f>
        <v/>
      </c>
      <c r="K909" s="168">
        <f>J909*0.1</f>
        <v/>
      </c>
    </row>
    <row r="910" ht="54.75" customHeight="1" s="211">
      <c r="A910" s="164">
        <f>Accounts!A910</f>
        <v/>
      </c>
      <c r="B910" s="12" t="n"/>
      <c r="C910" s="65" t="n"/>
      <c r="D910" s="165">
        <f>Accounts!K910</f>
        <v/>
      </c>
      <c r="E910" s="166" t="n">
        <v>0.6</v>
      </c>
      <c r="F910" s="167">
        <f>Accounts!K910*E910</f>
        <v/>
      </c>
      <c r="G910" s="166" t="n">
        <v>0.4</v>
      </c>
      <c r="H910" s="167">
        <f>F910*G910</f>
        <v/>
      </c>
      <c r="I910" s="168">
        <f>if(or(eq(Accounts!J910,"No Valet"),eq(Accounts!J910,"Has Valet")), H910 * AVERAGE(Accounts!J$2:J$36),H910*Accounts!J910)</f>
        <v/>
      </c>
      <c r="J910" s="168">
        <f>iferror(I910*360,"")</f>
        <v/>
      </c>
      <c r="K910" s="168">
        <f>J910*0.1</f>
        <v/>
      </c>
    </row>
    <row r="911" ht="54.75" customHeight="1" s="211">
      <c r="A911" s="164">
        <f>Accounts!A911</f>
        <v/>
      </c>
      <c r="B911" s="12" t="n"/>
      <c r="C911" s="65" t="n"/>
      <c r="D911" s="165">
        <f>Accounts!K911</f>
        <v/>
      </c>
      <c r="E911" s="166" t="n">
        <v>0.6</v>
      </c>
      <c r="F911" s="167">
        <f>Accounts!K911*E911</f>
        <v/>
      </c>
      <c r="G911" s="166" t="n">
        <v>0.4</v>
      </c>
      <c r="H911" s="167">
        <f>F911*G911</f>
        <v/>
      </c>
      <c r="I911" s="168">
        <f>if(or(eq(Accounts!J911,"No Valet"),eq(Accounts!J911,"Has Valet")), H911 * AVERAGE(Accounts!J$2:J$36),H911*Accounts!J911)</f>
        <v/>
      </c>
      <c r="J911" s="168">
        <f>iferror(I911*360,"")</f>
        <v/>
      </c>
      <c r="K911" s="168">
        <f>J911*0.1</f>
        <v/>
      </c>
    </row>
    <row r="912" ht="54.75" customHeight="1" s="211">
      <c r="A912" s="164">
        <f>Accounts!A912</f>
        <v/>
      </c>
      <c r="B912" s="12" t="n"/>
      <c r="C912" s="65" t="n"/>
      <c r="D912" s="165">
        <f>Accounts!K912</f>
        <v/>
      </c>
      <c r="E912" s="166" t="n">
        <v>0.6</v>
      </c>
      <c r="F912" s="167">
        <f>Accounts!K912*E912</f>
        <v/>
      </c>
      <c r="G912" s="166" t="n">
        <v>0.4</v>
      </c>
      <c r="H912" s="167">
        <f>F912*G912</f>
        <v/>
      </c>
      <c r="I912" s="168">
        <f>if(or(eq(Accounts!J912,"No Valet"),eq(Accounts!J912,"Has Valet")), H912 * AVERAGE(Accounts!J$2:J$36),H912*Accounts!J912)</f>
        <v/>
      </c>
      <c r="J912" s="168">
        <f>iferror(I912*360,"")</f>
        <v/>
      </c>
      <c r="K912" s="168">
        <f>J912*0.1</f>
        <v/>
      </c>
    </row>
    <row r="913" ht="54.75" customHeight="1" s="211">
      <c r="A913" s="164">
        <f>Accounts!A913</f>
        <v/>
      </c>
      <c r="B913" s="12" t="n"/>
      <c r="C913" s="65" t="n"/>
      <c r="D913" s="165">
        <f>Accounts!K913</f>
        <v/>
      </c>
      <c r="E913" s="166" t="n">
        <v>0.6</v>
      </c>
      <c r="F913" s="167">
        <f>Accounts!K913*E913</f>
        <v/>
      </c>
      <c r="G913" s="166" t="n">
        <v>0.4</v>
      </c>
      <c r="H913" s="167">
        <f>F913*G913</f>
        <v/>
      </c>
      <c r="I913" s="168">
        <f>if(or(eq(Accounts!J913,"No Valet"),eq(Accounts!J913,"Has Valet")), H913 * AVERAGE(Accounts!J$2:J$36),H913*Accounts!J913)</f>
        <v/>
      </c>
      <c r="J913" s="168">
        <f>iferror(I913*360,"")</f>
        <v/>
      </c>
      <c r="K913" s="168">
        <f>J913*0.1</f>
        <v/>
      </c>
    </row>
    <row r="914" ht="54.75" customHeight="1" s="211">
      <c r="A914" s="164">
        <f>Accounts!A914</f>
        <v/>
      </c>
      <c r="B914" s="12" t="n"/>
      <c r="C914" s="65" t="n"/>
      <c r="D914" s="165">
        <f>Accounts!K914</f>
        <v/>
      </c>
      <c r="E914" s="166" t="n">
        <v>0.6</v>
      </c>
      <c r="F914" s="167">
        <f>Accounts!K914*E914</f>
        <v/>
      </c>
      <c r="G914" s="166" t="n">
        <v>0.4</v>
      </c>
      <c r="H914" s="167">
        <f>F914*G914</f>
        <v/>
      </c>
      <c r="I914" s="168">
        <f>if(or(eq(Accounts!J914,"No Valet"),eq(Accounts!J914,"Has Valet")), H914 * AVERAGE(Accounts!J$2:J$36),H914*Accounts!J914)</f>
        <v/>
      </c>
      <c r="J914" s="168">
        <f>iferror(I914*360,"")</f>
        <v/>
      </c>
      <c r="K914" s="168">
        <f>J914*0.1</f>
        <v/>
      </c>
    </row>
    <row r="915" ht="54.75" customHeight="1" s="211">
      <c r="A915" s="164">
        <f>Accounts!A915</f>
        <v/>
      </c>
      <c r="B915" s="12" t="n"/>
      <c r="C915" s="65" t="n"/>
      <c r="D915" s="165">
        <f>Accounts!K915</f>
        <v/>
      </c>
      <c r="E915" s="166" t="n">
        <v>0.6</v>
      </c>
      <c r="F915" s="167">
        <f>Accounts!K915*E915</f>
        <v/>
      </c>
      <c r="G915" s="166" t="n">
        <v>0.4</v>
      </c>
      <c r="H915" s="167">
        <f>F915*G915</f>
        <v/>
      </c>
      <c r="I915" s="168">
        <f>if(or(eq(Accounts!J915,"No Valet"),eq(Accounts!J915,"Has Valet")), H915 * AVERAGE(Accounts!J$2:J$36),H915*Accounts!J915)</f>
        <v/>
      </c>
      <c r="J915" s="168">
        <f>iferror(I915*360,"")</f>
        <v/>
      </c>
      <c r="K915" s="168">
        <f>J915*0.1</f>
        <v/>
      </c>
    </row>
    <row r="916" ht="54.75" customHeight="1" s="211">
      <c r="A916" s="164">
        <f>Accounts!A916</f>
        <v/>
      </c>
      <c r="B916" s="12" t="n"/>
      <c r="C916" s="65" t="n"/>
      <c r="D916" s="165">
        <f>Accounts!K916</f>
        <v/>
      </c>
      <c r="E916" s="166" t="n">
        <v>0.6</v>
      </c>
      <c r="F916" s="167">
        <f>Accounts!K916*E916</f>
        <v/>
      </c>
      <c r="G916" s="166" t="n">
        <v>0.4</v>
      </c>
      <c r="H916" s="167">
        <f>F916*G916</f>
        <v/>
      </c>
      <c r="I916" s="168">
        <f>if(or(eq(Accounts!J916,"No Valet"),eq(Accounts!J916,"Has Valet")), H916 * AVERAGE(Accounts!J$2:J$36),H916*Accounts!J916)</f>
        <v/>
      </c>
      <c r="J916" s="168">
        <f>iferror(I916*360,"")</f>
        <v/>
      </c>
      <c r="K916" s="168">
        <f>J916*0.1</f>
        <v/>
      </c>
    </row>
    <row r="917" ht="54.75" customHeight="1" s="211">
      <c r="A917" s="164">
        <f>Accounts!A917</f>
        <v/>
      </c>
      <c r="B917" s="12" t="n"/>
      <c r="C917" s="65" t="n"/>
      <c r="D917" s="165">
        <f>Accounts!K917</f>
        <v/>
      </c>
      <c r="E917" s="166" t="n">
        <v>0.6</v>
      </c>
      <c r="F917" s="167">
        <f>Accounts!K917*E917</f>
        <v/>
      </c>
      <c r="G917" s="166" t="n">
        <v>0.4</v>
      </c>
      <c r="H917" s="167">
        <f>F917*G917</f>
        <v/>
      </c>
      <c r="I917" s="168">
        <f>if(or(eq(Accounts!J917,"No Valet"),eq(Accounts!J917,"Has Valet")), H917 * AVERAGE(Accounts!J$2:J$36),H917*Accounts!J917)</f>
        <v/>
      </c>
      <c r="J917" s="168">
        <f>iferror(I917*360,"")</f>
        <v/>
      </c>
      <c r="K917" s="168">
        <f>J917*0.1</f>
        <v/>
      </c>
    </row>
    <row r="918" ht="54.75" customHeight="1" s="211">
      <c r="A918" s="164">
        <f>Accounts!A918</f>
        <v/>
      </c>
      <c r="B918" s="12" t="n"/>
      <c r="C918" s="65" t="n"/>
      <c r="D918" s="165">
        <f>Accounts!K918</f>
        <v/>
      </c>
      <c r="E918" s="166" t="n">
        <v>0.6</v>
      </c>
      <c r="F918" s="167">
        <f>Accounts!K918*E918</f>
        <v/>
      </c>
      <c r="G918" s="166" t="n">
        <v>0.4</v>
      </c>
      <c r="H918" s="167">
        <f>F918*G918</f>
        <v/>
      </c>
      <c r="I918" s="168">
        <f>if(or(eq(Accounts!J918,"No Valet"),eq(Accounts!J918,"Has Valet")), H918 * AVERAGE(Accounts!J$2:J$36),H918*Accounts!J918)</f>
        <v/>
      </c>
      <c r="J918" s="168">
        <f>iferror(I918*360,"")</f>
        <v/>
      </c>
      <c r="K918" s="168">
        <f>J918*0.1</f>
        <v/>
      </c>
    </row>
    <row r="919" ht="54.75" customHeight="1" s="211">
      <c r="A919" s="164">
        <f>Accounts!A919</f>
        <v/>
      </c>
      <c r="B919" s="12" t="n"/>
      <c r="C919" s="65" t="n"/>
      <c r="D919" s="165">
        <f>Accounts!K919</f>
        <v/>
      </c>
      <c r="E919" s="166" t="n">
        <v>0.6</v>
      </c>
      <c r="F919" s="167">
        <f>Accounts!K919*E919</f>
        <v/>
      </c>
      <c r="G919" s="166" t="n">
        <v>0.4</v>
      </c>
      <c r="H919" s="167">
        <f>F919*G919</f>
        <v/>
      </c>
      <c r="I919" s="168">
        <f>if(or(eq(Accounts!J919,"No Valet"),eq(Accounts!J919,"Has Valet")), H919 * AVERAGE(Accounts!J$2:J$36),H919*Accounts!J919)</f>
        <v/>
      </c>
      <c r="J919" s="168">
        <f>iferror(I919*360,"")</f>
        <v/>
      </c>
      <c r="K919" s="168">
        <f>J919*0.1</f>
        <v/>
      </c>
    </row>
    <row r="920" ht="54.75" customHeight="1" s="211">
      <c r="A920" s="164">
        <f>Accounts!A920</f>
        <v/>
      </c>
      <c r="B920" s="12" t="n"/>
      <c r="C920" s="65" t="n"/>
      <c r="D920" s="165">
        <f>Accounts!K920</f>
        <v/>
      </c>
      <c r="E920" s="166" t="n">
        <v>0.6</v>
      </c>
      <c r="F920" s="167">
        <f>Accounts!K920*E920</f>
        <v/>
      </c>
      <c r="G920" s="166" t="n">
        <v>0.4</v>
      </c>
      <c r="H920" s="167">
        <f>F920*G920</f>
        <v/>
      </c>
      <c r="I920" s="168">
        <f>if(or(eq(Accounts!J920,"No Valet"),eq(Accounts!J920,"Has Valet")), H920 * AVERAGE(Accounts!J$2:J$36),H920*Accounts!J920)</f>
        <v/>
      </c>
      <c r="J920" s="168">
        <f>iferror(I920*360,"")</f>
        <v/>
      </c>
      <c r="K920" s="168">
        <f>J920*0.1</f>
        <v/>
      </c>
    </row>
    <row r="921" ht="54.75" customHeight="1" s="211">
      <c r="A921" s="164">
        <f>Accounts!A921</f>
        <v/>
      </c>
      <c r="B921" s="12" t="n"/>
      <c r="C921" s="65" t="n"/>
      <c r="D921" s="165">
        <f>Accounts!K921</f>
        <v/>
      </c>
      <c r="E921" s="166" t="n">
        <v>0.6</v>
      </c>
      <c r="F921" s="167">
        <f>Accounts!K921*E921</f>
        <v/>
      </c>
      <c r="G921" s="166" t="n">
        <v>0.4</v>
      </c>
      <c r="H921" s="167">
        <f>F921*G921</f>
        <v/>
      </c>
      <c r="I921" s="168">
        <f>if(or(eq(Accounts!J921,"No Valet"),eq(Accounts!J921,"Has Valet")), H921 * AVERAGE(Accounts!J$2:J$36),H921*Accounts!J921)</f>
        <v/>
      </c>
      <c r="J921" s="168">
        <f>iferror(I921*360,"")</f>
        <v/>
      </c>
      <c r="K921" s="168">
        <f>J921*0.1</f>
        <v/>
      </c>
    </row>
    <row r="922" ht="54.75" customHeight="1" s="211">
      <c r="A922" s="164">
        <f>Accounts!A922</f>
        <v/>
      </c>
      <c r="B922" s="12" t="n"/>
      <c r="C922" s="65" t="n"/>
      <c r="D922" s="165">
        <f>Accounts!K922</f>
        <v/>
      </c>
      <c r="E922" s="166" t="n">
        <v>0.6</v>
      </c>
      <c r="F922" s="167">
        <f>Accounts!K922*E922</f>
        <v/>
      </c>
      <c r="G922" s="166" t="n">
        <v>0.4</v>
      </c>
      <c r="H922" s="167">
        <f>F922*G922</f>
        <v/>
      </c>
      <c r="I922" s="168">
        <f>if(or(eq(Accounts!J922,"No Valet"),eq(Accounts!J922,"Has Valet")), H922 * AVERAGE(Accounts!J$2:J$36),H922*Accounts!J922)</f>
        <v/>
      </c>
      <c r="J922" s="168">
        <f>iferror(I922*360,"")</f>
        <v/>
      </c>
      <c r="K922" s="168">
        <f>J922*0.1</f>
        <v/>
      </c>
    </row>
    <row r="923" ht="54.75" customHeight="1" s="211">
      <c r="A923" s="164">
        <f>Accounts!A923</f>
        <v/>
      </c>
      <c r="B923" s="12" t="n"/>
      <c r="C923" s="65" t="n"/>
      <c r="D923" s="165">
        <f>Accounts!K923</f>
        <v/>
      </c>
      <c r="E923" s="166" t="n">
        <v>0.6</v>
      </c>
      <c r="F923" s="167">
        <f>Accounts!K923*E923</f>
        <v/>
      </c>
      <c r="G923" s="166" t="n">
        <v>0.4</v>
      </c>
      <c r="H923" s="167">
        <f>F923*G923</f>
        <v/>
      </c>
      <c r="I923" s="168">
        <f>if(or(eq(Accounts!J923,"No Valet"),eq(Accounts!J923,"Has Valet")), H923 * AVERAGE(Accounts!J$2:J$36),H923*Accounts!J923)</f>
        <v/>
      </c>
      <c r="J923" s="168">
        <f>iferror(I923*360,"")</f>
        <v/>
      </c>
      <c r="K923" s="168">
        <f>J923*0.1</f>
        <v/>
      </c>
    </row>
    <row r="924" ht="54.75" customHeight="1" s="211">
      <c r="A924" s="164">
        <f>Accounts!A924</f>
        <v/>
      </c>
      <c r="B924" s="12" t="n"/>
      <c r="C924" s="65" t="n"/>
      <c r="D924" s="165">
        <f>Accounts!K924</f>
        <v/>
      </c>
      <c r="E924" s="166" t="n">
        <v>0.6</v>
      </c>
      <c r="F924" s="167">
        <f>Accounts!K924*E924</f>
        <v/>
      </c>
      <c r="G924" s="166" t="n">
        <v>0.4</v>
      </c>
      <c r="H924" s="167">
        <f>F924*G924</f>
        <v/>
      </c>
      <c r="I924" s="168">
        <f>if(or(eq(Accounts!J924,"No Valet"),eq(Accounts!J924,"Has Valet")), H924 * AVERAGE(Accounts!J$2:J$36),H924*Accounts!J924)</f>
        <v/>
      </c>
      <c r="J924" s="168">
        <f>iferror(I924*360,"")</f>
        <v/>
      </c>
      <c r="K924" s="168">
        <f>J924*0.1</f>
        <v/>
      </c>
    </row>
    <row r="925" ht="54.75" customHeight="1" s="211">
      <c r="A925" s="164">
        <f>Accounts!A925</f>
        <v/>
      </c>
      <c r="B925" s="12" t="n"/>
      <c r="C925" s="65" t="n"/>
      <c r="D925" s="165">
        <f>Accounts!K925</f>
        <v/>
      </c>
      <c r="E925" s="166" t="n">
        <v>0.6</v>
      </c>
      <c r="F925" s="167">
        <f>Accounts!K925*E925</f>
        <v/>
      </c>
      <c r="G925" s="166" t="n">
        <v>0.4</v>
      </c>
      <c r="H925" s="167">
        <f>F925*G925</f>
        <v/>
      </c>
      <c r="I925" s="168">
        <f>if(or(eq(Accounts!J925,"No Valet"),eq(Accounts!J925,"Has Valet")), H925 * AVERAGE(Accounts!J$2:J$36),H925*Accounts!J925)</f>
        <v/>
      </c>
      <c r="J925" s="168">
        <f>iferror(I925*360,"")</f>
        <v/>
      </c>
      <c r="K925" s="168">
        <f>J925*0.1</f>
        <v/>
      </c>
    </row>
    <row r="926" ht="54.75" customHeight="1" s="211">
      <c r="A926" s="164">
        <f>Accounts!A926</f>
        <v/>
      </c>
      <c r="B926" s="12" t="n"/>
      <c r="C926" s="65" t="n"/>
      <c r="D926" s="165">
        <f>Accounts!K926</f>
        <v/>
      </c>
      <c r="E926" s="166" t="n">
        <v>0.6</v>
      </c>
      <c r="F926" s="167">
        <f>Accounts!K926*E926</f>
        <v/>
      </c>
      <c r="G926" s="166" t="n">
        <v>0.4</v>
      </c>
      <c r="H926" s="167">
        <f>F926*G926</f>
        <v/>
      </c>
      <c r="I926" s="168">
        <f>if(or(eq(Accounts!J926,"No Valet"),eq(Accounts!J926,"Has Valet")), H926 * AVERAGE(Accounts!J$2:J$36),H926*Accounts!J926)</f>
        <v/>
      </c>
      <c r="J926" s="168">
        <f>iferror(I926*360,"")</f>
        <v/>
      </c>
      <c r="K926" s="168">
        <f>J926*0.1</f>
        <v/>
      </c>
    </row>
    <row r="927" ht="54.75" customHeight="1" s="211">
      <c r="A927" s="164">
        <f>Accounts!A927</f>
        <v/>
      </c>
      <c r="B927" s="12" t="n"/>
      <c r="C927" s="65" t="n"/>
      <c r="D927" s="165">
        <f>Accounts!K927</f>
        <v/>
      </c>
      <c r="E927" s="166" t="n">
        <v>0.6</v>
      </c>
      <c r="F927" s="167">
        <f>Accounts!K927*E927</f>
        <v/>
      </c>
      <c r="G927" s="166" t="n">
        <v>0.4</v>
      </c>
      <c r="H927" s="167">
        <f>F927*G927</f>
        <v/>
      </c>
      <c r="I927" s="168">
        <f>if(or(eq(Accounts!J927,"No Valet"),eq(Accounts!J927,"Has Valet")), H927 * AVERAGE(Accounts!J$2:J$36),H927*Accounts!J927)</f>
        <v/>
      </c>
      <c r="J927" s="168">
        <f>iferror(I927*360,"")</f>
        <v/>
      </c>
      <c r="K927" s="168">
        <f>J927*0.1</f>
        <v/>
      </c>
    </row>
    <row r="928" ht="54.75" customHeight="1" s="211">
      <c r="A928" s="164">
        <f>Accounts!A928</f>
        <v/>
      </c>
      <c r="B928" s="12" t="n"/>
      <c r="C928" s="65" t="n"/>
      <c r="D928" s="165">
        <f>Accounts!K928</f>
        <v/>
      </c>
      <c r="E928" s="166" t="n">
        <v>0.6</v>
      </c>
      <c r="F928" s="167">
        <f>Accounts!K928*E928</f>
        <v/>
      </c>
      <c r="G928" s="166" t="n">
        <v>0.4</v>
      </c>
      <c r="H928" s="167">
        <f>F928*G928</f>
        <v/>
      </c>
      <c r="I928" s="168">
        <f>if(or(eq(Accounts!J928,"No Valet"),eq(Accounts!J928,"Has Valet")), H928 * AVERAGE(Accounts!J$2:J$36),H928*Accounts!J928)</f>
        <v/>
      </c>
      <c r="J928" s="168">
        <f>iferror(I928*360,"")</f>
        <v/>
      </c>
      <c r="K928" s="168">
        <f>J928*0.1</f>
        <v/>
      </c>
    </row>
    <row r="929" ht="54.75" customHeight="1" s="211">
      <c r="A929" s="164">
        <f>Accounts!A929</f>
        <v/>
      </c>
      <c r="B929" s="12" t="n"/>
      <c r="C929" s="65" t="n"/>
      <c r="D929" s="165">
        <f>Accounts!K929</f>
        <v/>
      </c>
      <c r="E929" s="166" t="n">
        <v>0.6</v>
      </c>
      <c r="F929" s="167">
        <f>Accounts!K929*E929</f>
        <v/>
      </c>
      <c r="G929" s="166" t="n">
        <v>0.4</v>
      </c>
      <c r="H929" s="167">
        <f>F929*G929</f>
        <v/>
      </c>
      <c r="I929" s="168">
        <f>if(or(eq(Accounts!J929,"No Valet"),eq(Accounts!J929,"Has Valet")), H929 * AVERAGE(Accounts!J$2:J$36),H929*Accounts!J929)</f>
        <v/>
      </c>
      <c r="J929" s="168">
        <f>iferror(I929*360,"")</f>
        <v/>
      </c>
      <c r="K929" s="168">
        <f>J929*0.1</f>
        <v/>
      </c>
    </row>
    <row r="930" ht="54.75" customHeight="1" s="211">
      <c r="A930" s="164">
        <f>Accounts!A930</f>
        <v/>
      </c>
      <c r="B930" s="12" t="n"/>
      <c r="C930" s="65" t="n"/>
      <c r="D930" s="165">
        <f>Accounts!K930</f>
        <v/>
      </c>
      <c r="E930" s="166" t="n">
        <v>0.6</v>
      </c>
      <c r="F930" s="167">
        <f>Accounts!K930*E930</f>
        <v/>
      </c>
      <c r="G930" s="166" t="n">
        <v>0.4</v>
      </c>
      <c r="H930" s="167">
        <f>F930*G930</f>
        <v/>
      </c>
      <c r="I930" s="168">
        <f>if(or(eq(Accounts!J930,"No Valet"),eq(Accounts!J930,"Has Valet")), H930 * AVERAGE(Accounts!J$2:J$36),H930*Accounts!J930)</f>
        <v/>
      </c>
      <c r="J930" s="168">
        <f>iferror(I930*360,"")</f>
        <v/>
      </c>
      <c r="K930" s="168">
        <f>J930*0.1</f>
        <v/>
      </c>
    </row>
    <row r="931" ht="54.75" customHeight="1" s="211">
      <c r="A931" s="164">
        <f>Accounts!A931</f>
        <v/>
      </c>
      <c r="B931" s="12" t="n"/>
      <c r="C931" s="65" t="n"/>
      <c r="D931" s="165">
        <f>Accounts!K931</f>
        <v/>
      </c>
      <c r="E931" s="166" t="n">
        <v>0.6</v>
      </c>
      <c r="F931" s="167">
        <f>Accounts!K931*E931</f>
        <v/>
      </c>
      <c r="G931" s="166" t="n">
        <v>0.4</v>
      </c>
      <c r="H931" s="167">
        <f>F931*G931</f>
        <v/>
      </c>
      <c r="I931" s="168">
        <f>if(or(eq(Accounts!J931,"No Valet"),eq(Accounts!J931,"Has Valet")), H931 * AVERAGE(Accounts!J$2:J$36),H931*Accounts!J931)</f>
        <v/>
      </c>
      <c r="J931" s="168">
        <f>iferror(I931*360,"")</f>
        <v/>
      </c>
      <c r="K931" s="168">
        <f>J931*0.1</f>
        <v/>
      </c>
    </row>
    <row r="932" ht="54.75" customHeight="1" s="211">
      <c r="A932" s="164">
        <f>Accounts!A932</f>
        <v/>
      </c>
      <c r="B932" s="12" t="n"/>
      <c r="C932" s="65" t="n"/>
      <c r="D932" s="165">
        <f>Accounts!K932</f>
        <v/>
      </c>
      <c r="E932" s="166" t="n">
        <v>0.6</v>
      </c>
      <c r="F932" s="167">
        <f>Accounts!K932*E932</f>
        <v/>
      </c>
      <c r="G932" s="166" t="n">
        <v>0.4</v>
      </c>
      <c r="H932" s="167">
        <f>F932*G932</f>
        <v/>
      </c>
      <c r="I932" s="168">
        <f>if(or(eq(Accounts!J932,"No Valet"),eq(Accounts!J932,"Has Valet")), H932 * AVERAGE(Accounts!J$2:J$36),H932*Accounts!J932)</f>
        <v/>
      </c>
      <c r="J932" s="168">
        <f>iferror(I932*360,"")</f>
        <v/>
      </c>
      <c r="K932" s="168">
        <f>J932*0.1</f>
        <v/>
      </c>
    </row>
    <row r="933" ht="54.75" customHeight="1" s="211">
      <c r="A933" s="164">
        <f>Accounts!A933</f>
        <v/>
      </c>
      <c r="B933" s="12" t="n"/>
      <c r="C933" s="65" t="n"/>
      <c r="D933" s="165">
        <f>Accounts!K933</f>
        <v/>
      </c>
      <c r="E933" s="166" t="n">
        <v>0.6</v>
      </c>
      <c r="F933" s="167">
        <f>Accounts!K933*E933</f>
        <v/>
      </c>
      <c r="G933" s="166" t="n">
        <v>0.4</v>
      </c>
      <c r="H933" s="167">
        <f>F933*G933</f>
        <v/>
      </c>
      <c r="I933" s="168">
        <f>if(or(eq(Accounts!J933,"No Valet"),eq(Accounts!J933,"Has Valet")), H933 * AVERAGE(Accounts!J$2:J$36),H933*Accounts!J933)</f>
        <v/>
      </c>
      <c r="J933" s="168">
        <f>iferror(I933*360,"")</f>
        <v/>
      </c>
      <c r="K933" s="168">
        <f>J933*0.1</f>
        <v/>
      </c>
    </row>
    <row r="934" ht="54.75" customHeight="1" s="211">
      <c r="A934" s="164">
        <f>Accounts!A934</f>
        <v/>
      </c>
      <c r="B934" s="12" t="n"/>
      <c r="C934" s="65" t="n"/>
      <c r="D934" s="165">
        <f>Accounts!K934</f>
        <v/>
      </c>
      <c r="E934" s="166" t="n">
        <v>0.6</v>
      </c>
      <c r="F934" s="167">
        <f>Accounts!K934*E934</f>
        <v/>
      </c>
      <c r="G934" s="166" t="n">
        <v>0.4</v>
      </c>
      <c r="H934" s="167">
        <f>F934*G934</f>
        <v/>
      </c>
      <c r="I934" s="168">
        <f>if(or(eq(Accounts!J934,"No Valet"),eq(Accounts!J934,"Has Valet")), H934 * AVERAGE(Accounts!J$2:J$36),H934*Accounts!J934)</f>
        <v/>
      </c>
      <c r="J934" s="168">
        <f>iferror(I934*360,"")</f>
        <v/>
      </c>
      <c r="K934" s="168">
        <f>J934*0.1</f>
        <v/>
      </c>
    </row>
    <row r="935" ht="54.75" customHeight="1" s="211">
      <c r="A935" s="164">
        <f>Accounts!A935</f>
        <v/>
      </c>
      <c r="B935" s="12" t="n"/>
      <c r="C935" s="65" t="n"/>
      <c r="D935" s="165">
        <f>Accounts!K935</f>
        <v/>
      </c>
      <c r="E935" s="166" t="n">
        <v>0.6</v>
      </c>
      <c r="F935" s="167">
        <f>Accounts!K935*E935</f>
        <v/>
      </c>
      <c r="G935" s="166" t="n">
        <v>0.4</v>
      </c>
      <c r="H935" s="167">
        <f>F935*G935</f>
        <v/>
      </c>
      <c r="I935" s="168">
        <f>if(or(eq(Accounts!J935,"No Valet"),eq(Accounts!J935,"Has Valet")), H935 * AVERAGE(Accounts!J$2:J$36),H935*Accounts!J935)</f>
        <v/>
      </c>
      <c r="J935" s="168">
        <f>iferror(I935*360,"")</f>
        <v/>
      </c>
      <c r="K935" s="168">
        <f>J935*0.1</f>
        <v/>
      </c>
    </row>
    <row r="936" ht="54.75" customHeight="1" s="211">
      <c r="A936" s="164">
        <f>Accounts!A936</f>
        <v/>
      </c>
      <c r="B936" s="12" t="n"/>
      <c r="C936" s="65" t="n"/>
      <c r="D936" s="165">
        <f>Accounts!K936</f>
        <v/>
      </c>
      <c r="E936" s="166" t="n">
        <v>0.6</v>
      </c>
      <c r="F936" s="167">
        <f>Accounts!K936*E936</f>
        <v/>
      </c>
      <c r="G936" s="166" t="n">
        <v>0.4</v>
      </c>
      <c r="H936" s="167">
        <f>F936*G936</f>
        <v/>
      </c>
      <c r="I936" s="168">
        <f>if(or(eq(Accounts!J936,"No Valet"),eq(Accounts!J936,"Has Valet")), H936 * AVERAGE(Accounts!J$2:J$36),H936*Accounts!J936)</f>
        <v/>
      </c>
      <c r="J936" s="168">
        <f>iferror(I936*360,"")</f>
        <v/>
      </c>
      <c r="K936" s="168">
        <f>J936*0.1</f>
        <v/>
      </c>
    </row>
    <row r="937" ht="54.75" customHeight="1" s="211">
      <c r="A937" s="164">
        <f>Accounts!A937</f>
        <v/>
      </c>
      <c r="B937" s="12" t="n"/>
      <c r="C937" s="65" t="n"/>
      <c r="D937" s="165">
        <f>Accounts!K937</f>
        <v/>
      </c>
      <c r="E937" s="166" t="n">
        <v>0.6</v>
      </c>
      <c r="F937" s="167">
        <f>Accounts!K937*E937</f>
        <v/>
      </c>
      <c r="G937" s="166" t="n">
        <v>0.4</v>
      </c>
      <c r="H937" s="167">
        <f>F937*G937</f>
        <v/>
      </c>
      <c r="I937" s="168">
        <f>if(or(eq(Accounts!J937,"No Valet"),eq(Accounts!J937,"Has Valet")), H937 * AVERAGE(Accounts!J$2:J$36),H937*Accounts!J937)</f>
        <v/>
      </c>
      <c r="J937" s="168">
        <f>iferror(I937*360,"")</f>
        <v/>
      </c>
      <c r="K937" s="168">
        <f>J937*0.1</f>
        <v/>
      </c>
    </row>
    <row r="938" ht="54.75" customHeight="1" s="211">
      <c r="A938" s="164">
        <f>Accounts!A938</f>
        <v/>
      </c>
      <c r="B938" s="12" t="n"/>
      <c r="C938" s="65" t="n"/>
      <c r="D938" s="165">
        <f>Accounts!K938</f>
        <v/>
      </c>
      <c r="E938" s="166" t="n">
        <v>0.6</v>
      </c>
      <c r="F938" s="167">
        <f>Accounts!K938*E938</f>
        <v/>
      </c>
      <c r="G938" s="166" t="n">
        <v>0.4</v>
      </c>
      <c r="H938" s="167">
        <f>F938*G938</f>
        <v/>
      </c>
      <c r="I938" s="168">
        <f>if(or(eq(Accounts!J938,"No Valet"),eq(Accounts!J938,"Has Valet")), H938 * AVERAGE(Accounts!J$2:J$36),H938*Accounts!J938)</f>
        <v/>
      </c>
      <c r="J938" s="168">
        <f>iferror(I938*360,"")</f>
        <v/>
      </c>
      <c r="K938" s="168">
        <f>J938*0.1</f>
        <v/>
      </c>
    </row>
    <row r="939" ht="54.75" customHeight="1" s="211">
      <c r="A939" s="164">
        <f>Accounts!A939</f>
        <v/>
      </c>
      <c r="B939" s="12" t="n"/>
      <c r="C939" s="65" t="n"/>
      <c r="D939" s="165">
        <f>Accounts!K939</f>
        <v/>
      </c>
      <c r="E939" s="166" t="n">
        <v>0.6</v>
      </c>
      <c r="F939" s="167">
        <f>Accounts!K939*E939</f>
        <v/>
      </c>
      <c r="G939" s="166" t="n">
        <v>0.4</v>
      </c>
      <c r="H939" s="167">
        <f>F939*G939</f>
        <v/>
      </c>
      <c r="I939" s="168">
        <f>if(or(eq(Accounts!J939,"No Valet"),eq(Accounts!J939,"Has Valet")), H939 * AVERAGE(Accounts!J$2:J$36),H939*Accounts!J939)</f>
        <v/>
      </c>
      <c r="J939" s="168">
        <f>iferror(I939*360,"")</f>
        <v/>
      </c>
      <c r="K939" s="168">
        <f>J939*0.1</f>
        <v/>
      </c>
    </row>
    <row r="940" ht="54.75" customHeight="1" s="211">
      <c r="A940" s="164">
        <f>Accounts!A940</f>
        <v/>
      </c>
      <c r="B940" s="12" t="n"/>
      <c r="C940" s="65" t="n"/>
      <c r="D940" s="165">
        <f>Accounts!K940</f>
        <v/>
      </c>
      <c r="E940" s="166" t="n">
        <v>0.6</v>
      </c>
      <c r="F940" s="167">
        <f>Accounts!K940*E940</f>
        <v/>
      </c>
      <c r="G940" s="166" t="n">
        <v>0.4</v>
      </c>
      <c r="H940" s="167">
        <f>F940*G940</f>
        <v/>
      </c>
      <c r="I940" s="168">
        <f>if(or(eq(Accounts!J940,"No Valet"),eq(Accounts!J940,"Has Valet")), H940 * AVERAGE(Accounts!J$2:J$36),H940*Accounts!J940)</f>
        <v/>
      </c>
      <c r="J940" s="168">
        <f>iferror(I940*360,"")</f>
        <v/>
      </c>
      <c r="K940" s="168">
        <f>J940*0.1</f>
        <v/>
      </c>
    </row>
    <row r="941" ht="54.75" customHeight="1" s="211">
      <c r="A941" s="164">
        <f>Accounts!A941</f>
        <v/>
      </c>
      <c r="B941" s="12" t="n"/>
      <c r="C941" s="65" t="n"/>
      <c r="D941" s="165">
        <f>Accounts!K941</f>
        <v/>
      </c>
      <c r="E941" s="166" t="n">
        <v>0.6</v>
      </c>
      <c r="F941" s="167">
        <f>Accounts!K941*E941</f>
        <v/>
      </c>
      <c r="G941" s="166" t="n">
        <v>0.4</v>
      </c>
      <c r="H941" s="167">
        <f>F941*G941</f>
        <v/>
      </c>
      <c r="I941" s="168">
        <f>if(or(eq(Accounts!J941,"No Valet"),eq(Accounts!J941,"Has Valet")), H941 * AVERAGE(Accounts!J$2:J$36),H941*Accounts!J941)</f>
        <v/>
      </c>
      <c r="J941" s="168">
        <f>iferror(I941*360,"")</f>
        <v/>
      </c>
      <c r="K941" s="168">
        <f>J941*0.1</f>
        <v/>
      </c>
    </row>
    <row r="942" ht="54.75" customHeight="1" s="211">
      <c r="A942" s="164">
        <f>Accounts!A942</f>
        <v/>
      </c>
      <c r="B942" s="12" t="n"/>
      <c r="C942" s="65" t="n"/>
      <c r="D942" s="165">
        <f>Accounts!K942</f>
        <v/>
      </c>
      <c r="E942" s="166" t="n">
        <v>0.6</v>
      </c>
      <c r="F942" s="167">
        <f>Accounts!K942*E942</f>
        <v/>
      </c>
      <c r="G942" s="166" t="n">
        <v>0.4</v>
      </c>
      <c r="H942" s="167">
        <f>F942*G942</f>
        <v/>
      </c>
      <c r="I942" s="168">
        <f>if(or(eq(Accounts!J942,"No Valet"),eq(Accounts!J942,"Has Valet")), H942 * AVERAGE(Accounts!J$2:J$36),H942*Accounts!J942)</f>
        <v/>
      </c>
      <c r="J942" s="168">
        <f>iferror(I942*360,"")</f>
        <v/>
      </c>
      <c r="K942" s="168">
        <f>J942*0.1</f>
        <v/>
      </c>
    </row>
    <row r="943" ht="54.75" customHeight="1" s="211">
      <c r="A943" s="164">
        <f>Accounts!A943</f>
        <v/>
      </c>
      <c r="B943" s="12" t="n"/>
      <c r="C943" s="65" t="n"/>
      <c r="D943" s="165">
        <f>Accounts!K943</f>
        <v/>
      </c>
      <c r="E943" s="166" t="n">
        <v>0.6</v>
      </c>
      <c r="F943" s="167">
        <f>Accounts!K943*E943</f>
        <v/>
      </c>
      <c r="G943" s="166" t="n">
        <v>0.4</v>
      </c>
      <c r="H943" s="167">
        <f>F943*G943</f>
        <v/>
      </c>
      <c r="I943" s="168">
        <f>if(or(eq(Accounts!J943,"No Valet"),eq(Accounts!J943,"Has Valet")), H943 * AVERAGE(Accounts!J$2:J$36),H943*Accounts!J943)</f>
        <v/>
      </c>
      <c r="J943" s="168">
        <f>iferror(I943*360,"")</f>
        <v/>
      </c>
      <c r="K943" s="168">
        <f>J943*0.1</f>
        <v/>
      </c>
    </row>
    <row r="944" ht="54.75" customHeight="1" s="211">
      <c r="A944" s="164">
        <f>Accounts!A944</f>
        <v/>
      </c>
      <c r="B944" s="12" t="n"/>
      <c r="C944" s="65" t="n"/>
      <c r="D944" s="165">
        <f>Accounts!K944</f>
        <v/>
      </c>
      <c r="E944" s="166" t="n">
        <v>0.6</v>
      </c>
      <c r="F944" s="167">
        <f>Accounts!K944*E944</f>
        <v/>
      </c>
      <c r="G944" s="166" t="n">
        <v>0.4</v>
      </c>
      <c r="H944" s="167">
        <f>F944*G944</f>
        <v/>
      </c>
      <c r="I944" s="168">
        <f>if(or(eq(Accounts!J944,"No Valet"),eq(Accounts!J944,"Has Valet")), H944 * AVERAGE(Accounts!J$2:J$36),H944*Accounts!J944)</f>
        <v/>
      </c>
      <c r="J944" s="168">
        <f>iferror(I944*360,"")</f>
        <v/>
      </c>
      <c r="K944" s="168">
        <f>J944*0.1</f>
        <v/>
      </c>
    </row>
    <row r="945" ht="54.75" customHeight="1" s="211">
      <c r="A945" s="164">
        <f>Accounts!A945</f>
        <v/>
      </c>
      <c r="B945" s="12" t="n"/>
      <c r="C945" s="65" t="n"/>
      <c r="D945" s="165">
        <f>Accounts!K945</f>
        <v/>
      </c>
      <c r="E945" s="166" t="n">
        <v>0.6</v>
      </c>
      <c r="F945" s="167">
        <f>Accounts!K945*E945</f>
        <v/>
      </c>
      <c r="G945" s="166" t="n">
        <v>0.4</v>
      </c>
      <c r="H945" s="167">
        <f>F945*G945</f>
        <v/>
      </c>
      <c r="I945" s="168">
        <f>if(or(eq(Accounts!J945,"No Valet"),eq(Accounts!J945,"Has Valet")), H945 * AVERAGE(Accounts!J$2:J$36),H945*Accounts!J945)</f>
        <v/>
      </c>
      <c r="J945" s="168">
        <f>iferror(I945*360,"")</f>
        <v/>
      </c>
      <c r="K945" s="168">
        <f>J945*0.1</f>
        <v/>
      </c>
    </row>
    <row r="946" ht="54.75" customHeight="1" s="211">
      <c r="A946" s="164">
        <f>Accounts!A946</f>
        <v/>
      </c>
      <c r="B946" s="12" t="n"/>
      <c r="C946" s="65" t="n"/>
      <c r="D946" s="165">
        <f>Accounts!K946</f>
        <v/>
      </c>
      <c r="E946" s="166" t="n">
        <v>0.6</v>
      </c>
      <c r="F946" s="167">
        <f>Accounts!K946*E946</f>
        <v/>
      </c>
      <c r="G946" s="166" t="n">
        <v>0.4</v>
      </c>
      <c r="H946" s="167">
        <f>F946*G946</f>
        <v/>
      </c>
      <c r="I946" s="168">
        <f>if(or(eq(Accounts!J946,"No Valet"),eq(Accounts!J946,"Has Valet")), H946 * AVERAGE(Accounts!J$2:J$36),H946*Accounts!J946)</f>
        <v/>
      </c>
      <c r="J946" s="168">
        <f>iferror(I946*360,"")</f>
        <v/>
      </c>
      <c r="K946" s="168">
        <f>J946*0.1</f>
        <v/>
      </c>
    </row>
    <row r="947" ht="54.75" customHeight="1" s="211">
      <c r="A947" s="164">
        <f>Accounts!A947</f>
        <v/>
      </c>
      <c r="B947" s="12" t="n"/>
      <c r="C947" s="65" t="n"/>
      <c r="D947" s="165">
        <f>Accounts!K947</f>
        <v/>
      </c>
      <c r="E947" s="166" t="n">
        <v>0.6</v>
      </c>
      <c r="F947" s="167">
        <f>Accounts!K947*E947</f>
        <v/>
      </c>
      <c r="G947" s="166" t="n">
        <v>0.4</v>
      </c>
      <c r="H947" s="167">
        <f>F947*G947</f>
        <v/>
      </c>
      <c r="I947" s="168">
        <f>if(or(eq(Accounts!J947,"No Valet"),eq(Accounts!J947,"Has Valet")), H947 * AVERAGE(Accounts!J$2:J$36),H947*Accounts!J947)</f>
        <v/>
      </c>
      <c r="J947" s="168">
        <f>iferror(I947*360,"")</f>
        <v/>
      </c>
      <c r="K947" s="168">
        <f>J947*0.1</f>
        <v/>
      </c>
    </row>
    <row r="948" ht="54.75" customHeight="1" s="211">
      <c r="A948" s="164">
        <f>Accounts!A948</f>
        <v/>
      </c>
      <c r="B948" s="12" t="n"/>
      <c r="C948" s="65" t="n"/>
      <c r="D948" s="165">
        <f>Accounts!K948</f>
        <v/>
      </c>
      <c r="E948" s="166" t="n">
        <v>0.6</v>
      </c>
      <c r="F948" s="167">
        <f>Accounts!K948*E948</f>
        <v/>
      </c>
      <c r="G948" s="166" t="n">
        <v>0.4</v>
      </c>
      <c r="H948" s="167">
        <f>F948*G948</f>
        <v/>
      </c>
      <c r="I948" s="168">
        <f>if(or(eq(Accounts!J948,"No Valet"),eq(Accounts!J948,"Has Valet")), H948 * AVERAGE(Accounts!J$2:J$36),H948*Accounts!J948)</f>
        <v/>
      </c>
      <c r="J948" s="168">
        <f>iferror(I948*360,"")</f>
        <v/>
      </c>
      <c r="K948" s="168">
        <f>J948*0.1</f>
        <v/>
      </c>
    </row>
    <row r="949" ht="54.75" customHeight="1" s="211">
      <c r="A949" s="164">
        <f>Accounts!A949</f>
        <v/>
      </c>
      <c r="B949" s="12" t="n"/>
      <c r="C949" s="65" t="n"/>
      <c r="D949" s="165">
        <f>Accounts!K949</f>
        <v/>
      </c>
      <c r="E949" s="166" t="n">
        <v>0.6</v>
      </c>
      <c r="F949" s="167">
        <f>Accounts!K949*E949</f>
        <v/>
      </c>
      <c r="G949" s="166" t="n">
        <v>0.4</v>
      </c>
      <c r="H949" s="167">
        <f>F949*G949</f>
        <v/>
      </c>
      <c r="I949" s="168">
        <f>if(or(eq(Accounts!J949,"No Valet"),eq(Accounts!J949,"Has Valet")), H949 * AVERAGE(Accounts!J$2:J$36),H949*Accounts!J949)</f>
        <v/>
      </c>
      <c r="J949" s="168">
        <f>iferror(I949*360,"")</f>
        <v/>
      </c>
      <c r="K949" s="168">
        <f>J949*0.1</f>
        <v/>
      </c>
    </row>
    <row r="950" ht="54.75" customHeight="1" s="211">
      <c r="A950" s="164">
        <f>Accounts!A950</f>
        <v/>
      </c>
      <c r="B950" s="12" t="n"/>
      <c r="C950" s="65" t="n"/>
      <c r="D950" s="165">
        <f>Accounts!K950</f>
        <v/>
      </c>
      <c r="E950" s="166" t="n">
        <v>0.6</v>
      </c>
      <c r="F950" s="167">
        <f>Accounts!K950*E950</f>
        <v/>
      </c>
      <c r="G950" s="166" t="n">
        <v>0.4</v>
      </c>
      <c r="H950" s="167">
        <f>F950*G950</f>
        <v/>
      </c>
      <c r="I950" s="168">
        <f>if(or(eq(Accounts!J950,"No Valet"),eq(Accounts!J950,"Has Valet")), H950 * AVERAGE(Accounts!J$2:J$36),H950*Accounts!J950)</f>
        <v/>
      </c>
      <c r="J950" s="168">
        <f>iferror(I950*360,"")</f>
        <v/>
      </c>
      <c r="K950" s="168">
        <f>J950*0.1</f>
        <v/>
      </c>
    </row>
    <row r="951" ht="54.75" customHeight="1" s="211">
      <c r="A951" s="164">
        <f>Accounts!A951</f>
        <v/>
      </c>
      <c r="B951" s="12" t="n"/>
      <c r="C951" s="65" t="n"/>
      <c r="D951" s="165">
        <f>Accounts!K951</f>
        <v/>
      </c>
      <c r="E951" s="166" t="n">
        <v>0.6</v>
      </c>
      <c r="F951" s="167">
        <f>Accounts!K951*E951</f>
        <v/>
      </c>
      <c r="G951" s="166" t="n">
        <v>0.4</v>
      </c>
      <c r="H951" s="167">
        <f>F951*G951</f>
        <v/>
      </c>
      <c r="I951" s="168">
        <f>if(or(eq(Accounts!J951,"No Valet"),eq(Accounts!J951,"Has Valet")), H951 * AVERAGE(Accounts!J$2:J$36),H951*Accounts!J951)</f>
        <v/>
      </c>
      <c r="J951" s="168">
        <f>iferror(I951*360,"")</f>
        <v/>
      </c>
      <c r="K951" s="168">
        <f>J951*0.1</f>
        <v/>
      </c>
    </row>
    <row r="952" ht="54.75" customHeight="1" s="211">
      <c r="A952" s="164">
        <f>Accounts!A952</f>
        <v/>
      </c>
      <c r="B952" s="12" t="n"/>
      <c r="C952" s="65" t="n"/>
      <c r="D952" s="165">
        <f>Accounts!K952</f>
        <v/>
      </c>
      <c r="E952" s="166" t="n">
        <v>0.6</v>
      </c>
      <c r="F952" s="167">
        <f>Accounts!K952*E952</f>
        <v/>
      </c>
      <c r="G952" s="166" t="n">
        <v>0.4</v>
      </c>
      <c r="H952" s="167">
        <f>F952*G952</f>
        <v/>
      </c>
      <c r="I952" s="168">
        <f>if(or(eq(Accounts!J952,"No Valet"),eq(Accounts!J952,"Has Valet")), H952 * AVERAGE(Accounts!J$2:J$36),H952*Accounts!J952)</f>
        <v/>
      </c>
      <c r="J952" s="168">
        <f>iferror(I952*360,"")</f>
        <v/>
      </c>
      <c r="K952" s="168">
        <f>J952*0.1</f>
        <v/>
      </c>
    </row>
    <row r="953" ht="54.75" customHeight="1" s="211">
      <c r="A953" s="164">
        <f>Accounts!A953</f>
        <v/>
      </c>
      <c r="B953" s="12" t="n"/>
      <c r="C953" s="65" t="n"/>
      <c r="D953" s="165">
        <f>Accounts!K953</f>
        <v/>
      </c>
      <c r="E953" s="166" t="n">
        <v>0.6</v>
      </c>
      <c r="F953" s="167">
        <f>Accounts!K953*E953</f>
        <v/>
      </c>
      <c r="G953" s="166" t="n">
        <v>0.4</v>
      </c>
      <c r="H953" s="167">
        <f>F953*G953</f>
        <v/>
      </c>
      <c r="I953" s="168">
        <f>if(or(eq(Accounts!J953,"No Valet"),eq(Accounts!J953,"Has Valet")), H953 * AVERAGE(Accounts!J$2:J$36),H953*Accounts!J953)</f>
        <v/>
      </c>
      <c r="J953" s="168">
        <f>iferror(I953*360,"")</f>
        <v/>
      </c>
      <c r="K953" s="168">
        <f>J953*0.1</f>
        <v/>
      </c>
    </row>
    <row r="954" ht="54.75" customHeight="1" s="211">
      <c r="A954" s="164">
        <f>Accounts!A954</f>
        <v/>
      </c>
      <c r="B954" s="12" t="n"/>
      <c r="C954" s="65" t="n"/>
      <c r="D954" s="165">
        <f>Accounts!K954</f>
        <v/>
      </c>
      <c r="E954" s="166" t="n">
        <v>0.6</v>
      </c>
      <c r="F954" s="167">
        <f>Accounts!K954*E954</f>
        <v/>
      </c>
      <c r="G954" s="166" t="n">
        <v>0.4</v>
      </c>
      <c r="H954" s="167">
        <f>F954*G954</f>
        <v/>
      </c>
      <c r="I954" s="168">
        <f>if(or(eq(Accounts!J954,"No Valet"),eq(Accounts!J954,"Has Valet")), H954 * AVERAGE(Accounts!J$2:J$36),H954*Accounts!J954)</f>
        <v/>
      </c>
      <c r="J954" s="168">
        <f>iferror(I954*360,"")</f>
        <v/>
      </c>
      <c r="K954" s="168">
        <f>J954*0.1</f>
        <v/>
      </c>
    </row>
    <row r="955" ht="54.75" customHeight="1" s="211">
      <c r="A955" s="164">
        <f>Accounts!A955</f>
        <v/>
      </c>
      <c r="B955" s="12" t="n"/>
      <c r="C955" s="65" t="n"/>
      <c r="D955" s="165">
        <f>Accounts!K955</f>
        <v/>
      </c>
      <c r="E955" s="166" t="n">
        <v>0.6</v>
      </c>
      <c r="F955" s="167">
        <f>Accounts!K955*E955</f>
        <v/>
      </c>
      <c r="G955" s="166" t="n">
        <v>0.4</v>
      </c>
      <c r="H955" s="167">
        <f>F955*G955</f>
        <v/>
      </c>
      <c r="I955" s="168">
        <f>if(or(eq(Accounts!J955,"No Valet"),eq(Accounts!J955,"Has Valet")), H955 * AVERAGE(Accounts!J$2:J$36),H955*Accounts!J955)</f>
        <v/>
      </c>
      <c r="J955" s="168">
        <f>iferror(I955*360,"")</f>
        <v/>
      </c>
      <c r="K955" s="168">
        <f>J955*0.1</f>
        <v/>
      </c>
    </row>
    <row r="956" ht="54.75" customHeight="1" s="211">
      <c r="A956" s="164">
        <f>Accounts!A956</f>
        <v/>
      </c>
      <c r="B956" s="12" t="n"/>
      <c r="C956" s="65" t="n"/>
      <c r="D956" s="165">
        <f>Accounts!K956</f>
        <v/>
      </c>
      <c r="E956" s="166" t="n">
        <v>0.6</v>
      </c>
      <c r="F956" s="167">
        <f>Accounts!K956*E956</f>
        <v/>
      </c>
      <c r="G956" s="166" t="n">
        <v>0.4</v>
      </c>
      <c r="H956" s="167">
        <f>F956*G956</f>
        <v/>
      </c>
      <c r="I956" s="168">
        <f>if(or(eq(Accounts!J956,"No Valet"),eq(Accounts!J956,"Has Valet")), H956 * AVERAGE(Accounts!J$2:J$36),H956*Accounts!J956)</f>
        <v/>
      </c>
      <c r="J956" s="168">
        <f>iferror(I956*360,"")</f>
        <v/>
      </c>
      <c r="K956" s="168">
        <f>J956*0.1</f>
        <v/>
      </c>
    </row>
    <row r="957" ht="54.75" customHeight="1" s="211">
      <c r="A957" s="164">
        <f>Accounts!A957</f>
        <v/>
      </c>
      <c r="B957" s="12" t="n"/>
      <c r="C957" s="65" t="n"/>
      <c r="D957" s="165">
        <f>Accounts!K957</f>
        <v/>
      </c>
      <c r="E957" s="166" t="n">
        <v>0.6</v>
      </c>
      <c r="F957" s="167">
        <f>Accounts!K957*E957</f>
        <v/>
      </c>
      <c r="G957" s="166" t="n">
        <v>0.4</v>
      </c>
      <c r="H957" s="167">
        <f>F957*G957</f>
        <v/>
      </c>
      <c r="I957" s="168">
        <f>if(or(eq(Accounts!J957,"No Valet"),eq(Accounts!J957,"Has Valet")), H957 * AVERAGE(Accounts!J$2:J$36),H957*Accounts!J957)</f>
        <v/>
      </c>
      <c r="J957" s="168">
        <f>iferror(I957*360,"")</f>
        <v/>
      </c>
      <c r="K957" s="168">
        <f>J957*0.1</f>
        <v/>
      </c>
    </row>
    <row r="958" ht="54.75" customHeight="1" s="211">
      <c r="A958" s="164">
        <f>Accounts!A958</f>
        <v/>
      </c>
      <c r="B958" s="12" t="n"/>
      <c r="C958" s="65" t="n"/>
      <c r="D958" s="165">
        <f>Accounts!K958</f>
        <v/>
      </c>
      <c r="E958" s="166" t="n">
        <v>0.6</v>
      </c>
      <c r="F958" s="167">
        <f>Accounts!K958*E958</f>
        <v/>
      </c>
      <c r="G958" s="166" t="n">
        <v>0.4</v>
      </c>
      <c r="H958" s="167">
        <f>F958*G958</f>
        <v/>
      </c>
      <c r="I958" s="168">
        <f>if(or(eq(Accounts!J958,"No Valet"),eq(Accounts!J958,"Has Valet")), H958 * AVERAGE(Accounts!J$2:J$36),H958*Accounts!J958)</f>
        <v/>
      </c>
      <c r="J958" s="168">
        <f>iferror(I958*360,"")</f>
        <v/>
      </c>
      <c r="K958" s="168">
        <f>J958*0.1</f>
        <v/>
      </c>
    </row>
    <row r="959" ht="54.75" customHeight="1" s="211">
      <c r="A959" s="164">
        <f>Accounts!A959</f>
        <v/>
      </c>
      <c r="B959" s="12" t="n"/>
      <c r="C959" s="65" t="n"/>
      <c r="D959" s="165">
        <f>Accounts!K959</f>
        <v/>
      </c>
      <c r="E959" s="166" t="n">
        <v>0.6</v>
      </c>
      <c r="F959" s="167">
        <f>Accounts!K959*E959</f>
        <v/>
      </c>
      <c r="G959" s="166" t="n">
        <v>0.4</v>
      </c>
      <c r="H959" s="167">
        <f>F959*G959</f>
        <v/>
      </c>
      <c r="I959" s="168">
        <f>if(or(eq(Accounts!J959,"No Valet"),eq(Accounts!J959,"Has Valet")), H959 * AVERAGE(Accounts!J$2:J$36),H959*Accounts!J959)</f>
        <v/>
      </c>
      <c r="J959" s="168">
        <f>iferror(I959*360,"")</f>
        <v/>
      </c>
      <c r="K959" s="168">
        <f>J959*0.1</f>
        <v/>
      </c>
    </row>
    <row r="960" ht="54.75" customHeight="1" s="211">
      <c r="A960" s="164">
        <f>Accounts!A960</f>
        <v/>
      </c>
      <c r="B960" s="12" t="n"/>
      <c r="C960" s="65" t="n"/>
      <c r="D960" s="165">
        <f>Accounts!K960</f>
        <v/>
      </c>
      <c r="E960" s="166" t="n">
        <v>0.6</v>
      </c>
      <c r="F960" s="167">
        <f>Accounts!K960*E960</f>
        <v/>
      </c>
      <c r="G960" s="166" t="n">
        <v>0.4</v>
      </c>
      <c r="H960" s="167">
        <f>F960*G960</f>
        <v/>
      </c>
      <c r="I960" s="168">
        <f>if(or(eq(Accounts!J960,"No Valet"),eq(Accounts!J960,"Has Valet")), H960 * AVERAGE(Accounts!J$2:J$36),H960*Accounts!J960)</f>
        <v/>
      </c>
      <c r="J960" s="168">
        <f>iferror(I960*360,"")</f>
        <v/>
      </c>
      <c r="K960" s="168">
        <f>J960*0.1</f>
        <v/>
      </c>
    </row>
    <row r="961" ht="54.75" customHeight="1" s="211">
      <c r="A961" s="164">
        <f>Accounts!A961</f>
        <v/>
      </c>
      <c r="B961" s="12" t="n"/>
      <c r="C961" s="65" t="n"/>
      <c r="D961" s="165">
        <f>Accounts!K961</f>
        <v/>
      </c>
      <c r="E961" s="166" t="n">
        <v>0.6</v>
      </c>
      <c r="F961" s="167">
        <f>Accounts!K961*E961</f>
        <v/>
      </c>
      <c r="G961" s="166" t="n">
        <v>0.4</v>
      </c>
      <c r="H961" s="167">
        <f>F961*G961</f>
        <v/>
      </c>
      <c r="I961" s="168">
        <f>if(or(eq(Accounts!J961,"No Valet"),eq(Accounts!J961,"Has Valet")), H961 * AVERAGE(Accounts!J$2:J$36),H961*Accounts!J961)</f>
        <v/>
      </c>
      <c r="J961" s="168">
        <f>iferror(I961*360,"")</f>
        <v/>
      </c>
      <c r="K961" s="168">
        <f>J961*0.1</f>
        <v/>
      </c>
    </row>
    <row r="962" ht="54.75" customHeight="1" s="211">
      <c r="A962" s="164">
        <f>Accounts!A962</f>
        <v/>
      </c>
      <c r="B962" s="12" t="n"/>
      <c r="C962" s="65" t="n"/>
      <c r="D962" s="165">
        <f>Accounts!K962</f>
        <v/>
      </c>
      <c r="E962" s="166" t="n">
        <v>0.6</v>
      </c>
      <c r="F962" s="167">
        <f>Accounts!K962*E962</f>
        <v/>
      </c>
      <c r="G962" s="166" t="n">
        <v>0.4</v>
      </c>
      <c r="H962" s="167">
        <f>F962*G962</f>
        <v/>
      </c>
      <c r="I962" s="168">
        <f>if(or(eq(Accounts!J962,"No Valet"),eq(Accounts!J962,"Has Valet")), H962 * AVERAGE(Accounts!J$2:J$36),H962*Accounts!J962)</f>
        <v/>
      </c>
      <c r="J962" s="168">
        <f>iferror(I962*360,"")</f>
        <v/>
      </c>
      <c r="K962" s="168">
        <f>J962*0.1</f>
        <v/>
      </c>
    </row>
    <row r="963" ht="54.75" customHeight="1" s="211">
      <c r="A963" s="164">
        <f>Accounts!A963</f>
        <v/>
      </c>
      <c r="B963" s="12" t="n"/>
      <c r="C963" s="65" t="n"/>
      <c r="D963" s="165">
        <f>Accounts!K963</f>
        <v/>
      </c>
      <c r="E963" s="166" t="n">
        <v>0.6</v>
      </c>
      <c r="F963" s="167">
        <f>Accounts!K963*E963</f>
        <v/>
      </c>
      <c r="G963" s="166" t="n">
        <v>0.4</v>
      </c>
      <c r="H963" s="167">
        <f>F963*G963</f>
        <v/>
      </c>
      <c r="I963" s="168">
        <f>if(or(eq(Accounts!J963,"No Valet"),eq(Accounts!J963,"Has Valet")), H963 * AVERAGE(Accounts!J$2:J$36),H963*Accounts!J963)</f>
        <v/>
      </c>
      <c r="J963" s="168">
        <f>iferror(I963*360,"")</f>
        <v/>
      </c>
      <c r="K963" s="168">
        <f>J963*0.1</f>
        <v/>
      </c>
    </row>
    <row r="964" ht="54.75" customHeight="1" s="211">
      <c r="A964" s="164">
        <f>Accounts!A964</f>
        <v/>
      </c>
      <c r="B964" s="12" t="n"/>
      <c r="C964" s="65" t="n"/>
      <c r="D964" s="165">
        <f>Accounts!K964</f>
        <v/>
      </c>
      <c r="E964" s="166" t="n">
        <v>0.6</v>
      </c>
      <c r="F964" s="167">
        <f>Accounts!K964*E964</f>
        <v/>
      </c>
      <c r="G964" s="166" t="n">
        <v>0.4</v>
      </c>
      <c r="H964" s="167">
        <f>F964*G964</f>
        <v/>
      </c>
      <c r="I964" s="168">
        <f>if(or(eq(Accounts!J964,"No Valet"),eq(Accounts!J964,"Has Valet")), H964 * AVERAGE(Accounts!J$2:J$36),H964*Accounts!J964)</f>
        <v/>
      </c>
      <c r="J964" s="168">
        <f>iferror(I964*360,"")</f>
        <v/>
      </c>
      <c r="K964" s="168">
        <f>J964*0.1</f>
        <v/>
      </c>
    </row>
    <row r="965" ht="54.75" customHeight="1" s="211">
      <c r="A965" s="164">
        <f>Accounts!A965</f>
        <v/>
      </c>
      <c r="B965" s="12" t="n"/>
      <c r="C965" s="65" t="n"/>
      <c r="D965" s="165">
        <f>Accounts!K965</f>
        <v/>
      </c>
      <c r="E965" s="166" t="n">
        <v>0.6</v>
      </c>
      <c r="F965" s="167">
        <f>Accounts!K965*E965</f>
        <v/>
      </c>
      <c r="G965" s="166" t="n">
        <v>0.4</v>
      </c>
      <c r="H965" s="167">
        <f>F965*G965</f>
        <v/>
      </c>
      <c r="I965" s="168">
        <f>if(or(eq(Accounts!J965,"No Valet"),eq(Accounts!J965,"Has Valet")), H965 * AVERAGE(Accounts!J$2:J$36),H965*Accounts!J965)</f>
        <v/>
      </c>
      <c r="J965" s="168">
        <f>iferror(I965*360,"")</f>
        <v/>
      </c>
      <c r="K965" s="168">
        <f>J965*0.1</f>
        <v/>
      </c>
    </row>
    <row r="966" ht="54.75" customHeight="1" s="211">
      <c r="A966" s="164">
        <f>Accounts!A966</f>
        <v/>
      </c>
      <c r="B966" s="12" t="n"/>
      <c r="C966" s="65" t="n"/>
      <c r="D966" s="165">
        <f>Accounts!K966</f>
        <v/>
      </c>
      <c r="E966" s="166" t="n">
        <v>0.6</v>
      </c>
      <c r="F966" s="167">
        <f>Accounts!K966*E966</f>
        <v/>
      </c>
      <c r="G966" s="166" t="n">
        <v>0.4</v>
      </c>
      <c r="H966" s="167">
        <f>F966*G966</f>
        <v/>
      </c>
      <c r="I966" s="168">
        <f>if(or(eq(Accounts!J966,"No Valet"),eq(Accounts!J966,"Has Valet")), H966 * AVERAGE(Accounts!J$2:J$36),H966*Accounts!J966)</f>
        <v/>
      </c>
      <c r="J966" s="168">
        <f>iferror(I966*360,"")</f>
        <v/>
      </c>
      <c r="K966" s="168">
        <f>J966*0.1</f>
        <v/>
      </c>
    </row>
    <row r="967" ht="54.75" customHeight="1" s="211">
      <c r="A967" s="164">
        <f>Accounts!A967</f>
        <v/>
      </c>
      <c r="B967" s="12" t="n"/>
      <c r="C967" s="65" t="n"/>
      <c r="D967" s="165">
        <f>Accounts!K967</f>
        <v/>
      </c>
      <c r="E967" s="166" t="n">
        <v>0.6</v>
      </c>
      <c r="F967" s="167">
        <f>Accounts!K967*E967</f>
        <v/>
      </c>
      <c r="G967" s="166" t="n">
        <v>0.4</v>
      </c>
      <c r="H967" s="167">
        <f>F967*G967</f>
        <v/>
      </c>
      <c r="I967" s="168">
        <f>if(or(eq(Accounts!J967,"No Valet"),eq(Accounts!J967,"Has Valet")), H967 * AVERAGE(Accounts!J$2:J$36),H967*Accounts!J967)</f>
        <v/>
      </c>
      <c r="J967" s="168">
        <f>iferror(I967*360,"")</f>
        <v/>
      </c>
      <c r="K967" s="168">
        <f>J967*0.1</f>
        <v/>
      </c>
    </row>
    <row r="968" ht="54.75" customHeight="1" s="211">
      <c r="A968" s="164">
        <f>Accounts!A968</f>
        <v/>
      </c>
      <c r="B968" s="12" t="n"/>
      <c r="C968" s="65" t="n"/>
      <c r="D968" s="165">
        <f>Accounts!K968</f>
        <v/>
      </c>
      <c r="E968" s="166" t="n">
        <v>0.6</v>
      </c>
      <c r="F968" s="167">
        <f>Accounts!K968*E968</f>
        <v/>
      </c>
      <c r="G968" s="166" t="n">
        <v>0.4</v>
      </c>
      <c r="H968" s="167">
        <f>F968*G968</f>
        <v/>
      </c>
      <c r="I968" s="168">
        <f>if(or(eq(Accounts!J968,"No Valet"),eq(Accounts!J968,"Has Valet")), H968 * AVERAGE(Accounts!J$2:J$36),H968*Accounts!J968)</f>
        <v/>
      </c>
      <c r="J968" s="168">
        <f>iferror(I968*360,"")</f>
        <v/>
      </c>
      <c r="K968" s="168">
        <f>J968*0.1</f>
        <v/>
      </c>
    </row>
    <row r="969" ht="54.75" customHeight="1" s="211">
      <c r="A969" s="164">
        <f>Accounts!A969</f>
        <v/>
      </c>
      <c r="B969" s="12" t="n"/>
      <c r="C969" s="65" t="n"/>
      <c r="D969" s="165">
        <f>Accounts!K969</f>
        <v/>
      </c>
      <c r="E969" s="166" t="n">
        <v>0.6</v>
      </c>
      <c r="F969" s="167">
        <f>Accounts!K969*E969</f>
        <v/>
      </c>
      <c r="G969" s="166" t="n">
        <v>0.4</v>
      </c>
      <c r="H969" s="167">
        <f>F969*G969</f>
        <v/>
      </c>
      <c r="I969" s="168">
        <f>if(or(eq(Accounts!J969,"No Valet"),eq(Accounts!J969,"Has Valet")), H969 * AVERAGE(Accounts!J$2:J$36),H969*Accounts!J969)</f>
        <v/>
      </c>
      <c r="J969" s="168">
        <f>iferror(I969*360,"")</f>
        <v/>
      </c>
      <c r="K969" s="168">
        <f>J969*0.1</f>
        <v/>
      </c>
    </row>
    <row r="970" ht="54.75" customHeight="1" s="211">
      <c r="A970" s="164">
        <f>Accounts!A970</f>
        <v/>
      </c>
      <c r="B970" s="12" t="n"/>
      <c r="C970" s="65" t="n"/>
      <c r="D970" s="165">
        <f>Accounts!K970</f>
        <v/>
      </c>
      <c r="E970" s="166" t="n">
        <v>0.6</v>
      </c>
      <c r="F970" s="167">
        <f>Accounts!K970*E970</f>
        <v/>
      </c>
      <c r="G970" s="166" t="n">
        <v>0.4</v>
      </c>
      <c r="H970" s="167">
        <f>F970*G970</f>
        <v/>
      </c>
      <c r="I970" s="168">
        <f>if(or(eq(Accounts!J970,"No Valet"),eq(Accounts!J970,"Has Valet")), H970 * AVERAGE(Accounts!J$2:J$36),H970*Accounts!J970)</f>
        <v/>
      </c>
      <c r="J970" s="168">
        <f>iferror(I970*360,"")</f>
        <v/>
      </c>
      <c r="K970" s="168">
        <f>J970*0.1</f>
        <v/>
      </c>
    </row>
    <row r="971" ht="54.75" customHeight="1" s="211">
      <c r="A971" s="164">
        <f>Accounts!A971</f>
        <v/>
      </c>
      <c r="B971" s="12" t="n"/>
      <c r="C971" s="65" t="n"/>
      <c r="D971" s="165">
        <f>Accounts!K971</f>
        <v/>
      </c>
      <c r="E971" s="166" t="n">
        <v>0.6</v>
      </c>
      <c r="F971" s="167">
        <f>Accounts!K971*E971</f>
        <v/>
      </c>
      <c r="G971" s="166" t="n">
        <v>0.4</v>
      </c>
      <c r="H971" s="167">
        <f>F971*G971</f>
        <v/>
      </c>
      <c r="I971" s="168">
        <f>if(or(eq(Accounts!J971,"No Valet"),eq(Accounts!J971,"Has Valet")), H971 * AVERAGE(Accounts!J$2:J$36),H971*Accounts!J971)</f>
        <v/>
      </c>
      <c r="J971" s="168">
        <f>iferror(I971*360,"")</f>
        <v/>
      </c>
      <c r="K971" s="168">
        <f>J971*0.1</f>
        <v/>
      </c>
    </row>
    <row r="972" ht="54.75" customHeight="1" s="211">
      <c r="A972" s="164">
        <f>Accounts!A972</f>
        <v/>
      </c>
      <c r="B972" s="12" t="n"/>
      <c r="C972" s="65" t="n"/>
      <c r="D972" s="165">
        <f>Accounts!K972</f>
        <v/>
      </c>
      <c r="E972" s="166" t="n">
        <v>0.6</v>
      </c>
      <c r="F972" s="167">
        <f>Accounts!K972*E972</f>
        <v/>
      </c>
      <c r="G972" s="166" t="n">
        <v>0.4</v>
      </c>
      <c r="H972" s="167">
        <f>F972*G972</f>
        <v/>
      </c>
      <c r="I972" s="168">
        <f>if(or(eq(Accounts!J972,"No Valet"),eq(Accounts!J972,"Has Valet")), H972 * AVERAGE(Accounts!J$2:J$36),H972*Accounts!J972)</f>
        <v/>
      </c>
      <c r="J972" s="168">
        <f>iferror(I972*360,"")</f>
        <v/>
      </c>
      <c r="K972" s="168">
        <f>J972*0.1</f>
        <v/>
      </c>
    </row>
    <row r="973" ht="54.75" customHeight="1" s="211">
      <c r="A973" s="164">
        <f>Accounts!A973</f>
        <v/>
      </c>
      <c r="B973" s="12" t="n"/>
      <c r="C973" s="65" t="n"/>
      <c r="D973" s="165">
        <f>Accounts!K973</f>
        <v/>
      </c>
      <c r="E973" s="166" t="n">
        <v>0.6</v>
      </c>
      <c r="F973" s="167">
        <f>Accounts!K973*E973</f>
        <v/>
      </c>
      <c r="G973" s="166" t="n">
        <v>0.4</v>
      </c>
      <c r="H973" s="167">
        <f>F973*G973</f>
        <v/>
      </c>
      <c r="I973" s="168">
        <f>if(or(eq(Accounts!J973,"No Valet"),eq(Accounts!J973,"Has Valet")), H973 * AVERAGE(Accounts!J$2:J$36),H973*Accounts!J973)</f>
        <v/>
      </c>
      <c r="J973" s="168">
        <f>iferror(I973*360,"")</f>
        <v/>
      </c>
      <c r="K973" s="168">
        <f>J973*0.1</f>
        <v/>
      </c>
    </row>
    <row r="974" ht="54.75" customHeight="1" s="211">
      <c r="A974" s="164">
        <f>Accounts!A974</f>
        <v/>
      </c>
      <c r="B974" s="12" t="n"/>
      <c r="C974" s="65" t="n"/>
      <c r="D974" s="165">
        <f>Accounts!K974</f>
        <v/>
      </c>
      <c r="E974" s="166" t="n">
        <v>0.6</v>
      </c>
      <c r="F974" s="167">
        <f>Accounts!K974*E974</f>
        <v/>
      </c>
      <c r="G974" s="166" t="n">
        <v>0.4</v>
      </c>
      <c r="H974" s="167">
        <f>F974*G974</f>
        <v/>
      </c>
      <c r="I974" s="168">
        <f>if(or(eq(Accounts!J974,"No Valet"),eq(Accounts!J974,"Has Valet")), H974 * AVERAGE(Accounts!J$2:J$36),H974*Accounts!J974)</f>
        <v/>
      </c>
      <c r="J974" s="168">
        <f>iferror(I974*360,"")</f>
        <v/>
      </c>
      <c r="K974" s="168">
        <f>J974*0.1</f>
        <v/>
      </c>
    </row>
    <row r="975" ht="54.75" customHeight="1" s="211">
      <c r="A975" s="164">
        <f>Accounts!A975</f>
        <v/>
      </c>
      <c r="B975" s="12" t="n"/>
      <c r="C975" s="65" t="n"/>
      <c r="D975" s="165">
        <f>Accounts!K975</f>
        <v/>
      </c>
      <c r="E975" s="166" t="n">
        <v>0.6</v>
      </c>
      <c r="F975" s="167">
        <f>Accounts!K975*E975</f>
        <v/>
      </c>
      <c r="G975" s="166" t="n">
        <v>0.4</v>
      </c>
      <c r="H975" s="167">
        <f>F975*G975</f>
        <v/>
      </c>
      <c r="I975" s="168">
        <f>if(or(eq(Accounts!J975,"No Valet"),eq(Accounts!J975,"Has Valet")), H975 * AVERAGE(Accounts!J$2:J$36),H975*Accounts!J975)</f>
        <v/>
      </c>
      <c r="J975" s="168">
        <f>iferror(I975*360,"")</f>
        <v/>
      </c>
      <c r="K975" s="168">
        <f>J975*0.1</f>
        <v/>
      </c>
    </row>
    <row r="976" ht="54.75" customHeight="1" s="211">
      <c r="A976" s="164">
        <f>Accounts!A976</f>
        <v/>
      </c>
      <c r="B976" s="12" t="n"/>
      <c r="C976" s="65" t="n"/>
      <c r="D976" s="165">
        <f>Accounts!K976</f>
        <v/>
      </c>
      <c r="E976" s="166" t="n">
        <v>0.6</v>
      </c>
      <c r="F976" s="167">
        <f>Accounts!K976*E976</f>
        <v/>
      </c>
      <c r="G976" s="166" t="n">
        <v>0.4</v>
      </c>
      <c r="H976" s="167">
        <f>F976*G976</f>
        <v/>
      </c>
      <c r="I976" s="168">
        <f>if(or(eq(Accounts!J976,"No Valet"),eq(Accounts!J976,"Has Valet")), H976 * AVERAGE(Accounts!J$2:J$36),H976*Accounts!J976)</f>
        <v/>
      </c>
      <c r="J976" s="168">
        <f>iferror(I976*360,"")</f>
        <v/>
      </c>
      <c r="K976" s="168">
        <f>J976*0.1</f>
        <v/>
      </c>
    </row>
    <row r="977" ht="54.75" customHeight="1" s="211">
      <c r="A977" s="164">
        <f>Accounts!A977</f>
        <v/>
      </c>
      <c r="B977" s="12" t="n"/>
      <c r="C977" s="65" t="n"/>
      <c r="D977" s="165">
        <f>Accounts!K977</f>
        <v/>
      </c>
      <c r="E977" s="166" t="n">
        <v>0.6</v>
      </c>
      <c r="F977" s="167">
        <f>Accounts!K977*E977</f>
        <v/>
      </c>
      <c r="G977" s="166" t="n">
        <v>0.4</v>
      </c>
      <c r="H977" s="167">
        <f>F977*G977</f>
        <v/>
      </c>
      <c r="I977" s="168">
        <f>if(or(eq(Accounts!J977,"No Valet"),eq(Accounts!J977,"Has Valet")), H977 * AVERAGE(Accounts!J$2:J$36),H977*Accounts!J977)</f>
        <v/>
      </c>
      <c r="J977" s="168">
        <f>iferror(I977*360,"")</f>
        <v/>
      </c>
      <c r="K977" s="168">
        <f>J977*0.1</f>
        <v/>
      </c>
    </row>
    <row r="978" ht="54.75" customHeight="1" s="211">
      <c r="A978" s="164">
        <f>Accounts!A978</f>
        <v/>
      </c>
      <c r="B978" s="12" t="n"/>
      <c r="C978" s="65" t="n"/>
      <c r="D978" s="165">
        <f>Accounts!K978</f>
        <v/>
      </c>
      <c r="E978" s="166" t="n">
        <v>0.6</v>
      </c>
      <c r="F978" s="167">
        <f>Accounts!K978*E978</f>
        <v/>
      </c>
      <c r="G978" s="166" t="n">
        <v>0.4</v>
      </c>
      <c r="H978" s="167">
        <f>F978*G978</f>
        <v/>
      </c>
      <c r="I978" s="168">
        <f>if(or(eq(Accounts!J978,"No Valet"),eq(Accounts!J978,"Has Valet")), H978 * AVERAGE(Accounts!J$2:J$36),H978*Accounts!J978)</f>
        <v/>
      </c>
      <c r="J978" s="168">
        <f>iferror(I978*360,"")</f>
        <v/>
      </c>
      <c r="K978" s="168">
        <f>J978*0.1</f>
        <v/>
      </c>
    </row>
    <row r="979" ht="54.75" customHeight="1" s="211">
      <c r="A979" s="164">
        <f>Accounts!A979</f>
        <v/>
      </c>
      <c r="B979" s="12" t="n"/>
      <c r="C979" s="65" t="n"/>
      <c r="D979" s="165">
        <f>Accounts!K979</f>
        <v/>
      </c>
      <c r="E979" s="166" t="n">
        <v>0.6</v>
      </c>
      <c r="F979" s="167">
        <f>Accounts!K979*E979</f>
        <v/>
      </c>
      <c r="G979" s="166" t="n">
        <v>0.4</v>
      </c>
      <c r="H979" s="167">
        <f>F979*G979</f>
        <v/>
      </c>
      <c r="I979" s="168">
        <f>if(or(eq(Accounts!J979,"No Valet"),eq(Accounts!J979,"Has Valet")), H979 * AVERAGE(Accounts!J$2:J$36),H979*Accounts!J979)</f>
        <v/>
      </c>
      <c r="J979" s="168">
        <f>iferror(I979*360,"")</f>
        <v/>
      </c>
      <c r="K979" s="168">
        <f>J979*0.1</f>
        <v/>
      </c>
    </row>
    <row r="980" ht="54.75" customHeight="1" s="211">
      <c r="A980" s="164">
        <f>Accounts!A980</f>
        <v/>
      </c>
      <c r="B980" s="12" t="n"/>
      <c r="C980" s="65" t="n"/>
      <c r="D980" s="165">
        <f>Accounts!K980</f>
        <v/>
      </c>
      <c r="E980" s="166" t="n">
        <v>0.6</v>
      </c>
      <c r="F980" s="167">
        <f>Accounts!K980*E980</f>
        <v/>
      </c>
      <c r="G980" s="166" t="n">
        <v>0.4</v>
      </c>
      <c r="H980" s="167">
        <f>F980*G980</f>
        <v/>
      </c>
      <c r="I980" s="168">
        <f>if(or(eq(Accounts!J980,"No Valet"),eq(Accounts!J980,"Has Valet")), H980 * AVERAGE(Accounts!J$2:J$36),H980*Accounts!J980)</f>
        <v/>
      </c>
      <c r="J980" s="168">
        <f>iferror(I980*360,"")</f>
        <v/>
      </c>
      <c r="K980" s="168">
        <f>J980*0.1</f>
        <v/>
      </c>
    </row>
    <row r="981" ht="54.75" customHeight="1" s="211">
      <c r="A981" s="164">
        <f>Accounts!A981</f>
        <v/>
      </c>
      <c r="B981" s="12" t="n"/>
      <c r="C981" s="65" t="n"/>
      <c r="D981" s="165">
        <f>Accounts!K981</f>
        <v/>
      </c>
      <c r="E981" s="166" t="n">
        <v>0.6</v>
      </c>
      <c r="F981" s="167">
        <f>Accounts!K981*E981</f>
        <v/>
      </c>
      <c r="G981" s="166" t="n">
        <v>0.4</v>
      </c>
      <c r="H981" s="167">
        <f>F981*G981</f>
        <v/>
      </c>
      <c r="I981" s="168">
        <f>if(or(eq(Accounts!J981,"No Valet"),eq(Accounts!J981,"Has Valet")), H981 * AVERAGE(Accounts!J$2:J$36),H981*Accounts!J981)</f>
        <v/>
      </c>
      <c r="J981" s="168">
        <f>iferror(I981*360,"")</f>
        <v/>
      </c>
      <c r="K981" s="168">
        <f>J981*0.1</f>
        <v/>
      </c>
    </row>
    <row r="982" ht="54.75" customHeight="1" s="211">
      <c r="A982" s="164">
        <f>Accounts!A982</f>
        <v/>
      </c>
      <c r="B982" s="12" t="n"/>
      <c r="C982" s="65" t="n"/>
      <c r="D982" s="165">
        <f>Accounts!K982</f>
        <v/>
      </c>
      <c r="E982" s="166" t="n">
        <v>0.6</v>
      </c>
      <c r="F982" s="167">
        <f>Accounts!K982*E982</f>
        <v/>
      </c>
      <c r="G982" s="166" t="n">
        <v>0.4</v>
      </c>
      <c r="H982" s="167">
        <f>F982*G982</f>
        <v/>
      </c>
      <c r="I982" s="168">
        <f>if(or(eq(Accounts!J982,"No Valet"),eq(Accounts!J982,"Has Valet")), H982 * AVERAGE(Accounts!J$2:J$36),H982*Accounts!J982)</f>
        <v/>
      </c>
      <c r="J982" s="168">
        <f>iferror(I982*360,"")</f>
        <v/>
      </c>
      <c r="K982" s="168">
        <f>J982*0.1</f>
        <v/>
      </c>
    </row>
    <row r="983" ht="54.75" customHeight="1" s="211">
      <c r="A983" s="164">
        <f>Accounts!A983</f>
        <v/>
      </c>
      <c r="B983" s="12" t="n"/>
      <c r="C983" s="65" t="n"/>
      <c r="D983" s="165">
        <f>Accounts!K983</f>
        <v/>
      </c>
      <c r="E983" s="166" t="n">
        <v>0.6</v>
      </c>
      <c r="F983" s="167">
        <f>Accounts!K983*E983</f>
        <v/>
      </c>
      <c r="G983" s="166" t="n">
        <v>0.4</v>
      </c>
      <c r="H983" s="167">
        <f>F983*G983</f>
        <v/>
      </c>
      <c r="I983" s="168">
        <f>if(or(eq(Accounts!J983,"No Valet"),eq(Accounts!J983,"Has Valet")), H983 * AVERAGE(Accounts!J$2:J$36),H983*Accounts!J983)</f>
        <v/>
      </c>
      <c r="J983" s="168">
        <f>iferror(I983*360,"")</f>
        <v/>
      </c>
      <c r="K983" s="168">
        <f>J983*0.1</f>
        <v/>
      </c>
    </row>
    <row r="984" ht="54.75" customHeight="1" s="211">
      <c r="A984" s="164">
        <f>Accounts!A984</f>
        <v/>
      </c>
      <c r="B984" s="12" t="n"/>
      <c r="C984" s="65" t="n"/>
      <c r="D984" s="165">
        <f>Accounts!K984</f>
        <v/>
      </c>
      <c r="E984" s="166" t="n">
        <v>0.6</v>
      </c>
      <c r="F984" s="167">
        <f>Accounts!K984*E984</f>
        <v/>
      </c>
      <c r="G984" s="166" t="n">
        <v>0.4</v>
      </c>
      <c r="H984" s="167">
        <f>F984*G984</f>
        <v/>
      </c>
      <c r="I984" s="168">
        <f>if(or(eq(Accounts!J984,"No Valet"),eq(Accounts!J984,"Has Valet")), H984 * AVERAGE(Accounts!J$2:J$36),H984*Accounts!J984)</f>
        <v/>
      </c>
      <c r="J984" s="168">
        <f>iferror(I984*360,"")</f>
        <v/>
      </c>
      <c r="K984" s="168">
        <f>J984*0.1</f>
        <v/>
      </c>
    </row>
    <row r="985" ht="54.75" customHeight="1" s="211">
      <c r="A985" s="164">
        <f>Accounts!A985</f>
        <v/>
      </c>
      <c r="B985" s="12" t="n"/>
      <c r="C985" s="65" t="n"/>
      <c r="D985" s="165">
        <f>Accounts!K985</f>
        <v/>
      </c>
      <c r="E985" s="166" t="n">
        <v>0.6</v>
      </c>
      <c r="F985" s="167">
        <f>Accounts!K985*E985</f>
        <v/>
      </c>
      <c r="G985" s="166" t="n">
        <v>0.4</v>
      </c>
      <c r="H985" s="167">
        <f>F985*G985</f>
        <v/>
      </c>
      <c r="I985" s="168">
        <f>if(or(eq(Accounts!J985,"No Valet"),eq(Accounts!J985,"Has Valet")), H985 * AVERAGE(Accounts!J$2:J$36),H985*Accounts!J985)</f>
        <v/>
      </c>
      <c r="J985" s="168">
        <f>iferror(I985*360,"")</f>
        <v/>
      </c>
      <c r="K985" s="168">
        <f>J985*0.1</f>
        <v/>
      </c>
    </row>
    <row r="986" ht="54.75" customHeight="1" s="211">
      <c r="A986" s="164">
        <f>Accounts!A986</f>
        <v/>
      </c>
      <c r="B986" s="12" t="n"/>
      <c r="C986" s="65" t="n"/>
      <c r="D986" s="165">
        <f>Accounts!K986</f>
        <v/>
      </c>
      <c r="E986" s="166" t="n">
        <v>0.6</v>
      </c>
      <c r="F986" s="167">
        <f>Accounts!K986*E986</f>
        <v/>
      </c>
      <c r="G986" s="166" t="n">
        <v>0.4</v>
      </c>
      <c r="H986" s="167">
        <f>F986*G986</f>
        <v/>
      </c>
      <c r="I986" s="168">
        <f>if(or(eq(Accounts!J986,"No Valet"),eq(Accounts!J986,"Has Valet")), H986 * AVERAGE(Accounts!J$2:J$36),H986*Accounts!J986)</f>
        <v/>
      </c>
      <c r="J986" s="168">
        <f>iferror(I986*360,"")</f>
        <v/>
      </c>
      <c r="K986" s="168">
        <f>J986*0.1</f>
        <v/>
      </c>
    </row>
    <row r="987" ht="54.75" customHeight="1" s="211">
      <c r="A987" s="164">
        <f>Accounts!A987</f>
        <v/>
      </c>
      <c r="B987" s="12" t="n"/>
      <c r="C987" s="65" t="n"/>
      <c r="D987" s="165">
        <f>Accounts!K987</f>
        <v/>
      </c>
      <c r="E987" s="166" t="n">
        <v>0.6</v>
      </c>
      <c r="F987" s="167">
        <f>Accounts!K987*E987</f>
        <v/>
      </c>
      <c r="G987" s="166" t="n">
        <v>0.4</v>
      </c>
      <c r="H987" s="167">
        <f>F987*G987</f>
        <v/>
      </c>
      <c r="I987" s="168">
        <f>if(or(eq(Accounts!J987,"No Valet"),eq(Accounts!J987,"Has Valet")), H987 * AVERAGE(Accounts!J$2:J$36),H987*Accounts!J987)</f>
        <v/>
      </c>
      <c r="J987" s="168">
        <f>iferror(I987*360,"")</f>
        <v/>
      </c>
      <c r="K987" s="168">
        <f>J987*0.1</f>
        <v/>
      </c>
    </row>
    <row r="988" ht="54.75" customHeight="1" s="211">
      <c r="A988" s="164">
        <f>Accounts!A988</f>
        <v/>
      </c>
      <c r="B988" s="12" t="n"/>
      <c r="C988" s="65" t="n"/>
      <c r="D988" s="165">
        <f>Accounts!K988</f>
        <v/>
      </c>
      <c r="E988" s="166" t="n">
        <v>0.6</v>
      </c>
      <c r="F988" s="167">
        <f>Accounts!K988*E988</f>
        <v/>
      </c>
      <c r="G988" s="166" t="n">
        <v>0.4</v>
      </c>
      <c r="H988" s="167">
        <f>F988*G988</f>
        <v/>
      </c>
      <c r="I988" s="168">
        <f>if(or(eq(Accounts!J988,"No Valet"),eq(Accounts!J988,"Has Valet")), H988 * AVERAGE(Accounts!J$2:J$36),H988*Accounts!J988)</f>
        <v/>
      </c>
      <c r="J988" s="168">
        <f>iferror(I988*360,"")</f>
        <v/>
      </c>
      <c r="K988" s="168">
        <f>J988*0.1</f>
        <v/>
      </c>
    </row>
    <row r="989" ht="54.75" customHeight="1" s="211">
      <c r="A989" s="164">
        <f>Accounts!A989</f>
        <v/>
      </c>
      <c r="B989" s="12" t="n"/>
      <c r="C989" s="65" t="n"/>
      <c r="D989" s="165">
        <f>Accounts!K989</f>
        <v/>
      </c>
      <c r="E989" s="166" t="n">
        <v>0.6</v>
      </c>
      <c r="F989" s="167">
        <f>Accounts!K989*E989</f>
        <v/>
      </c>
      <c r="G989" s="166" t="n">
        <v>0.4</v>
      </c>
      <c r="H989" s="167">
        <f>F989*G989</f>
        <v/>
      </c>
      <c r="I989" s="168">
        <f>if(or(eq(Accounts!J989,"No Valet"),eq(Accounts!J989,"Has Valet")), H989 * AVERAGE(Accounts!J$2:J$36),H989*Accounts!J989)</f>
        <v/>
      </c>
      <c r="J989" s="168">
        <f>iferror(I989*360,"")</f>
        <v/>
      </c>
      <c r="K989" s="168">
        <f>J989*0.1</f>
        <v/>
      </c>
    </row>
    <row r="990" ht="54.75" customHeight="1" s="211">
      <c r="A990" s="164">
        <f>Accounts!A990</f>
        <v/>
      </c>
      <c r="B990" s="12" t="n"/>
      <c r="C990" s="65" t="n"/>
      <c r="D990" s="165">
        <f>Accounts!K990</f>
        <v/>
      </c>
      <c r="E990" s="166" t="n">
        <v>0.6</v>
      </c>
      <c r="F990" s="167">
        <f>Accounts!K990*E990</f>
        <v/>
      </c>
      <c r="G990" s="166" t="n">
        <v>0.4</v>
      </c>
      <c r="H990" s="167">
        <f>F990*G990</f>
        <v/>
      </c>
      <c r="I990" s="168">
        <f>if(or(eq(Accounts!J990,"No Valet"),eq(Accounts!J990,"Has Valet")), H990 * AVERAGE(Accounts!J$2:J$36),H990*Accounts!J990)</f>
        <v/>
      </c>
      <c r="J990" s="168">
        <f>iferror(I990*360,"")</f>
        <v/>
      </c>
      <c r="K990" s="168">
        <f>J990*0.1</f>
        <v/>
      </c>
    </row>
    <row r="991" ht="54.75" customHeight="1" s="211">
      <c r="A991" s="164">
        <f>Accounts!A991</f>
        <v/>
      </c>
      <c r="B991" s="12" t="n"/>
      <c r="C991" s="65" t="n"/>
      <c r="D991" s="165">
        <f>Accounts!K991</f>
        <v/>
      </c>
      <c r="E991" s="166" t="n">
        <v>0.6</v>
      </c>
      <c r="F991" s="167">
        <f>Accounts!K991*E991</f>
        <v/>
      </c>
      <c r="G991" s="166" t="n">
        <v>0.4</v>
      </c>
      <c r="H991" s="167">
        <f>F991*G991</f>
        <v/>
      </c>
      <c r="I991" s="168">
        <f>if(or(eq(Accounts!J991,"No Valet"),eq(Accounts!J991,"Has Valet")), H991 * AVERAGE(Accounts!J$2:J$36),H991*Accounts!J991)</f>
        <v/>
      </c>
      <c r="J991" s="168">
        <f>iferror(I991*360,"")</f>
        <v/>
      </c>
      <c r="K991" s="168">
        <f>J991*0.1</f>
        <v/>
      </c>
    </row>
    <row r="992" ht="54.75" customHeight="1" s="211">
      <c r="A992" s="164">
        <f>Accounts!A992</f>
        <v/>
      </c>
      <c r="B992" s="12" t="n"/>
      <c r="C992" s="65" t="n"/>
      <c r="D992" s="165">
        <f>Accounts!K992</f>
        <v/>
      </c>
      <c r="E992" s="166" t="n">
        <v>0.6</v>
      </c>
      <c r="F992" s="167">
        <f>Accounts!K992*E992</f>
        <v/>
      </c>
      <c r="G992" s="166" t="n">
        <v>0.4</v>
      </c>
      <c r="H992" s="167">
        <f>F992*G992</f>
        <v/>
      </c>
      <c r="I992" s="168">
        <f>if(or(eq(Accounts!J992,"No Valet"),eq(Accounts!J992,"Has Valet")), H992 * AVERAGE(Accounts!J$2:J$36),H992*Accounts!J992)</f>
        <v/>
      </c>
      <c r="J992" s="168">
        <f>iferror(I992*360,"")</f>
        <v/>
      </c>
      <c r="K992" s="168">
        <f>J992*0.1</f>
        <v/>
      </c>
    </row>
    <row r="993" ht="54.75" customHeight="1" s="211">
      <c r="A993" s="164">
        <f>Accounts!A993</f>
        <v/>
      </c>
      <c r="B993" s="12" t="n"/>
      <c r="C993" s="65" t="n"/>
      <c r="D993" s="165">
        <f>Accounts!K993</f>
        <v/>
      </c>
      <c r="E993" s="166" t="n">
        <v>0.6</v>
      </c>
      <c r="F993" s="167">
        <f>Accounts!K993*E993</f>
        <v/>
      </c>
      <c r="G993" s="166" t="n">
        <v>0.4</v>
      </c>
      <c r="H993" s="167">
        <f>F993*G993</f>
        <v/>
      </c>
      <c r="I993" s="168">
        <f>if(or(eq(Accounts!J993,"No Valet"),eq(Accounts!J993,"Has Valet")), H993 * AVERAGE(Accounts!J$2:J$36),H993*Accounts!J993)</f>
        <v/>
      </c>
      <c r="J993" s="168">
        <f>iferror(I993*360,"")</f>
        <v/>
      </c>
      <c r="K993" s="168">
        <f>J993*0.1</f>
        <v/>
      </c>
    </row>
    <row r="994" ht="54.75" customHeight="1" s="211">
      <c r="A994" s="164">
        <f>Accounts!A994</f>
        <v/>
      </c>
      <c r="B994" s="12" t="n"/>
      <c r="C994" s="65" t="n"/>
      <c r="D994" s="165">
        <f>Accounts!K994</f>
        <v/>
      </c>
      <c r="E994" s="166" t="n">
        <v>0.6</v>
      </c>
      <c r="F994" s="167">
        <f>Accounts!K994*E994</f>
        <v/>
      </c>
      <c r="G994" s="166" t="n">
        <v>0.4</v>
      </c>
      <c r="H994" s="167">
        <f>F994*G994</f>
        <v/>
      </c>
      <c r="I994" s="168">
        <f>if(or(eq(Accounts!J994,"No Valet"),eq(Accounts!J994,"Has Valet")), H994 * AVERAGE(Accounts!J$2:J$36),H994*Accounts!J994)</f>
        <v/>
      </c>
      <c r="J994" s="168">
        <f>iferror(I994*360,"")</f>
        <v/>
      </c>
      <c r="K994" s="168">
        <f>J994*0.1</f>
        <v/>
      </c>
    </row>
    <row r="995" ht="54.75" customHeight="1" s="211">
      <c r="A995" s="164">
        <f>Accounts!A995</f>
        <v/>
      </c>
      <c r="B995" s="12" t="n"/>
      <c r="C995" s="65" t="n"/>
      <c r="D995" s="165">
        <f>Accounts!K995</f>
        <v/>
      </c>
      <c r="E995" s="166" t="n">
        <v>0.6</v>
      </c>
      <c r="F995" s="167">
        <f>Accounts!K995*E995</f>
        <v/>
      </c>
      <c r="G995" s="166" t="n">
        <v>0.4</v>
      </c>
      <c r="H995" s="167">
        <f>F995*G995</f>
        <v/>
      </c>
      <c r="I995" s="168">
        <f>if(or(eq(Accounts!J995,"No Valet"),eq(Accounts!J995,"Has Valet")), H995 * AVERAGE(Accounts!J$2:J$36),H995*Accounts!J995)</f>
        <v/>
      </c>
      <c r="J995" s="168">
        <f>iferror(I995*360,"")</f>
        <v/>
      </c>
      <c r="K995" s="168">
        <f>J995*0.1</f>
        <v/>
      </c>
    </row>
    <row r="996" ht="54.75" customHeight="1" s="211">
      <c r="A996" s="164">
        <f>Accounts!A996</f>
        <v/>
      </c>
      <c r="B996" s="12" t="n"/>
      <c r="C996" s="65" t="n"/>
      <c r="D996" s="165">
        <f>Accounts!K996</f>
        <v/>
      </c>
      <c r="E996" s="166" t="n">
        <v>0.6</v>
      </c>
      <c r="F996" s="167">
        <f>Accounts!K996*E996</f>
        <v/>
      </c>
      <c r="G996" s="166" t="n">
        <v>0.4</v>
      </c>
      <c r="H996" s="167">
        <f>F996*G996</f>
        <v/>
      </c>
      <c r="I996" s="168">
        <f>if(or(eq(Accounts!J996,"No Valet"),eq(Accounts!J996,"Has Valet")), H996 * AVERAGE(Accounts!J$2:J$36),H996*Accounts!J996)</f>
        <v/>
      </c>
      <c r="J996" s="168">
        <f>iferror(I996*360,"")</f>
        <v/>
      </c>
      <c r="K996" s="168">
        <f>J996*0.1</f>
        <v/>
      </c>
    </row>
    <row r="997" ht="54.75" customHeight="1" s="211">
      <c r="A997" s="164">
        <f>Accounts!A997</f>
        <v/>
      </c>
      <c r="B997" s="12" t="n"/>
      <c r="C997" s="65" t="n"/>
      <c r="D997" s="165">
        <f>Accounts!K997</f>
        <v/>
      </c>
      <c r="E997" s="166" t="n">
        <v>0.6</v>
      </c>
      <c r="F997" s="167">
        <f>Accounts!K997*E997</f>
        <v/>
      </c>
      <c r="G997" s="166" t="n">
        <v>0.4</v>
      </c>
      <c r="H997" s="167">
        <f>F997*G997</f>
        <v/>
      </c>
      <c r="I997" s="168">
        <f>if(or(eq(Accounts!J997,"No Valet"),eq(Accounts!J997,"Has Valet")), H997 * AVERAGE(Accounts!J$2:J$36),H997*Accounts!J997)</f>
        <v/>
      </c>
      <c r="J997" s="168">
        <f>iferror(I997*360,"")</f>
        <v/>
      </c>
      <c r="K997" s="168">
        <f>J997*0.1</f>
        <v/>
      </c>
    </row>
    <row r="998" ht="54.75" customHeight="1" s="211">
      <c r="A998" s="164">
        <f>Accounts!A998</f>
        <v/>
      </c>
      <c r="B998" s="12" t="n"/>
      <c r="C998" s="65" t="n"/>
      <c r="D998" s="165">
        <f>Accounts!K998</f>
        <v/>
      </c>
      <c r="E998" s="166" t="n">
        <v>0.6</v>
      </c>
      <c r="F998" s="167">
        <f>Accounts!K998*E998</f>
        <v/>
      </c>
      <c r="G998" s="166" t="n">
        <v>0.4</v>
      </c>
      <c r="H998" s="167">
        <f>F998*G998</f>
        <v/>
      </c>
      <c r="I998" s="168">
        <f>if(or(eq(Accounts!J998,"No Valet"),eq(Accounts!J998,"Has Valet")), H998 * AVERAGE(Accounts!J$2:J$36),H998*Accounts!J998)</f>
        <v/>
      </c>
      <c r="J998" s="168">
        <f>iferror(I998*360,"")</f>
        <v/>
      </c>
      <c r="K998" s="168">
        <f>J998*0.1</f>
        <v/>
      </c>
    </row>
    <row r="999" ht="54.75" customHeight="1" s="211">
      <c r="A999" s="164">
        <f>Accounts!A999</f>
        <v/>
      </c>
      <c r="B999" s="12" t="n"/>
      <c r="C999" s="65" t="n"/>
      <c r="D999" s="165">
        <f>Accounts!K999</f>
        <v/>
      </c>
      <c r="E999" s="166" t="n">
        <v>0.6</v>
      </c>
      <c r="F999" s="167">
        <f>Accounts!K999*E999</f>
        <v/>
      </c>
      <c r="G999" s="166" t="n">
        <v>0.4</v>
      </c>
      <c r="H999" s="167">
        <f>F999*G999</f>
        <v/>
      </c>
      <c r="I999" s="168">
        <f>if(or(eq(Accounts!J999,"No Valet"),eq(Accounts!J999,"Has Valet")), H999 * AVERAGE(Accounts!J$2:J$36),H999*Accounts!J999)</f>
        <v/>
      </c>
      <c r="J999" s="168">
        <f>iferror(I999*360,"")</f>
        <v/>
      </c>
      <c r="K999" s="168">
        <f>J999*0.1</f>
        <v/>
      </c>
    </row>
    <row r="1000" ht="54.75" customHeight="1" s="211">
      <c r="A1000" s="164">
        <f>Accounts!A1000</f>
        <v/>
      </c>
      <c r="B1000" s="12" t="n"/>
      <c r="C1000" s="65" t="n"/>
      <c r="D1000" s="165">
        <f>Accounts!K1000</f>
        <v/>
      </c>
      <c r="E1000" s="166" t="n">
        <v>0.6</v>
      </c>
      <c r="F1000" s="167">
        <f>Accounts!K1000*E1000</f>
        <v/>
      </c>
      <c r="G1000" s="166" t="n">
        <v>0.4</v>
      </c>
      <c r="H1000" s="167">
        <f>F1000*G1000</f>
        <v/>
      </c>
      <c r="I1000" s="168">
        <f>if(or(eq(Accounts!J1000,"No Valet"),eq(Accounts!J1000,"Has Valet")), H1000 * AVERAGE(Accounts!J$2:J$36),H1000*Accounts!J1000)</f>
        <v/>
      </c>
      <c r="J1000" s="168">
        <f>iferror(I1000*360,"")</f>
        <v/>
      </c>
      <c r="K1000" s="168">
        <f>J1000*0.1</f>
        <v/>
      </c>
    </row>
    <row r="1001" ht="54.75" customHeight="1" s="211">
      <c r="A1001" s="164">
        <f>Accounts!A1001</f>
        <v/>
      </c>
      <c r="B1001" s="12" t="n"/>
      <c r="C1001" s="65" t="n"/>
      <c r="D1001" s="165">
        <f>Accounts!K1001</f>
        <v/>
      </c>
      <c r="E1001" s="166" t="n">
        <v>0.6</v>
      </c>
      <c r="F1001" s="167">
        <f>Accounts!K1001*E1001</f>
        <v/>
      </c>
      <c r="G1001" s="166" t="n">
        <v>0.4</v>
      </c>
      <c r="H1001" s="167">
        <f>F1001*G1001</f>
        <v/>
      </c>
      <c r="I1001" s="168">
        <f>if(or(eq(Accounts!J1001,"No Valet"),eq(Accounts!J1001,"Has Valet")), H1001 * AVERAGE(Accounts!J$2:J$36),H1001*Accounts!J1001)</f>
        <v/>
      </c>
      <c r="J1001" s="168">
        <f>iferror(I1001*360,"")</f>
        <v/>
      </c>
      <c r="K1001" s="168">
        <f>J1001*0.1</f>
        <v/>
      </c>
    </row>
    <row r="1002" ht="54.75" customHeight="1" s="211">
      <c r="A1002" s="164">
        <f>Accounts!A1002</f>
        <v/>
      </c>
      <c r="B1002" s="12" t="n"/>
      <c r="C1002" s="65" t="n"/>
      <c r="D1002" s="165">
        <f>Accounts!K1002</f>
        <v/>
      </c>
      <c r="E1002" s="166" t="n">
        <v>0.6</v>
      </c>
      <c r="F1002" s="167">
        <f>Accounts!K1002*E1002</f>
        <v/>
      </c>
      <c r="G1002" s="166" t="n">
        <v>0.4</v>
      </c>
      <c r="H1002" s="167">
        <f>F1002*G1002</f>
        <v/>
      </c>
      <c r="I1002" s="168">
        <f>if(or(eq(Accounts!J1002,"No Valet"),eq(Accounts!J1002,"Has Valet")), H1002 * AVERAGE(Accounts!J$2:J$36),H1002*Accounts!J1002)</f>
        <v/>
      </c>
      <c r="J1002" s="168">
        <f>iferror(I1002*360,"")</f>
        <v/>
      </c>
      <c r="K1002" s="168">
        <f>J1002*0.1</f>
        <v/>
      </c>
    </row>
    <row r="1003" ht="54.75" customHeight="1" s="211">
      <c r="A1003" s="164">
        <f>Accounts!A1003</f>
        <v/>
      </c>
      <c r="B1003" s="12" t="n"/>
      <c r="C1003" s="65" t="n"/>
      <c r="D1003" s="165">
        <f>Accounts!K1003</f>
        <v/>
      </c>
      <c r="E1003" s="166" t="n">
        <v>0.6</v>
      </c>
      <c r="F1003" s="167">
        <f>Accounts!K1003*E1003</f>
        <v/>
      </c>
      <c r="G1003" s="166" t="n">
        <v>0.4</v>
      </c>
      <c r="H1003" s="167">
        <f>F1003*G1003</f>
        <v/>
      </c>
      <c r="I1003" s="168">
        <f>if(or(eq(Accounts!J1003,"No Valet"),eq(Accounts!J1003,"Has Valet")), H1003 * AVERAGE(Accounts!J$2:J$36),H1003*Accounts!J1003)</f>
        <v/>
      </c>
      <c r="J1003" s="168">
        <f>iferror(I1003*360,"")</f>
        <v/>
      </c>
      <c r="K1003" s="168">
        <f>J1003*0.1</f>
        <v/>
      </c>
    </row>
    <row r="1004" ht="54.75" customHeight="1" s="211">
      <c r="A1004" s="164">
        <f>Accounts!A1004</f>
        <v/>
      </c>
      <c r="B1004" s="12" t="n"/>
      <c r="C1004" s="65" t="n"/>
      <c r="D1004" s="165">
        <f>Accounts!K1004</f>
        <v/>
      </c>
      <c r="E1004" s="166" t="n">
        <v>0.6</v>
      </c>
      <c r="F1004" s="167">
        <f>Accounts!K1004*E1004</f>
        <v/>
      </c>
      <c r="G1004" s="166" t="n">
        <v>0.4</v>
      </c>
      <c r="H1004" s="167">
        <f>F1004*G1004</f>
        <v/>
      </c>
      <c r="I1004" s="168">
        <f>if(or(eq(Accounts!J1004,"No Valet"),eq(Accounts!J1004,"Has Valet")), H1004 * AVERAGE(Accounts!J$2:J$36),H1004*Accounts!J1004)</f>
        <v/>
      </c>
      <c r="J1004" s="168">
        <f>iferror(I1004*360,"")</f>
        <v/>
      </c>
      <c r="K1004" s="168">
        <f>J1004*0.1</f>
        <v/>
      </c>
    </row>
    <row r="1005" ht="54.75" customHeight="1" s="211">
      <c r="A1005" s="164">
        <f>Accounts!A1005</f>
        <v/>
      </c>
      <c r="B1005" s="12" t="n"/>
      <c r="C1005" s="65" t="n"/>
      <c r="D1005" s="165">
        <f>Accounts!K1005</f>
        <v/>
      </c>
      <c r="E1005" s="166" t="n">
        <v>0.6</v>
      </c>
      <c r="F1005" s="167">
        <f>Accounts!K1005*E1005</f>
        <v/>
      </c>
      <c r="G1005" s="166" t="n">
        <v>0.4</v>
      </c>
      <c r="H1005" s="167">
        <f>F1005*G1005</f>
        <v/>
      </c>
      <c r="I1005" s="168">
        <f>if(or(eq(Accounts!J1005,"No Valet"),eq(Accounts!J1005,"Has Valet")), H1005 * AVERAGE(Accounts!J$2:J$36),H1005*Accounts!J1005)</f>
        <v/>
      </c>
      <c r="J1005" s="168">
        <f>iferror(I1005*360,"")</f>
        <v/>
      </c>
      <c r="K1005" s="168">
        <f>J1005*0.1</f>
        <v/>
      </c>
    </row>
    <row r="1006" ht="54.75" customHeight="1" s="211">
      <c r="A1006" s="164">
        <f>Accounts!A1006</f>
        <v/>
      </c>
      <c r="B1006" s="12" t="n"/>
      <c r="C1006" s="65" t="n"/>
      <c r="D1006" s="165">
        <f>Accounts!K1006</f>
        <v/>
      </c>
      <c r="E1006" s="166" t="n">
        <v>0.6</v>
      </c>
      <c r="F1006" s="167">
        <f>Accounts!K1006*E1006</f>
        <v/>
      </c>
      <c r="G1006" s="166" t="n">
        <v>0.4</v>
      </c>
      <c r="H1006" s="167">
        <f>F1006*G1006</f>
        <v/>
      </c>
      <c r="I1006" s="168">
        <f>if(or(eq(Accounts!J1006,"No Valet"),eq(Accounts!J1006,"Has Valet")), H1006 * AVERAGE(Accounts!J$2:J$36),H1006*Accounts!J1006)</f>
        <v/>
      </c>
      <c r="J1006" s="168">
        <f>iferror(I1006*360,"")</f>
        <v/>
      </c>
      <c r="K1006" s="168">
        <f>J1006*0.1</f>
        <v/>
      </c>
    </row>
    <row r="1007" ht="54.75" customHeight="1" s="211">
      <c r="A1007" s="164">
        <f>Accounts!A1007</f>
        <v/>
      </c>
      <c r="B1007" s="12" t="n"/>
      <c r="C1007" s="65" t="n"/>
      <c r="D1007" s="165">
        <f>Accounts!K1007</f>
        <v/>
      </c>
      <c r="E1007" s="166" t="n">
        <v>0.6</v>
      </c>
      <c r="F1007" s="167">
        <f>Accounts!K1007*E1007</f>
        <v/>
      </c>
      <c r="G1007" s="166" t="n">
        <v>0.4</v>
      </c>
      <c r="H1007" s="167">
        <f>F1007*G1007</f>
        <v/>
      </c>
      <c r="I1007" s="168">
        <f>if(or(eq(Accounts!J1007,"No Valet"),eq(Accounts!J1007,"Has Valet")), H1007 * AVERAGE(Accounts!J$2:J$36),H1007*Accounts!J1007)</f>
        <v/>
      </c>
      <c r="J1007" s="168">
        <f>iferror(I1007*360,"")</f>
        <v/>
      </c>
      <c r="K1007" s="168">
        <f>J1007*0.1</f>
        <v/>
      </c>
    </row>
    <row r="1008" ht="54.75" customHeight="1" s="211">
      <c r="A1008" s="164">
        <f>Accounts!A1008</f>
        <v/>
      </c>
      <c r="B1008" s="12" t="n"/>
      <c r="C1008" s="65" t="n"/>
      <c r="D1008" s="165">
        <f>Accounts!K1008</f>
        <v/>
      </c>
      <c r="E1008" s="166" t="n">
        <v>0.6</v>
      </c>
      <c r="F1008" s="167">
        <f>Accounts!K1008*E1008</f>
        <v/>
      </c>
      <c r="G1008" s="166" t="n">
        <v>0.4</v>
      </c>
      <c r="H1008" s="167">
        <f>F1008*G1008</f>
        <v/>
      </c>
      <c r="I1008" s="168">
        <f>if(or(eq(Accounts!J1008,"No Valet"),eq(Accounts!J1008,"Has Valet")), H1008 * AVERAGE(Accounts!J$2:J$36),H1008*Accounts!J1008)</f>
        <v/>
      </c>
      <c r="J1008" s="168">
        <f>iferror(I1008*360,"")</f>
        <v/>
      </c>
      <c r="K1008" s="168">
        <f>J1008*0.1</f>
        <v/>
      </c>
    </row>
    <row r="1009" ht="54.75" customHeight="1" s="211">
      <c r="A1009" s="164">
        <f>Accounts!A1009</f>
        <v/>
      </c>
      <c r="B1009" s="12" t="n"/>
      <c r="C1009" s="65" t="n"/>
      <c r="D1009" s="165">
        <f>Accounts!K1009</f>
        <v/>
      </c>
      <c r="E1009" s="166" t="n">
        <v>0.6</v>
      </c>
      <c r="F1009" s="167">
        <f>Accounts!K1009*E1009</f>
        <v/>
      </c>
      <c r="G1009" s="166" t="n">
        <v>0.4</v>
      </c>
      <c r="H1009" s="167">
        <f>F1009*G1009</f>
        <v/>
      </c>
      <c r="I1009" s="168">
        <f>if(or(eq(Accounts!J1009,"No Valet"),eq(Accounts!J1009,"Has Valet")), H1009 * AVERAGE(Accounts!J$2:J$36),H1009*Accounts!J1009)</f>
        <v/>
      </c>
      <c r="J1009" s="168">
        <f>iferror(I1009*360,"")</f>
        <v/>
      </c>
      <c r="K1009" s="168">
        <f>J1009*0.1</f>
        <v/>
      </c>
    </row>
    <row r="1010" ht="54.75" customHeight="1" s="211">
      <c r="A1010" s="164">
        <f>Accounts!A1010</f>
        <v/>
      </c>
      <c r="B1010" s="12" t="n"/>
      <c r="C1010" s="65" t="n"/>
      <c r="D1010" s="165">
        <f>Accounts!K1010</f>
        <v/>
      </c>
      <c r="E1010" s="166" t="n">
        <v>0.6</v>
      </c>
      <c r="F1010" s="167">
        <f>Accounts!K1010*E1010</f>
        <v/>
      </c>
      <c r="G1010" s="166" t="n">
        <v>0.4</v>
      </c>
      <c r="H1010" s="167">
        <f>F1010*G1010</f>
        <v/>
      </c>
      <c r="I1010" s="168">
        <f>if(or(eq(Accounts!J1010,"No Valet"),eq(Accounts!J1010,"Has Valet")), H1010 * AVERAGE(Accounts!J$2:J$36),H1010*Accounts!J1010)</f>
        <v/>
      </c>
      <c r="J1010" s="168">
        <f>iferror(I1010*360,"")</f>
        <v/>
      </c>
      <c r="K1010" s="168">
        <f>J1010*0.1</f>
        <v/>
      </c>
    </row>
    <row r="1011" ht="54.75" customHeight="1" s="211">
      <c r="A1011" s="164">
        <f>Accounts!A1011</f>
        <v/>
      </c>
      <c r="B1011" s="12" t="n"/>
      <c r="C1011" s="65" t="n"/>
      <c r="D1011" s="165">
        <f>Accounts!K1011</f>
        <v/>
      </c>
      <c r="E1011" s="166" t="n">
        <v>0.6</v>
      </c>
      <c r="F1011" s="167">
        <f>Accounts!K1011*E1011</f>
        <v/>
      </c>
      <c r="G1011" s="166" t="n">
        <v>0.4</v>
      </c>
      <c r="H1011" s="167">
        <f>F1011*G1011</f>
        <v/>
      </c>
      <c r="I1011" s="168">
        <f>if(or(eq(Accounts!J1011,"No Valet"),eq(Accounts!J1011,"Has Valet")), H1011 * AVERAGE(Accounts!J$2:J$36),H1011*Accounts!J1011)</f>
        <v/>
      </c>
      <c r="J1011" s="168">
        <f>iferror(I1011*360,"")</f>
        <v/>
      </c>
      <c r="K1011" s="168">
        <f>J1011*0.1</f>
        <v/>
      </c>
    </row>
    <row r="1012" ht="54.75" customHeight="1" s="211">
      <c r="A1012" s="164">
        <f>Accounts!A1012</f>
        <v/>
      </c>
      <c r="B1012" s="12" t="n"/>
      <c r="C1012" s="65" t="n"/>
      <c r="D1012" s="165">
        <f>Accounts!K1012</f>
        <v/>
      </c>
      <c r="E1012" s="166" t="n">
        <v>0.6</v>
      </c>
      <c r="F1012" s="167">
        <f>Accounts!K1012*E1012</f>
        <v/>
      </c>
      <c r="G1012" s="166" t="n">
        <v>0.4</v>
      </c>
      <c r="H1012" s="167">
        <f>F1012*G1012</f>
        <v/>
      </c>
      <c r="I1012" s="168">
        <f>if(or(eq(Accounts!J1012,"No Valet"),eq(Accounts!J1012,"Has Valet")), H1012 * AVERAGE(Accounts!J$2:J$36),H1012*Accounts!J1012)</f>
        <v/>
      </c>
      <c r="J1012" s="168">
        <f>iferror(I1012*360,"")</f>
        <v/>
      </c>
      <c r="K1012" s="168">
        <f>J1012*0.1</f>
        <v/>
      </c>
    </row>
    <row r="1013" ht="54.75" customHeight="1" s="211">
      <c r="A1013" s="164">
        <f>Accounts!A1013</f>
        <v/>
      </c>
      <c r="B1013" s="12" t="n"/>
      <c r="C1013" s="65" t="n"/>
      <c r="D1013" s="165">
        <f>Accounts!K1013</f>
        <v/>
      </c>
      <c r="E1013" s="166" t="n">
        <v>0.6</v>
      </c>
      <c r="F1013" s="167">
        <f>Accounts!K1013*E1013</f>
        <v/>
      </c>
      <c r="G1013" s="166" t="n">
        <v>0.4</v>
      </c>
      <c r="H1013" s="167">
        <f>F1013*G1013</f>
        <v/>
      </c>
      <c r="I1013" s="168">
        <f>if(or(eq(Accounts!J1013,"No Valet"),eq(Accounts!J1013,"Has Valet")), H1013 * AVERAGE(Accounts!J$2:J$36),H1013*Accounts!J1013)</f>
        <v/>
      </c>
      <c r="J1013" s="168">
        <f>iferror(I1013*360,"")</f>
        <v/>
      </c>
      <c r="K1013" s="168">
        <f>J1013*0.1</f>
        <v/>
      </c>
    </row>
    <row r="1014" ht="54.75" customHeight="1" s="211">
      <c r="A1014" s="164">
        <f>Accounts!A1014</f>
        <v/>
      </c>
      <c r="B1014" s="12" t="n"/>
      <c r="C1014" s="65" t="n"/>
      <c r="D1014" s="165">
        <f>Accounts!K1014</f>
        <v/>
      </c>
      <c r="E1014" s="166" t="n">
        <v>0.6</v>
      </c>
      <c r="F1014" s="167">
        <f>Accounts!K1014*E1014</f>
        <v/>
      </c>
      <c r="G1014" s="166" t="n">
        <v>0.4</v>
      </c>
      <c r="H1014" s="167">
        <f>F1014*G1014</f>
        <v/>
      </c>
      <c r="I1014" s="168">
        <f>if(or(eq(Accounts!J1014,"No Valet"),eq(Accounts!J1014,"Has Valet")), H1014 * AVERAGE(Accounts!J$2:J$36),H1014*Accounts!J1014)</f>
        <v/>
      </c>
      <c r="J1014" s="168">
        <f>iferror(I1014*360,"")</f>
        <v/>
      </c>
      <c r="K1014" s="168">
        <f>J1014*0.1</f>
        <v/>
      </c>
    </row>
    <row r="1015" ht="54.75" customHeight="1" s="211">
      <c r="A1015" s="164">
        <f>Accounts!A1015</f>
        <v/>
      </c>
      <c r="B1015" s="12" t="n"/>
      <c r="C1015" s="65" t="n"/>
      <c r="D1015" s="165">
        <f>Accounts!K1015</f>
        <v/>
      </c>
      <c r="E1015" s="166" t="n">
        <v>0.6</v>
      </c>
      <c r="F1015" s="167">
        <f>Accounts!K1015*E1015</f>
        <v/>
      </c>
      <c r="G1015" s="166" t="n">
        <v>0.4</v>
      </c>
      <c r="H1015" s="167">
        <f>F1015*G1015</f>
        <v/>
      </c>
      <c r="I1015" s="168">
        <f>if(or(eq(Accounts!J1015,"No Valet"),eq(Accounts!J1015,"Has Valet")), H1015 * AVERAGE(Accounts!J$2:J$36),H1015*Accounts!J1015)</f>
        <v/>
      </c>
      <c r="J1015" s="168">
        <f>iferror(I1015*360,"")</f>
        <v/>
      </c>
      <c r="K1015" s="168">
        <f>J1015*0.1</f>
        <v/>
      </c>
    </row>
    <row r="1016" ht="54.75" customHeight="1" s="211">
      <c r="A1016" s="164">
        <f>Accounts!A1016</f>
        <v/>
      </c>
      <c r="B1016" s="12" t="n"/>
      <c r="C1016" s="65" t="n"/>
      <c r="D1016" s="165">
        <f>Accounts!K1016</f>
        <v/>
      </c>
      <c r="E1016" s="166" t="n">
        <v>0.6</v>
      </c>
      <c r="F1016" s="167">
        <f>Accounts!K1016*E1016</f>
        <v/>
      </c>
      <c r="G1016" s="166" t="n">
        <v>0.4</v>
      </c>
      <c r="H1016" s="167">
        <f>F1016*G1016</f>
        <v/>
      </c>
      <c r="I1016" s="168">
        <f>if(or(eq(Accounts!J1016,"No Valet"),eq(Accounts!J1016,"Has Valet")), H1016 * AVERAGE(Accounts!J$2:J$36),H1016*Accounts!J1016)</f>
        <v/>
      </c>
      <c r="J1016" s="168">
        <f>iferror(I1016*360,"")</f>
        <v/>
      </c>
      <c r="K1016" s="168">
        <f>J1016*0.1</f>
        <v/>
      </c>
    </row>
    <row r="1017" ht="54.75" customHeight="1" s="211">
      <c r="A1017" s="164">
        <f>Accounts!A1017</f>
        <v/>
      </c>
      <c r="B1017" s="12" t="n"/>
      <c r="C1017" s="65" t="n"/>
      <c r="D1017" s="165">
        <f>Accounts!K1017</f>
        <v/>
      </c>
      <c r="E1017" s="166" t="n">
        <v>0.6</v>
      </c>
      <c r="F1017" s="167">
        <f>Accounts!K1017*E1017</f>
        <v/>
      </c>
      <c r="G1017" s="166" t="n">
        <v>0.4</v>
      </c>
      <c r="H1017" s="167">
        <f>F1017*G1017</f>
        <v/>
      </c>
      <c r="I1017" s="168">
        <f>if(or(eq(Accounts!J1017,"No Valet"),eq(Accounts!J1017,"Has Valet")), H1017 * AVERAGE(Accounts!J$2:J$36),H1017*Accounts!J1017)</f>
        <v/>
      </c>
      <c r="J1017" s="168">
        <f>iferror(I1017*360,"")</f>
        <v/>
      </c>
      <c r="K1017" s="168">
        <f>J1017*0.1</f>
        <v/>
      </c>
    </row>
    <row r="1018" ht="54.75" customHeight="1" s="211">
      <c r="A1018" s="164">
        <f>Accounts!A1018</f>
        <v/>
      </c>
      <c r="B1018" s="12" t="n"/>
      <c r="C1018" s="65" t="n"/>
      <c r="D1018" s="165">
        <f>Accounts!K1018</f>
        <v/>
      </c>
      <c r="E1018" s="166" t="n">
        <v>0.6</v>
      </c>
      <c r="F1018" s="167">
        <f>Accounts!K1018*E1018</f>
        <v/>
      </c>
      <c r="G1018" s="166" t="n">
        <v>0.4</v>
      </c>
      <c r="H1018" s="167">
        <f>F1018*G1018</f>
        <v/>
      </c>
      <c r="I1018" s="168">
        <f>if(or(eq(Accounts!J1018,"No Valet"),eq(Accounts!J1018,"Has Valet")), H1018 * AVERAGE(Accounts!J$2:J$36),H1018*Accounts!J1018)</f>
        <v/>
      </c>
      <c r="J1018" s="168">
        <f>iferror(I1018*360,"")</f>
        <v/>
      </c>
      <c r="K1018" s="168">
        <f>J1018*0.1</f>
        <v/>
      </c>
    </row>
    <row r="1019" ht="54.75" customHeight="1" s="211">
      <c r="A1019" s="164">
        <f>Accounts!A1019</f>
        <v/>
      </c>
      <c r="B1019" s="12" t="n"/>
      <c r="C1019" s="65" t="n"/>
      <c r="D1019" s="165">
        <f>Accounts!K1019</f>
        <v/>
      </c>
      <c r="E1019" s="166" t="n">
        <v>0.6</v>
      </c>
      <c r="F1019" s="167">
        <f>Accounts!K1019*E1019</f>
        <v/>
      </c>
      <c r="G1019" s="166" t="n">
        <v>0.4</v>
      </c>
      <c r="H1019" s="167">
        <f>F1019*G1019</f>
        <v/>
      </c>
      <c r="I1019" s="168">
        <f>if(or(eq(Accounts!J1019,"No Valet"),eq(Accounts!J1019,"Has Valet")), H1019 * AVERAGE(Accounts!J$2:J$36),H1019*Accounts!J1019)</f>
        <v/>
      </c>
      <c r="J1019" s="168">
        <f>iferror(I1019*360,"")</f>
        <v/>
      </c>
      <c r="K1019" s="168">
        <f>J1019*0.1</f>
        <v/>
      </c>
    </row>
    <row r="1020" ht="54.75" customHeight="1" s="211">
      <c r="A1020" s="164">
        <f>Accounts!A1020</f>
        <v/>
      </c>
      <c r="B1020" s="12" t="n"/>
      <c r="C1020" s="65" t="n"/>
      <c r="D1020" s="165">
        <f>Accounts!K1020</f>
        <v/>
      </c>
      <c r="E1020" s="166" t="n">
        <v>0.6</v>
      </c>
      <c r="F1020" s="167">
        <f>Accounts!K1020*E1020</f>
        <v/>
      </c>
      <c r="G1020" s="166" t="n">
        <v>0.4</v>
      </c>
      <c r="H1020" s="167">
        <f>F1020*G1020</f>
        <v/>
      </c>
      <c r="I1020" s="168">
        <f>if(or(eq(Accounts!J1020,"No Valet"),eq(Accounts!J1020,"Has Valet")), H1020 * AVERAGE(Accounts!J$2:J$36),H1020*Accounts!J1020)</f>
        <v/>
      </c>
      <c r="J1020" s="168">
        <f>iferror(I1020*360,"")</f>
        <v/>
      </c>
      <c r="K1020" s="168">
        <f>J1020*0.1</f>
        <v/>
      </c>
    </row>
    <row r="1021" ht="54.75" customHeight="1" s="211">
      <c r="A1021" s="164">
        <f>Accounts!A1021</f>
        <v/>
      </c>
      <c r="B1021" s="12" t="n"/>
      <c r="C1021" s="65" t="n"/>
      <c r="D1021" s="165">
        <f>Accounts!K1021</f>
        <v/>
      </c>
      <c r="E1021" s="166" t="n">
        <v>0.6</v>
      </c>
      <c r="F1021" s="167">
        <f>Accounts!K1021*E1021</f>
        <v/>
      </c>
      <c r="G1021" s="166" t="n">
        <v>0.4</v>
      </c>
      <c r="H1021" s="167">
        <f>F1021*G1021</f>
        <v/>
      </c>
      <c r="I1021" s="168">
        <f>if(or(eq(Accounts!J1021,"No Valet"),eq(Accounts!J1021,"Has Valet")), H1021 * AVERAGE(Accounts!J$2:J$36),H1021*Accounts!J1021)</f>
        <v/>
      </c>
      <c r="J1021" s="168">
        <f>iferror(I1021*360,"")</f>
        <v/>
      </c>
      <c r="K1021" s="168">
        <f>J1021*0.1</f>
        <v/>
      </c>
    </row>
    <row r="1022" ht="54.75" customHeight="1" s="211">
      <c r="A1022" s="164">
        <f>Accounts!A1022</f>
        <v/>
      </c>
      <c r="B1022" s="12" t="n"/>
      <c r="C1022" s="65" t="n"/>
      <c r="D1022" s="165">
        <f>Accounts!K1022</f>
        <v/>
      </c>
      <c r="E1022" s="166" t="n">
        <v>0.6</v>
      </c>
      <c r="F1022" s="167">
        <f>Accounts!K1022*E1022</f>
        <v/>
      </c>
      <c r="G1022" s="166" t="n">
        <v>0.4</v>
      </c>
      <c r="H1022" s="167">
        <f>F1022*G1022</f>
        <v/>
      </c>
      <c r="I1022" s="168">
        <f>if(or(eq(Accounts!J1022,"No Valet"),eq(Accounts!J1022,"Has Valet")), H1022 * AVERAGE(Accounts!J$2:J$36),H1022*Accounts!J1022)</f>
        <v/>
      </c>
      <c r="J1022" s="168">
        <f>iferror(I1022*360,"")</f>
        <v/>
      </c>
      <c r="K1022" s="168">
        <f>J1022*0.1</f>
        <v/>
      </c>
    </row>
    <row r="1023" ht="54.75" customHeight="1" s="211">
      <c r="A1023" s="164">
        <f>Accounts!A1023</f>
        <v/>
      </c>
      <c r="B1023" s="12" t="n"/>
      <c r="C1023" s="65" t="n"/>
      <c r="D1023" s="165">
        <f>Accounts!K1023</f>
        <v/>
      </c>
      <c r="E1023" s="166" t="n">
        <v>0.6</v>
      </c>
      <c r="F1023" s="167">
        <f>Accounts!K1023*E1023</f>
        <v/>
      </c>
      <c r="G1023" s="166" t="n">
        <v>0.4</v>
      </c>
      <c r="H1023" s="167">
        <f>F1023*G1023</f>
        <v/>
      </c>
      <c r="I1023" s="168">
        <f>if(or(eq(Accounts!J1023,"No Valet"),eq(Accounts!J1023,"Has Valet")), H1023 * AVERAGE(Accounts!J$2:J$36),H1023*Accounts!J1023)</f>
        <v/>
      </c>
      <c r="J1023" s="168">
        <f>iferror(I1023*360,"")</f>
        <v/>
      </c>
      <c r="K1023" s="168">
        <f>J1023*0.1</f>
        <v/>
      </c>
    </row>
    <row r="1024" ht="54.75" customHeight="1" s="211">
      <c r="A1024" s="164">
        <f>Accounts!A1024</f>
        <v/>
      </c>
      <c r="B1024" s="12" t="n"/>
      <c r="C1024" s="65" t="n"/>
      <c r="D1024" s="165">
        <f>Accounts!K1024</f>
        <v/>
      </c>
      <c r="E1024" s="166" t="n">
        <v>0.6</v>
      </c>
      <c r="F1024" s="167">
        <f>Accounts!K1024*E1024</f>
        <v/>
      </c>
      <c r="G1024" s="166" t="n">
        <v>0.4</v>
      </c>
      <c r="H1024" s="167">
        <f>F1024*G1024</f>
        <v/>
      </c>
      <c r="I1024" s="168">
        <f>if(or(eq(Accounts!J1024,"No Valet"),eq(Accounts!J1024,"Has Valet")), H1024 * AVERAGE(Accounts!J$2:J$36),H1024*Accounts!J1024)</f>
        <v/>
      </c>
      <c r="J1024" s="168">
        <f>iferror(I1024*360,"")</f>
        <v/>
      </c>
      <c r="K1024" s="168">
        <f>J1024*0.1</f>
        <v/>
      </c>
    </row>
    <row r="1025" ht="54.75" customHeight="1" s="211">
      <c r="A1025" s="164">
        <f>Accounts!A1025</f>
        <v/>
      </c>
      <c r="B1025" s="12" t="n"/>
      <c r="C1025" s="65" t="n"/>
      <c r="D1025" s="165">
        <f>Accounts!K1025</f>
        <v/>
      </c>
      <c r="E1025" s="166" t="n">
        <v>0.6</v>
      </c>
      <c r="F1025" s="167">
        <f>Accounts!K1025*E1025</f>
        <v/>
      </c>
      <c r="G1025" s="166" t="n">
        <v>0.4</v>
      </c>
      <c r="H1025" s="167">
        <f>F1025*G1025</f>
        <v/>
      </c>
      <c r="I1025" s="168">
        <f>if(or(eq(Accounts!J1025,"No Valet"),eq(Accounts!J1025,"Has Valet")), H1025 * AVERAGE(Accounts!J$2:J$36),H1025*Accounts!J1025)</f>
        <v/>
      </c>
      <c r="J1025" s="168">
        <f>iferror(I1025*360,"")</f>
        <v/>
      </c>
      <c r="K1025" s="168">
        <f>J1025*0.1</f>
        <v/>
      </c>
    </row>
    <row r="1026" ht="54.75" customHeight="1" s="211">
      <c r="A1026" s="164">
        <f>Accounts!A1026</f>
        <v/>
      </c>
      <c r="B1026" s="12" t="n"/>
      <c r="C1026" s="65" t="n"/>
      <c r="D1026" s="165">
        <f>Accounts!K1026</f>
        <v/>
      </c>
      <c r="E1026" s="166" t="n">
        <v>0.6</v>
      </c>
      <c r="F1026" s="167">
        <f>Accounts!K1026*E1026</f>
        <v/>
      </c>
      <c r="G1026" s="166" t="n">
        <v>0.4</v>
      </c>
      <c r="H1026" s="167">
        <f>F1026*G1026</f>
        <v/>
      </c>
      <c r="I1026" s="168">
        <f>if(or(eq(Accounts!J1026,"No Valet"),eq(Accounts!J1026,"Has Valet")), H1026 * AVERAGE(Accounts!J$2:J$36),H1026*Accounts!J1026)</f>
        <v/>
      </c>
      <c r="J1026" s="168">
        <f>iferror(I1026*360,"")</f>
        <v/>
      </c>
      <c r="K1026" s="168">
        <f>J1026*0.1</f>
        <v/>
      </c>
    </row>
    <row r="1027" ht="54.75" customHeight="1" s="211">
      <c r="A1027" s="164">
        <f>Accounts!A1027</f>
        <v/>
      </c>
      <c r="B1027" s="12" t="n"/>
      <c r="C1027" s="65" t="n"/>
      <c r="D1027" s="165">
        <f>Accounts!K1027</f>
        <v/>
      </c>
      <c r="E1027" s="166" t="n">
        <v>0.6</v>
      </c>
      <c r="F1027" s="167">
        <f>Accounts!K1027*E1027</f>
        <v/>
      </c>
      <c r="G1027" s="166" t="n">
        <v>0.4</v>
      </c>
      <c r="H1027" s="167">
        <f>F1027*G1027</f>
        <v/>
      </c>
      <c r="I1027" s="168">
        <f>if(or(eq(Accounts!J1027,"No Valet"),eq(Accounts!J1027,"Has Valet")), H1027 * AVERAGE(Accounts!J$2:J$36),H1027*Accounts!J1027)</f>
        <v/>
      </c>
      <c r="J1027" s="168">
        <f>iferror(I1027*360,"")</f>
        <v/>
      </c>
      <c r="K1027" s="168">
        <f>J1027*0.1</f>
        <v/>
      </c>
    </row>
    <row r="1028" ht="54.75" customHeight="1" s="211">
      <c r="A1028" s="164">
        <f>Accounts!A1028</f>
        <v/>
      </c>
      <c r="B1028" s="12" t="n"/>
      <c r="C1028" s="65" t="n"/>
      <c r="D1028" s="165">
        <f>Accounts!K1028</f>
        <v/>
      </c>
      <c r="E1028" s="166" t="n">
        <v>0.6</v>
      </c>
      <c r="F1028" s="167">
        <f>Accounts!K1028*E1028</f>
        <v/>
      </c>
      <c r="G1028" s="166" t="n">
        <v>0.4</v>
      </c>
      <c r="H1028" s="167">
        <f>F1028*G1028</f>
        <v/>
      </c>
      <c r="I1028" s="168">
        <f>if(or(eq(Accounts!J1028,"No Valet"),eq(Accounts!J1028,"Has Valet")), H1028 * AVERAGE(Accounts!J$2:J$36),H1028*Accounts!J1028)</f>
        <v/>
      </c>
      <c r="J1028" s="168">
        <f>iferror(I1028*360,"")</f>
        <v/>
      </c>
      <c r="K1028" s="168">
        <f>J1028*0.1</f>
        <v/>
      </c>
    </row>
    <row r="1029" ht="54.75" customHeight="1" s="211">
      <c r="A1029" s="164">
        <f>Accounts!A1029</f>
        <v/>
      </c>
      <c r="B1029" s="12" t="n"/>
      <c r="C1029" s="65" t="n"/>
      <c r="D1029" s="165">
        <f>Accounts!K1029</f>
        <v/>
      </c>
      <c r="E1029" s="166" t="n">
        <v>0.6</v>
      </c>
      <c r="F1029" s="167">
        <f>Accounts!K1029*E1029</f>
        <v/>
      </c>
      <c r="G1029" s="166" t="n">
        <v>0.4</v>
      </c>
      <c r="H1029" s="167">
        <f>F1029*G1029</f>
        <v/>
      </c>
      <c r="I1029" s="168">
        <f>if(or(eq(Accounts!J1029,"No Valet"),eq(Accounts!J1029,"Has Valet")), H1029 * AVERAGE(Accounts!J$2:J$36),H1029*Accounts!J1029)</f>
        <v/>
      </c>
      <c r="J1029" s="168">
        <f>iferror(I1029*360,"")</f>
        <v/>
      </c>
      <c r="K1029" s="168">
        <f>J1029*0.1</f>
        <v/>
      </c>
    </row>
    <row r="1030" ht="54.75" customHeight="1" s="211">
      <c r="A1030" s="164">
        <f>Accounts!A1030</f>
        <v/>
      </c>
      <c r="B1030" s="12" t="n"/>
      <c r="C1030" s="65" t="n"/>
      <c r="D1030" s="165">
        <f>Accounts!K1030</f>
        <v/>
      </c>
      <c r="E1030" s="166" t="n">
        <v>0.6</v>
      </c>
      <c r="F1030" s="167">
        <f>Accounts!K1030*E1030</f>
        <v/>
      </c>
      <c r="G1030" s="166" t="n">
        <v>0.4</v>
      </c>
      <c r="H1030" s="167">
        <f>F1030*G1030</f>
        <v/>
      </c>
      <c r="I1030" s="168">
        <f>if(or(eq(Accounts!J1030,"No Valet"),eq(Accounts!J1030,"Has Valet")), H1030 * AVERAGE(Accounts!J$2:J$36),H1030*Accounts!J1030)</f>
        <v/>
      </c>
      <c r="J1030" s="168">
        <f>iferror(I1030*360,"")</f>
        <v/>
      </c>
      <c r="K1030" s="168">
        <f>J1030*0.1</f>
        <v/>
      </c>
    </row>
    <row r="1031" ht="54.75" customHeight="1" s="211">
      <c r="A1031" s="164">
        <f>Accounts!A1031</f>
        <v/>
      </c>
      <c r="B1031" s="12" t="n"/>
      <c r="C1031" s="65" t="n"/>
      <c r="D1031" s="165">
        <f>Accounts!K1031</f>
        <v/>
      </c>
      <c r="E1031" s="166" t="n">
        <v>0.6</v>
      </c>
      <c r="F1031" s="167">
        <f>Accounts!K1031*E1031</f>
        <v/>
      </c>
      <c r="G1031" s="166" t="n">
        <v>0.4</v>
      </c>
      <c r="H1031" s="167">
        <f>F1031*G1031</f>
        <v/>
      </c>
      <c r="I1031" s="168">
        <f>if(or(eq(Accounts!J1031,"No Valet"),eq(Accounts!J1031,"Has Valet")), H1031 * AVERAGE(Accounts!J$2:J$36),H1031*Accounts!J1031)</f>
        <v/>
      </c>
      <c r="J1031" s="168">
        <f>iferror(I1031*360,"")</f>
        <v/>
      </c>
      <c r="K1031" s="168">
        <f>J1031*0.1</f>
        <v/>
      </c>
    </row>
    <row r="1032" ht="54.75" customHeight="1" s="211">
      <c r="A1032" s="164">
        <f>Accounts!A1032</f>
        <v/>
      </c>
      <c r="B1032" s="12" t="n"/>
      <c r="C1032" s="65" t="n"/>
      <c r="D1032" s="165">
        <f>Accounts!K1032</f>
        <v/>
      </c>
      <c r="E1032" s="166" t="n">
        <v>0.6</v>
      </c>
      <c r="F1032" s="167">
        <f>Accounts!K1032*E1032</f>
        <v/>
      </c>
      <c r="G1032" s="166" t="n">
        <v>0.4</v>
      </c>
      <c r="H1032" s="167">
        <f>F1032*G1032</f>
        <v/>
      </c>
      <c r="I1032" s="168">
        <f>if(or(eq(Accounts!J1032,"No Valet"),eq(Accounts!J1032,"Has Valet")), H1032 * AVERAGE(Accounts!J$2:J$36),H1032*Accounts!J1032)</f>
        <v/>
      </c>
      <c r="J1032" s="168">
        <f>iferror(I1032*360,"")</f>
        <v/>
      </c>
      <c r="K1032" s="168">
        <f>J1032*0.1</f>
        <v/>
      </c>
    </row>
    <row r="1033" ht="54.75" customHeight="1" s="211">
      <c r="A1033" s="164">
        <f>Accounts!A1033</f>
        <v/>
      </c>
      <c r="B1033" s="12" t="n"/>
      <c r="C1033" s="65" t="n"/>
      <c r="D1033" s="165">
        <f>Accounts!K1033</f>
        <v/>
      </c>
      <c r="E1033" s="166" t="n">
        <v>0.6</v>
      </c>
      <c r="F1033" s="167">
        <f>Accounts!K1033*E1033</f>
        <v/>
      </c>
      <c r="G1033" s="166" t="n">
        <v>0.4</v>
      </c>
      <c r="H1033" s="167">
        <f>F1033*G1033</f>
        <v/>
      </c>
      <c r="I1033" s="168">
        <f>if(or(eq(Accounts!J1033,"No Valet"),eq(Accounts!J1033,"Has Valet")), H1033 * AVERAGE(Accounts!J$2:J$36),H1033*Accounts!J1033)</f>
        <v/>
      </c>
      <c r="J1033" s="168">
        <f>iferror(I1033*360,"")</f>
        <v/>
      </c>
      <c r="K1033" s="168">
        <f>J1033*0.1</f>
        <v/>
      </c>
    </row>
    <row r="1034" ht="54.75" customHeight="1" s="211">
      <c r="A1034" s="164">
        <f>Accounts!A1034</f>
        <v/>
      </c>
      <c r="B1034" s="12" t="n"/>
      <c r="C1034" s="65" t="n"/>
      <c r="D1034" s="165">
        <f>Accounts!K1034</f>
        <v/>
      </c>
      <c r="E1034" s="166" t="n">
        <v>0.6</v>
      </c>
      <c r="F1034" s="167">
        <f>Accounts!K1034*E1034</f>
        <v/>
      </c>
      <c r="G1034" s="166" t="n">
        <v>0.4</v>
      </c>
      <c r="H1034" s="167">
        <f>F1034*G1034</f>
        <v/>
      </c>
      <c r="I1034" s="168">
        <f>if(or(eq(Accounts!J1034,"No Valet"),eq(Accounts!J1034,"Has Valet")), H1034 * AVERAGE(Accounts!J$2:J$36),H1034*Accounts!J1034)</f>
        <v/>
      </c>
      <c r="J1034" s="168">
        <f>iferror(I1034*360,"")</f>
        <v/>
      </c>
      <c r="K1034" s="168">
        <f>J1034*0.1</f>
        <v/>
      </c>
    </row>
    <row r="1035" ht="54.75" customHeight="1" s="211">
      <c r="A1035" s="164">
        <f>Accounts!A1035</f>
        <v/>
      </c>
      <c r="B1035" s="12" t="n"/>
      <c r="C1035" s="65" t="n"/>
      <c r="D1035" s="165">
        <f>Accounts!K1035</f>
        <v/>
      </c>
      <c r="E1035" s="166" t="n">
        <v>0.6</v>
      </c>
      <c r="F1035" s="167">
        <f>Accounts!K1035*E1035</f>
        <v/>
      </c>
      <c r="G1035" s="166" t="n">
        <v>0.4</v>
      </c>
      <c r="H1035" s="167">
        <f>F1035*G1035</f>
        <v/>
      </c>
      <c r="I1035" s="168">
        <f>if(or(eq(Accounts!J1035,"No Valet"),eq(Accounts!J1035,"Has Valet")), H1035 * AVERAGE(Accounts!J$2:J$36),H1035*Accounts!J1035)</f>
        <v/>
      </c>
      <c r="J1035" s="168">
        <f>iferror(I1035*360,"")</f>
        <v/>
      </c>
      <c r="K1035" s="168">
        <f>J1035*0.1</f>
        <v/>
      </c>
    </row>
    <row r="1036" ht="54.75" customHeight="1" s="211">
      <c r="A1036" s="164">
        <f>Accounts!A1036</f>
        <v/>
      </c>
      <c r="B1036" s="12" t="n"/>
      <c r="C1036" s="65" t="n"/>
      <c r="D1036" s="165">
        <f>Accounts!K1036</f>
        <v/>
      </c>
      <c r="E1036" s="166" t="n">
        <v>0.6</v>
      </c>
      <c r="F1036" s="167">
        <f>Accounts!K1036*E1036</f>
        <v/>
      </c>
      <c r="G1036" s="166" t="n">
        <v>0.4</v>
      </c>
      <c r="H1036" s="167">
        <f>F1036*G1036</f>
        <v/>
      </c>
      <c r="I1036" s="168">
        <f>if(or(eq(Accounts!J1036,"No Valet"),eq(Accounts!J1036,"Has Valet")), H1036 * AVERAGE(Accounts!J$2:J$36),H1036*Accounts!J1036)</f>
        <v/>
      </c>
      <c r="J1036" s="168">
        <f>iferror(I1036*360,"")</f>
        <v/>
      </c>
      <c r="K1036" s="168">
        <f>J1036*0.1</f>
        <v/>
      </c>
    </row>
    <row r="1037" ht="54.75" customHeight="1" s="211">
      <c r="A1037" s="164">
        <f>Accounts!A1037</f>
        <v/>
      </c>
      <c r="B1037" s="12" t="n"/>
      <c r="C1037" s="65" t="n"/>
      <c r="D1037" s="165">
        <f>Accounts!K1037</f>
        <v/>
      </c>
      <c r="E1037" s="166" t="n">
        <v>0.6</v>
      </c>
      <c r="F1037" s="167">
        <f>Accounts!K1037*E1037</f>
        <v/>
      </c>
      <c r="G1037" s="166" t="n">
        <v>0.4</v>
      </c>
      <c r="H1037" s="167">
        <f>F1037*G1037</f>
        <v/>
      </c>
      <c r="I1037" s="168">
        <f>if(or(eq(Accounts!J1037,"No Valet"),eq(Accounts!J1037,"Has Valet")), H1037 * AVERAGE(Accounts!J$2:J$36),H1037*Accounts!J1037)</f>
        <v/>
      </c>
      <c r="J1037" s="168">
        <f>iferror(I1037*360,"")</f>
        <v/>
      </c>
      <c r="K1037" s="168">
        <f>J1037*0.1</f>
        <v/>
      </c>
    </row>
    <row r="1038" ht="54.75" customHeight="1" s="211">
      <c r="A1038" s="164">
        <f>Accounts!A1038</f>
        <v/>
      </c>
      <c r="B1038" s="12" t="n"/>
      <c r="C1038" s="65" t="n"/>
      <c r="D1038" s="165">
        <f>Accounts!K1038</f>
        <v/>
      </c>
      <c r="E1038" s="166" t="n">
        <v>0.6</v>
      </c>
      <c r="F1038" s="167">
        <f>Accounts!K1038*E1038</f>
        <v/>
      </c>
      <c r="G1038" s="166" t="n">
        <v>0.4</v>
      </c>
      <c r="H1038" s="167">
        <f>F1038*G1038</f>
        <v/>
      </c>
      <c r="I1038" s="168">
        <f>if(or(eq(Accounts!J1038,"No Valet"),eq(Accounts!J1038,"Has Valet")), H1038 * AVERAGE(Accounts!J$2:J$36),H1038*Accounts!J1038)</f>
        <v/>
      </c>
      <c r="J1038" s="168">
        <f>iferror(I1038*360,"")</f>
        <v/>
      </c>
      <c r="K1038" s="168">
        <f>J1038*0.1</f>
        <v/>
      </c>
    </row>
    <row r="1039" ht="54.75" customHeight="1" s="211">
      <c r="A1039" s="164">
        <f>Accounts!A1039</f>
        <v/>
      </c>
      <c r="B1039" s="12" t="n"/>
      <c r="C1039" s="65" t="n"/>
      <c r="D1039" s="165">
        <f>Accounts!K1039</f>
        <v/>
      </c>
      <c r="E1039" s="166" t="n">
        <v>0.6</v>
      </c>
      <c r="F1039" s="167">
        <f>Accounts!K1039*E1039</f>
        <v/>
      </c>
      <c r="G1039" s="166" t="n">
        <v>0.4</v>
      </c>
      <c r="H1039" s="167">
        <f>F1039*G1039</f>
        <v/>
      </c>
      <c r="I1039" s="168">
        <f>if(or(eq(Accounts!J1039,"No Valet"),eq(Accounts!J1039,"Has Valet")), H1039 * AVERAGE(Accounts!J$2:J$36),H1039*Accounts!J1039)</f>
        <v/>
      </c>
      <c r="J1039" s="168">
        <f>iferror(I1039*360,"")</f>
        <v/>
      </c>
      <c r="K1039" s="168">
        <f>J1039*0.1</f>
        <v/>
      </c>
    </row>
    <row r="1040" ht="54.75" customHeight="1" s="211">
      <c r="A1040" s="164">
        <f>Accounts!A1040</f>
        <v/>
      </c>
      <c r="B1040" s="12" t="n"/>
      <c r="C1040" s="65" t="n"/>
      <c r="D1040" s="165">
        <f>Accounts!K1040</f>
        <v/>
      </c>
      <c r="E1040" s="166" t="n">
        <v>0.6</v>
      </c>
      <c r="F1040" s="167">
        <f>Accounts!K1040*E1040</f>
        <v/>
      </c>
      <c r="G1040" s="166" t="n">
        <v>0.4</v>
      </c>
      <c r="H1040" s="167">
        <f>F1040*G1040</f>
        <v/>
      </c>
      <c r="I1040" s="168">
        <f>if(or(eq(Accounts!J1040,"No Valet"),eq(Accounts!J1040,"Has Valet")), H1040 * AVERAGE(Accounts!J$2:J$36),H1040*Accounts!J1040)</f>
        <v/>
      </c>
      <c r="J1040" s="168">
        <f>iferror(I1040*360,"")</f>
        <v/>
      </c>
      <c r="K1040" s="168">
        <f>J1040*0.1</f>
        <v/>
      </c>
    </row>
    <row r="1041" ht="54.75" customHeight="1" s="211">
      <c r="A1041" s="164">
        <f>Accounts!A1041</f>
        <v/>
      </c>
      <c r="B1041" s="12" t="n"/>
      <c r="C1041" s="65" t="n"/>
      <c r="D1041" s="165">
        <f>Accounts!K1041</f>
        <v/>
      </c>
      <c r="E1041" s="166" t="n">
        <v>0.6</v>
      </c>
      <c r="F1041" s="167">
        <f>Accounts!K1041*E1041</f>
        <v/>
      </c>
      <c r="G1041" s="166" t="n">
        <v>0.4</v>
      </c>
      <c r="H1041" s="167">
        <f>F1041*G1041</f>
        <v/>
      </c>
      <c r="I1041" s="168">
        <f>if(or(eq(Accounts!J1041,"No Valet"),eq(Accounts!J1041,"Has Valet")), H1041 * AVERAGE(Accounts!J$2:J$36),H1041*Accounts!J1041)</f>
        <v/>
      </c>
      <c r="J1041" s="168">
        <f>iferror(I1041*360,"")</f>
        <v/>
      </c>
      <c r="K1041" s="168">
        <f>J1041*0.1</f>
        <v/>
      </c>
    </row>
    <row r="1042" ht="54.75" customHeight="1" s="211">
      <c r="A1042" s="164">
        <f>Accounts!A1042</f>
        <v/>
      </c>
      <c r="B1042" s="12" t="n"/>
      <c r="C1042" s="65" t="n"/>
      <c r="D1042" s="165">
        <f>Accounts!K1042</f>
        <v/>
      </c>
      <c r="E1042" s="166" t="n">
        <v>0.6</v>
      </c>
      <c r="F1042" s="167">
        <f>Accounts!K1042*E1042</f>
        <v/>
      </c>
      <c r="G1042" s="166" t="n">
        <v>0.4</v>
      </c>
      <c r="H1042" s="167">
        <f>F1042*G1042</f>
        <v/>
      </c>
      <c r="I1042" s="168">
        <f>if(or(eq(Accounts!J1042,"No Valet"),eq(Accounts!J1042,"Has Valet")), H1042 * AVERAGE(Accounts!J$2:J$36),H1042*Accounts!J1042)</f>
        <v/>
      </c>
      <c r="J1042" s="168">
        <f>iferror(I1042*360,"")</f>
        <v/>
      </c>
      <c r="K1042" s="168">
        <f>J1042*0.1</f>
        <v/>
      </c>
    </row>
    <row r="1043" ht="54.75" customHeight="1" s="211">
      <c r="A1043" s="164">
        <f>Accounts!A1043</f>
        <v/>
      </c>
      <c r="B1043" s="12" t="n"/>
      <c r="C1043" s="65" t="n"/>
      <c r="D1043" s="165">
        <f>Accounts!K1043</f>
        <v/>
      </c>
      <c r="E1043" s="166" t="n">
        <v>0.6</v>
      </c>
      <c r="F1043" s="167">
        <f>Accounts!K1043*E1043</f>
        <v/>
      </c>
      <c r="G1043" s="166" t="n">
        <v>0.4</v>
      </c>
      <c r="H1043" s="167">
        <f>F1043*G1043</f>
        <v/>
      </c>
      <c r="I1043" s="168">
        <f>if(or(eq(Accounts!J1043,"No Valet"),eq(Accounts!J1043,"Has Valet")), H1043 * AVERAGE(Accounts!J$2:J$36),H1043*Accounts!J1043)</f>
        <v/>
      </c>
      <c r="J1043" s="168">
        <f>iferror(I1043*360,"")</f>
        <v/>
      </c>
      <c r="K1043" s="168">
        <f>J1043*0.1</f>
        <v/>
      </c>
    </row>
    <row r="1044" ht="54.75" customHeight="1" s="211">
      <c r="A1044" s="164">
        <f>Accounts!A1044</f>
        <v/>
      </c>
      <c r="B1044" s="12" t="n"/>
      <c r="C1044" s="65" t="n"/>
      <c r="D1044" s="165">
        <f>Accounts!K1044</f>
        <v/>
      </c>
      <c r="E1044" s="166" t="n">
        <v>0.6</v>
      </c>
      <c r="F1044" s="167">
        <f>Accounts!K1044*E1044</f>
        <v/>
      </c>
      <c r="G1044" s="166" t="n">
        <v>0.4</v>
      </c>
      <c r="H1044" s="167">
        <f>F1044*G1044</f>
        <v/>
      </c>
      <c r="I1044" s="168">
        <f>if(or(eq(Accounts!J1044,"No Valet"),eq(Accounts!J1044,"Has Valet")), H1044 * AVERAGE(Accounts!J$2:J$36),H1044*Accounts!J1044)</f>
        <v/>
      </c>
      <c r="J1044" s="168">
        <f>iferror(I1044*360,"")</f>
        <v/>
      </c>
      <c r="K1044" s="168">
        <f>J1044*0.1</f>
        <v/>
      </c>
    </row>
    <row r="1045" ht="54.75" customHeight="1" s="211">
      <c r="A1045" s="164">
        <f>Accounts!A1045</f>
        <v/>
      </c>
      <c r="B1045" s="12" t="n"/>
      <c r="C1045" s="65" t="n"/>
      <c r="D1045" s="165">
        <f>Accounts!K1045</f>
        <v/>
      </c>
      <c r="E1045" s="166" t="n">
        <v>0.6</v>
      </c>
      <c r="F1045" s="167">
        <f>Accounts!K1045*E1045</f>
        <v/>
      </c>
      <c r="G1045" s="166" t="n">
        <v>0.4</v>
      </c>
      <c r="H1045" s="167">
        <f>F1045*G1045</f>
        <v/>
      </c>
      <c r="I1045" s="168">
        <f>if(or(eq(Accounts!J1045,"No Valet"),eq(Accounts!J1045,"Has Valet")), H1045 * AVERAGE(Accounts!J$2:J$36),H1045*Accounts!J1045)</f>
        <v/>
      </c>
      <c r="J1045" s="168">
        <f>iferror(I1045*360,"")</f>
        <v/>
      </c>
      <c r="K1045" s="168">
        <f>J1045*0.1</f>
        <v/>
      </c>
    </row>
    <row r="1046" ht="54.75" customHeight="1" s="211">
      <c r="A1046" s="164">
        <f>Accounts!A1046</f>
        <v/>
      </c>
      <c r="B1046" s="12" t="n"/>
      <c r="C1046" s="65" t="n"/>
      <c r="D1046" s="165">
        <f>Accounts!K1046</f>
        <v/>
      </c>
      <c r="E1046" s="166" t="n">
        <v>0.6</v>
      </c>
      <c r="F1046" s="167">
        <f>Accounts!K1046*E1046</f>
        <v/>
      </c>
      <c r="G1046" s="166" t="n">
        <v>0.4</v>
      </c>
      <c r="H1046" s="167">
        <f>F1046*G1046</f>
        <v/>
      </c>
      <c r="I1046" s="168">
        <f>if(or(eq(Accounts!J1046,"No Valet"),eq(Accounts!J1046,"Has Valet")), H1046 * AVERAGE(Accounts!J$2:J$36),H1046*Accounts!J1046)</f>
        <v/>
      </c>
      <c r="J1046" s="168">
        <f>iferror(I1046*360,"")</f>
        <v/>
      </c>
      <c r="K1046" s="168">
        <f>J1046*0.1</f>
        <v/>
      </c>
    </row>
    <row r="1047" ht="54.75" customHeight="1" s="211">
      <c r="A1047" s="164">
        <f>Accounts!A1047</f>
        <v/>
      </c>
      <c r="B1047" s="12" t="n"/>
      <c r="C1047" s="65" t="n"/>
      <c r="D1047" s="165">
        <f>Accounts!K1047</f>
        <v/>
      </c>
      <c r="E1047" s="166" t="n">
        <v>0.6</v>
      </c>
      <c r="F1047" s="167">
        <f>Accounts!K1047*E1047</f>
        <v/>
      </c>
      <c r="G1047" s="166" t="n">
        <v>0.4</v>
      </c>
      <c r="H1047" s="167">
        <f>F1047*G1047</f>
        <v/>
      </c>
      <c r="I1047" s="168">
        <f>if(or(eq(Accounts!J1047,"No Valet"),eq(Accounts!J1047,"Has Valet")), H1047 * AVERAGE(Accounts!J$2:J$36),H1047*Accounts!J1047)</f>
        <v/>
      </c>
      <c r="J1047" s="168">
        <f>iferror(I1047*360,"")</f>
        <v/>
      </c>
      <c r="K1047" s="168">
        <f>J1047*0.1</f>
        <v/>
      </c>
    </row>
    <row r="1048" ht="54.75" customHeight="1" s="211">
      <c r="A1048" s="164">
        <f>Accounts!A1048</f>
        <v/>
      </c>
      <c r="B1048" s="12" t="n"/>
      <c r="C1048" s="65" t="n"/>
      <c r="D1048" s="165">
        <f>Accounts!K1048</f>
        <v/>
      </c>
      <c r="E1048" s="166" t="n">
        <v>0.6</v>
      </c>
      <c r="F1048" s="167">
        <f>Accounts!K1048*E1048</f>
        <v/>
      </c>
      <c r="G1048" s="166" t="n">
        <v>0.4</v>
      </c>
      <c r="H1048" s="167">
        <f>F1048*G1048</f>
        <v/>
      </c>
      <c r="I1048" s="168">
        <f>if(or(eq(Accounts!J1048,"No Valet"),eq(Accounts!J1048,"Has Valet")), H1048 * AVERAGE(Accounts!J$2:J$36),H1048*Accounts!J1048)</f>
        <v/>
      </c>
      <c r="J1048" s="168">
        <f>iferror(I1048*360,"")</f>
        <v/>
      </c>
      <c r="K1048" s="168">
        <f>J1048*0.1</f>
        <v/>
      </c>
    </row>
    <row r="1049" ht="54.75" customHeight="1" s="211">
      <c r="A1049" s="164">
        <f>Accounts!A1049</f>
        <v/>
      </c>
      <c r="B1049" s="12" t="n"/>
      <c r="C1049" s="65" t="n"/>
      <c r="D1049" s="165">
        <f>Accounts!K1049</f>
        <v/>
      </c>
      <c r="E1049" s="166" t="n">
        <v>0.6</v>
      </c>
      <c r="F1049" s="167">
        <f>Accounts!K1049*E1049</f>
        <v/>
      </c>
      <c r="G1049" s="166" t="n">
        <v>0.4</v>
      </c>
      <c r="H1049" s="167">
        <f>F1049*G1049</f>
        <v/>
      </c>
      <c r="I1049" s="168">
        <f>if(or(eq(Accounts!J1049,"No Valet"),eq(Accounts!J1049,"Has Valet")), H1049 * AVERAGE(Accounts!J$2:J$36),H1049*Accounts!J1049)</f>
        <v/>
      </c>
      <c r="J1049" s="168">
        <f>iferror(I1049*360,"")</f>
        <v/>
      </c>
      <c r="K1049" s="168">
        <f>J1049*0.1</f>
        <v/>
      </c>
    </row>
    <row r="1050" ht="54.75" customHeight="1" s="211">
      <c r="A1050" s="164">
        <f>Accounts!A1050</f>
        <v/>
      </c>
      <c r="B1050" s="12" t="n"/>
      <c r="C1050" s="65" t="n"/>
      <c r="D1050" s="165">
        <f>Accounts!K1050</f>
        <v/>
      </c>
      <c r="E1050" s="166" t="n">
        <v>0.6</v>
      </c>
      <c r="F1050" s="167">
        <f>Accounts!K1050*E1050</f>
        <v/>
      </c>
      <c r="G1050" s="166" t="n">
        <v>0.4</v>
      </c>
      <c r="H1050" s="167">
        <f>F1050*G1050</f>
        <v/>
      </c>
      <c r="I1050" s="168">
        <f>if(or(eq(Accounts!J1050,"No Valet"),eq(Accounts!J1050,"Has Valet")), H1050 * AVERAGE(Accounts!J$2:J$36),H1050*Accounts!J1050)</f>
        <v/>
      </c>
      <c r="J1050" s="168">
        <f>iferror(I1050*360,"")</f>
        <v/>
      </c>
      <c r="K1050" s="168">
        <f>J1050*0.1</f>
        <v/>
      </c>
    </row>
    <row r="1051" ht="54.75" customHeight="1" s="211">
      <c r="A1051" s="164">
        <f>Accounts!A1051</f>
        <v/>
      </c>
      <c r="B1051" s="12" t="n"/>
      <c r="C1051" s="65" t="n"/>
      <c r="D1051" s="165">
        <f>Accounts!K1051</f>
        <v/>
      </c>
      <c r="E1051" s="166" t="n">
        <v>0.6</v>
      </c>
      <c r="F1051" s="167">
        <f>Accounts!K1051*E1051</f>
        <v/>
      </c>
      <c r="G1051" s="166" t="n">
        <v>0.4</v>
      </c>
      <c r="H1051" s="167">
        <f>F1051*G1051</f>
        <v/>
      </c>
      <c r="I1051" s="168">
        <f>if(or(eq(Accounts!J1051,"No Valet"),eq(Accounts!J1051,"Has Valet")), H1051 * AVERAGE(Accounts!J$2:J$36),H1051*Accounts!J1051)</f>
        <v/>
      </c>
      <c r="J1051" s="168">
        <f>iferror(I1051*360,"")</f>
        <v/>
      </c>
      <c r="K1051" s="168">
        <f>J1051*0.1</f>
        <v/>
      </c>
    </row>
    <row r="1052" ht="54.75" customHeight="1" s="211">
      <c r="A1052" s="164">
        <f>Accounts!A1052</f>
        <v/>
      </c>
      <c r="B1052" s="12" t="n"/>
      <c r="C1052" s="65" t="n"/>
      <c r="D1052" s="165">
        <f>Accounts!K1052</f>
        <v/>
      </c>
      <c r="E1052" s="166" t="n">
        <v>0.6</v>
      </c>
      <c r="F1052" s="167">
        <f>Accounts!K1052*E1052</f>
        <v/>
      </c>
      <c r="G1052" s="166" t="n">
        <v>0.4</v>
      </c>
      <c r="H1052" s="167">
        <f>F1052*G1052</f>
        <v/>
      </c>
      <c r="I1052" s="168">
        <f>if(or(eq(Accounts!J1052,"No Valet"),eq(Accounts!J1052,"Has Valet")), H1052 * AVERAGE(Accounts!J$2:J$36),H1052*Accounts!J1052)</f>
        <v/>
      </c>
      <c r="J1052" s="168">
        <f>iferror(I1052*360,"")</f>
        <v/>
      </c>
      <c r="K1052" s="168">
        <f>J1052*0.1</f>
        <v/>
      </c>
    </row>
    <row r="1053" ht="54.75" customHeight="1" s="211">
      <c r="A1053" s="164">
        <f>Accounts!A1053</f>
        <v/>
      </c>
      <c r="B1053" s="12" t="n"/>
      <c r="C1053" s="65" t="n"/>
      <c r="D1053" s="165">
        <f>Accounts!K1053</f>
        <v/>
      </c>
      <c r="E1053" s="166" t="n">
        <v>0.6</v>
      </c>
      <c r="F1053" s="167">
        <f>Accounts!K1053*E1053</f>
        <v/>
      </c>
      <c r="G1053" s="166" t="n">
        <v>0.4</v>
      </c>
      <c r="H1053" s="167">
        <f>F1053*G1053</f>
        <v/>
      </c>
      <c r="I1053" s="168">
        <f>if(or(eq(Accounts!J1053,"No Valet"),eq(Accounts!J1053,"Has Valet")), H1053 * AVERAGE(Accounts!J$2:J$36),H1053*Accounts!J1053)</f>
        <v/>
      </c>
      <c r="J1053" s="168">
        <f>iferror(I1053*360,"")</f>
        <v/>
      </c>
      <c r="K1053" s="168">
        <f>J1053*0.1</f>
        <v/>
      </c>
    </row>
    <row r="1054" ht="54.75" customHeight="1" s="211">
      <c r="A1054" s="164">
        <f>Accounts!A1054</f>
        <v/>
      </c>
      <c r="B1054" s="12" t="n"/>
      <c r="C1054" s="65" t="n"/>
      <c r="D1054" s="165">
        <f>Accounts!K1054</f>
        <v/>
      </c>
      <c r="E1054" s="166" t="n">
        <v>0.6</v>
      </c>
      <c r="F1054" s="167">
        <f>Accounts!K1054*E1054</f>
        <v/>
      </c>
      <c r="G1054" s="166" t="n">
        <v>0.4</v>
      </c>
      <c r="H1054" s="167">
        <f>F1054*G1054</f>
        <v/>
      </c>
      <c r="I1054" s="168">
        <f>if(or(eq(Accounts!J1054,"No Valet"),eq(Accounts!J1054,"Has Valet")), H1054 * AVERAGE(Accounts!J$2:J$36),H1054*Accounts!J1054)</f>
        <v/>
      </c>
      <c r="J1054" s="168">
        <f>iferror(I1054*360,"")</f>
        <v/>
      </c>
      <c r="K1054" s="168">
        <f>J1054*0.1</f>
        <v/>
      </c>
    </row>
    <row r="1055" ht="54.75" customHeight="1" s="211">
      <c r="A1055" s="164">
        <f>Accounts!A1055</f>
        <v/>
      </c>
      <c r="B1055" s="12" t="n"/>
      <c r="C1055" s="65" t="n"/>
      <c r="D1055" s="165">
        <f>Accounts!K1055</f>
        <v/>
      </c>
      <c r="E1055" s="166" t="n">
        <v>0.6</v>
      </c>
      <c r="F1055" s="167">
        <f>Accounts!K1055*E1055</f>
        <v/>
      </c>
      <c r="G1055" s="166" t="n">
        <v>0.4</v>
      </c>
      <c r="H1055" s="167">
        <f>F1055*G1055</f>
        <v/>
      </c>
      <c r="I1055" s="168">
        <f>if(or(eq(Accounts!J1055,"No Valet"),eq(Accounts!J1055,"Has Valet")), H1055 * AVERAGE(Accounts!J$2:J$36),H1055*Accounts!J1055)</f>
        <v/>
      </c>
      <c r="J1055" s="168">
        <f>iferror(I1055*360,"")</f>
        <v/>
      </c>
      <c r="K1055" s="168">
        <f>J1055*0.1</f>
        <v/>
      </c>
    </row>
    <row r="1056" ht="54.75" customHeight="1" s="211">
      <c r="A1056" s="164">
        <f>Accounts!A1056</f>
        <v/>
      </c>
      <c r="B1056" s="12" t="n"/>
      <c r="C1056" s="65" t="n"/>
      <c r="D1056" s="165">
        <f>Accounts!K1056</f>
        <v/>
      </c>
      <c r="E1056" s="166" t="n">
        <v>0.6</v>
      </c>
      <c r="F1056" s="167">
        <f>Accounts!K1056*E1056</f>
        <v/>
      </c>
      <c r="G1056" s="166" t="n">
        <v>0.4</v>
      </c>
      <c r="H1056" s="167">
        <f>F1056*G1056</f>
        <v/>
      </c>
      <c r="I1056" s="168">
        <f>if(or(eq(Accounts!J1056,"No Valet"),eq(Accounts!J1056,"Has Valet")), H1056 * AVERAGE(Accounts!J$2:J$36),H1056*Accounts!J1056)</f>
        <v/>
      </c>
      <c r="J1056" s="168">
        <f>iferror(I1056*360,"")</f>
        <v/>
      </c>
      <c r="K1056" s="168">
        <f>J1056*0.1</f>
        <v/>
      </c>
    </row>
    <row r="1057" ht="54.75" customHeight="1" s="211">
      <c r="A1057" s="164">
        <f>Accounts!A1057</f>
        <v/>
      </c>
      <c r="B1057" s="12" t="n"/>
      <c r="C1057" s="65" t="n"/>
      <c r="D1057" s="165">
        <f>Accounts!K1057</f>
        <v/>
      </c>
      <c r="E1057" s="166" t="n">
        <v>0.6</v>
      </c>
      <c r="F1057" s="167">
        <f>Accounts!K1057*E1057</f>
        <v/>
      </c>
      <c r="G1057" s="166" t="n">
        <v>0.4</v>
      </c>
      <c r="H1057" s="167">
        <f>F1057*G1057</f>
        <v/>
      </c>
      <c r="I1057" s="168">
        <f>if(or(eq(Accounts!J1057,"No Valet"),eq(Accounts!J1057,"Has Valet")), H1057 * AVERAGE(Accounts!J$2:J$36),H1057*Accounts!J1057)</f>
        <v/>
      </c>
      <c r="J1057" s="168">
        <f>iferror(I1057*360,"")</f>
        <v/>
      </c>
      <c r="K1057" s="168">
        <f>J1057*0.1</f>
        <v/>
      </c>
    </row>
    <row r="1058" ht="54.75" customHeight="1" s="211">
      <c r="A1058" s="164">
        <f>Accounts!A1058</f>
        <v/>
      </c>
      <c r="B1058" s="12" t="n"/>
      <c r="C1058" s="65" t="n"/>
      <c r="D1058" s="165">
        <f>Accounts!K1058</f>
        <v/>
      </c>
      <c r="E1058" s="166" t="n">
        <v>0.6</v>
      </c>
      <c r="F1058" s="167">
        <f>Accounts!K1058*E1058</f>
        <v/>
      </c>
      <c r="G1058" s="166" t="n">
        <v>0.4</v>
      </c>
      <c r="H1058" s="167">
        <f>F1058*G1058</f>
        <v/>
      </c>
      <c r="I1058" s="168">
        <f>if(or(eq(Accounts!J1058,"No Valet"),eq(Accounts!J1058,"Has Valet")), H1058 * AVERAGE(Accounts!J$2:J$36),H1058*Accounts!J1058)</f>
        <v/>
      </c>
      <c r="J1058" s="168">
        <f>iferror(I1058*360,"")</f>
        <v/>
      </c>
      <c r="K1058" s="168">
        <f>J1058*0.1</f>
        <v/>
      </c>
    </row>
    <row r="1059" ht="54.75" customHeight="1" s="211">
      <c r="A1059" s="164">
        <f>Accounts!A1059</f>
        <v/>
      </c>
      <c r="B1059" s="12" t="n"/>
      <c r="C1059" s="65" t="n"/>
      <c r="D1059" s="165">
        <f>Accounts!K1059</f>
        <v/>
      </c>
      <c r="E1059" s="166" t="n">
        <v>0.6</v>
      </c>
      <c r="F1059" s="167">
        <f>Accounts!K1059*E1059</f>
        <v/>
      </c>
      <c r="G1059" s="166" t="n">
        <v>0.4</v>
      </c>
      <c r="H1059" s="167">
        <f>F1059*G1059</f>
        <v/>
      </c>
      <c r="I1059" s="168">
        <f>if(or(eq(Accounts!J1059,"No Valet"),eq(Accounts!J1059,"Has Valet")), H1059 * AVERAGE(Accounts!J$2:J$36),H1059*Accounts!J1059)</f>
        <v/>
      </c>
      <c r="J1059" s="168">
        <f>iferror(I1059*360,"")</f>
        <v/>
      </c>
      <c r="K1059" s="168">
        <f>J1059*0.1</f>
        <v/>
      </c>
    </row>
    <row r="1060" ht="54.75" customHeight="1" s="211">
      <c r="A1060" s="164">
        <f>Accounts!A1060</f>
        <v/>
      </c>
      <c r="B1060" s="165" t="n"/>
      <c r="C1060" s="165" t="n"/>
      <c r="D1060" s="165">
        <f>Accounts!K1060</f>
        <v/>
      </c>
      <c r="E1060" s="166" t="n">
        <v>0.6</v>
      </c>
      <c r="F1060" s="167">
        <f>Accounts!K1060*E1060</f>
        <v/>
      </c>
      <c r="G1060" s="166" t="n">
        <v>0.4</v>
      </c>
      <c r="H1060" s="167">
        <f>F1060*G1060</f>
        <v/>
      </c>
      <c r="I1060" s="168">
        <f>if(or(eq(Accounts!J1060,"No Valet"),eq(Accounts!J1060,"Has Valet")), H1060 * AVERAGE(Accounts!J$2:J$36),H1060*Accounts!J1060)</f>
        <v/>
      </c>
      <c r="J1060" s="168">
        <f>iferror(I1060*360,"")</f>
        <v/>
      </c>
      <c r="K1060" s="168">
        <f>J1060*0.1</f>
        <v/>
      </c>
    </row>
  </sheetData>
  <autoFilter ref="$A$1:$AD$73">
    <filterColumn colId="2" hiddenButton="0" showButton="1">
      <filters>
        <filter val="Preferred Parking"/>
        <filter val="SOPHI"/>
        <filter val="LAZ"/>
        <filter val="Closed"/>
        <filter val="PMC"/>
        <filter val="In House"/>
        <filter val="None"/>
        <filter val="Park Inc"/>
      </filters>
    </filterColumn>
  </autoFilter>
  <conditionalFormatting sqref="B2:C1059">
    <cfRule type="containsBlanks" priority="1" dxfId="0">
      <formula>LEN(TRIM(B2))=0</formula>
    </cfRule>
    <cfRule type="notContainsBlanks" priority="2" dxfId="1">
      <formula>LEN(TRIM(B2))&gt;0</formula>
    </cfRule>
  </conditionalFormatting>
  <conditionalFormatting sqref="I2:K73 I268:K1060">
    <cfRule type="expression" priority="3" dxfId="4">
      <formula>eq(#REF!,  "No Valet")</formula>
    </cfRule>
    <cfRule type="expression" priority="4" dxfId="5">
      <formula>eq(#REF!,  "Has Valet")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59"/>
  <sheetViews>
    <sheetView workbookViewId="0">
      <selection activeCell="A1" sqref="A1"/>
    </sheetView>
  </sheetViews>
  <sheetFormatPr baseColWidth="8" defaultColWidth="12.63" defaultRowHeight="15" customHeight="1"/>
  <cols>
    <col width="21.25" customWidth="1" style="211" min="1" max="18"/>
    <col width="13.88" customWidth="1" style="211" min="19" max="20"/>
    <col width="12.13" customWidth="1" style="211" min="21" max="22"/>
    <col width="21.25" customWidth="1" style="211" min="23" max="26"/>
  </cols>
  <sheetData>
    <row r="1" ht="45.75" customHeight="1" s="211">
      <c r="A1" s="174" t="inlineStr">
        <is>
          <t>SOPHI's              MARKET SCORE</t>
        </is>
      </c>
      <c r="B1" s="175">
        <f>G2</f>
        <v/>
      </c>
      <c r="C1" s="176" t="inlineStr">
        <is>
          <t>TAM</t>
        </is>
      </c>
      <c r="D1" s="177" t="inlineStr">
        <is>
          <t>SAM</t>
        </is>
      </c>
      <c r="E1" s="177" t="inlineStr">
        <is>
          <t>SOM</t>
        </is>
      </c>
      <c r="F1" s="177" t="n"/>
      <c r="G1" s="177" t="inlineStr">
        <is>
          <t>Total</t>
        </is>
      </c>
      <c r="H1" s="177" t="inlineStr">
        <is>
          <t>Location</t>
        </is>
      </c>
      <c r="I1" s="177" t="inlineStr">
        <is>
          <t>Connections</t>
        </is>
      </c>
      <c r="J1" s="177" t="inlineStr">
        <is>
          <t xml:space="preserve">Garage </t>
        </is>
      </c>
      <c r="K1" s="177" t="inlineStr">
        <is>
          <t>Growth</t>
        </is>
      </c>
      <c r="L1" s="178" t="inlineStr">
        <is>
          <t>capacity</t>
        </is>
      </c>
      <c r="M1" s="178" t="inlineStr">
        <is>
          <t>cash flow</t>
        </is>
      </c>
      <c r="N1" s="179" t="n"/>
      <c r="O1" s="180" t="inlineStr">
        <is>
          <t>Connection 3</t>
        </is>
      </c>
      <c r="P1" s="180" t="inlineStr">
        <is>
          <t>Volume 2    170 + 2     100 + 1</t>
        </is>
      </c>
      <c r="Q1" s="180" t="inlineStr">
        <is>
          <t>Location Downtown 1 Far -1</t>
        </is>
      </c>
      <c r="R1" s="180" t="inlineStr">
        <is>
          <t>High End</t>
        </is>
      </c>
      <c r="S1" s="180" t="inlineStr">
        <is>
          <t>Garage Connection 2 location 1</t>
        </is>
      </c>
      <c r="T1" s="181" t="inlineStr">
        <is>
          <t xml:space="preserve"> Valet &amp; Paid Self Park</t>
        </is>
      </c>
      <c r="U1" s="182" t="inlineStr">
        <is>
          <t>Points</t>
        </is>
      </c>
      <c r="V1" s="182" t="inlineStr">
        <is>
          <t>Priority</t>
        </is>
      </c>
      <c r="W1" s="12" t="n"/>
      <c r="X1" s="12" t="n"/>
      <c r="Y1" s="12" t="n"/>
      <c r="Z1" s="12" t="n"/>
    </row>
    <row r="2" ht="45.75" customHeight="1" s="211">
      <c r="A2" s="12" t="n"/>
      <c r="B2" s="12" t="n"/>
      <c r="C2" s="183">
        <f>SUM(RevenueForecasting!J:J)</f>
        <v/>
      </c>
      <c r="D2" s="183">
        <f>SUMIF(#REF!,1,RevenueForecasting!J2:J36)</f>
        <v/>
      </c>
      <c r="E2" s="183">
        <f>D2/SUM(#REF!)</f>
        <v/>
      </c>
      <c r="F2" s="12" t="n"/>
      <c r="G2" s="47">
        <f>SUM(H2:L2)*2 &amp; " /100"</f>
        <v/>
      </c>
      <c r="H2" s="12" t="n">
        <v>7</v>
      </c>
      <c r="I2" s="12" t="n">
        <v>0</v>
      </c>
      <c r="J2" s="12" t="n">
        <v>8</v>
      </c>
      <c r="K2" s="12" t="n">
        <v>7</v>
      </c>
      <c r="L2" s="12" t="n"/>
      <c r="M2" s="12" t="n"/>
      <c r="N2" s="179" t="n"/>
      <c r="O2" s="184" t="n"/>
      <c r="P2" s="184" t="n"/>
      <c r="Q2" s="184" t="n"/>
      <c r="R2" s="184" t="n"/>
      <c r="S2" s="184" t="n"/>
      <c r="T2" s="165" t="n"/>
      <c r="U2" s="179" t="n"/>
      <c r="V2" s="179" t="n"/>
      <c r="W2" s="12" t="n"/>
      <c r="X2" s="12" t="n"/>
      <c r="Y2" s="12" t="n"/>
      <c r="Z2" s="12" t="n"/>
    </row>
    <row r="3" ht="45.75" customHeight="1" s="211">
      <c r="A3" s="12" t="n"/>
      <c r="B3" s="12" t="n"/>
      <c r="C3" s="185" t="inlineStr">
        <is>
          <t>sum of predicted revenues</t>
        </is>
      </c>
      <c r="D3" s="185" t="inlineStr">
        <is>
          <t>Guess of locations that I could see being interested in introducing valet</t>
        </is>
      </c>
      <c r="E3" s="185" t="inlineStr">
        <is>
          <t>SAM / # of locations in SAM. Representing 1 Hotel landed</t>
        </is>
      </c>
      <c r="F3" s="12" t="n"/>
      <c r="G3" s="12" t="n"/>
      <c r="H3" s="186" t="n"/>
      <c r="I3" s="12" t="n"/>
      <c r="J3" s="12" t="n"/>
      <c r="K3" s="12" t="n"/>
      <c r="L3" s="12" t="n"/>
      <c r="M3" s="12" t="n"/>
      <c r="N3" s="179" t="n"/>
      <c r="O3" s="184" t="n"/>
      <c r="P3" s="184" t="n"/>
      <c r="Q3" s="184" t="n"/>
      <c r="R3" s="184" t="n"/>
      <c r="S3" s="184" t="n"/>
      <c r="T3" s="165" t="n"/>
      <c r="U3" s="179" t="n"/>
      <c r="V3" s="179" t="n"/>
      <c r="W3" s="12" t="n"/>
      <c r="X3" s="12" t="n"/>
      <c r="Y3" s="12" t="n"/>
      <c r="Z3" s="12" t="n"/>
    </row>
    <row r="4" ht="45.75" customHeight="1" s="211">
      <c r="A4" s="12" t="n"/>
      <c r="B4" s="12" t="n"/>
      <c r="C4" s="12" t="inlineStr">
        <is>
          <t>all valet, all parking contracts, additional services, bell etc</t>
        </is>
      </c>
      <c r="D4" s="12" t="inlineStr">
        <is>
          <t>realistically obtained</t>
        </is>
      </c>
      <c r="E4" s="12" t="inlineStr">
        <is>
          <t>going to get</t>
        </is>
      </c>
      <c r="F4" s="12" t="n"/>
      <c r="G4" s="187" t="n"/>
      <c r="H4" s="188" t="inlineStr">
        <is>
          <t>257 miles</t>
        </is>
      </c>
      <c r="I4" s="188" t="inlineStr">
        <is>
          <t>locations? 0/7</t>
        </is>
      </c>
      <c r="J4" s="188" t="inlineStr">
        <is>
          <t>public? 8/8</t>
        </is>
      </c>
      <c r="K4" s="188" t="inlineStr">
        <is>
          <t xml:space="preserve">Population? 2/4 </t>
        </is>
      </c>
      <c r="L4" s="12" t="inlineStr">
        <is>
          <t>personal bandwidth 0/4</t>
        </is>
      </c>
      <c r="M4" s="12" t="inlineStr">
        <is>
          <t>costs</t>
        </is>
      </c>
      <c r="N4" s="179" t="n"/>
      <c r="O4" s="184" t="n"/>
      <c r="P4" s="184" t="n"/>
      <c r="Q4" s="184" t="n"/>
      <c r="R4" s="184" t="n"/>
      <c r="S4" s="184" t="n"/>
      <c r="T4" s="165" t="n"/>
      <c r="U4" s="179" t="n"/>
      <c r="V4" s="179" t="n"/>
      <c r="W4" s="12" t="n"/>
      <c r="X4" s="12" t="n"/>
      <c r="Y4" s="12" t="n"/>
      <c r="Z4" s="12" t="n"/>
    </row>
    <row r="5" ht="45.75" customHeight="1" s="211">
      <c r="A5" s="12" t="n"/>
      <c r="B5" s="12" t="n"/>
      <c r="C5" s="179" t="n"/>
      <c r="D5" s="179" t="n"/>
      <c r="E5" s="179" t="n"/>
      <c r="F5" s="12" t="n"/>
      <c r="G5" s="187" t="n"/>
      <c r="H5" s="188" t="inlineStr">
        <is>
          <t>SB  X</t>
        </is>
      </c>
      <c r="I5" s="189" t="inlineStr">
        <is>
          <t>1 connection -&gt; 5                                      2+ connections -&gt; 7</t>
        </is>
      </c>
      <c r="J5" s="189" t="inlineStr">
        <is>
          <t>yes or no</t>
        </is>
      </c>
      <c r="K5" s="189" t="inlineStr">
        <is>
          <t>small city, medium city,                      large city,  metropolis</t>
        </is>
      </c>
      <c r="L5" s="179" t="n"/>
      <c r="M5" s="12" t="n"/>
      <c r="N5" s="179" t="n"/>
      <c r="O5" s="184" t="n"/>
      <c r="P5" s="184" t="n"/>
      <c r="Q5" s="184" t="n"/>
      <c r="R5" s="184" t="n"/>
      <c r="S5" s="184" t="n"/>
      <c r="T5" s="165" t="n"/>
      <c r="U5" s="179" t="n"/>
      <c r="V5" s="179" t="n"/>
      <c r="W5" s="12" t="n"/>
      <c r="X5" s="12" t="n"/>
      <c r="Y5" s="12" t="n"/>
      <c r="Z5" s="12" t="n"/>
    </row>
    <row r="6" ht="45.75" customHeight="1" s="211">
      <c r="A6" s="179" t="n"/>
      <c r="B6" s="12" t="n"/>
      <c r="C6" s="12" t="n"/>
      <c r="D6" s="12" t="n"/>
      <c r="E6" s="12" t="n"/>
      <c r="F6" s="12" t="n"/>
      <c r="G6" s="187" t="n"/>
      <c r="H6" s="188" t="inlineStr">
        <is>
          <t>CH</t>
        </is>
      </c>
      <c r="I6" s="188" t="inlineStr">
        <is>
          <t>employees? 3</t>
        </is>
      </c>
      <c r="J6" s="188" t="inlineStr">
        <is>
          <t>connection? 2</t>
        </is>
      </c>
      <c r="K6" s="188" t="inlineStr">
        <is>
          <t>Events Space? 4</t>
        </is>
      </c>
      <c r="L6" s="12" t="inlineStr">
        <is>
          <t>hire 0/3</t>
        </is>
      </c>
      <c r="M6" s="12" t="n"/>
      <c r="N6" s="179" t="n"/>
      <c r="O6" s="184" t="n"/>
      <c r="P6" s="184" t="n"/>
      <c r="Q6" s="184" t="n"/>
      <c r="R6" s="184" t="n"/>
      <c r="S6" s="184" t="n"/>
      <c r="T6" s="165" t="n"/>
      <c r="U6" s="179" t="n"/>
      <c r="V6" s="179" t="n"/>
      <c r="W6" s="12" t="n"/>
      <c r="X6" s="12" t="n"/>
      <c r="Y6" s="12" t="n"/>
      <c r="Z6" s="12" t="n"/>
    </row>
    <row r="7" ht="45.75" customHeight="1" s="211">
      <c r="A7" s="12" t="inlineStr">
        <is>
          <t>Average Self Park</t>
        </is>
      </c>
      <c r="B7" s="12" t="inlineStr">
        <is>
          <t xml:space="preserve">Average Valet </t>
        </is>
      </c>
      <c r="C7" s="12" t="n"/>
      <c r="D7" s="12" t="n"/>
      <c r="E7" s="12" t="n"/>
      <c r="F7" s="12" t="n"/>
      <c r="G7" s="187" t="n"/>
      <c r="H7" s="190" t="n"/>
      <c r="I7" s="189" t="inlineStr">
        <is>
          <t># of possible employees</t>
        </is>
      </c>
      <c r="J7" s="189" t="inlineStr">
        <is>
          <t>yes or no</t>
        </is>
      </c>
      <c r="K7" s="189" t="inlineStr">
        <is>
          <t># of markets</t>
        </is>
      </c>
      <c r="L7" s="189" t="n"/>
      <c r="M7" s="12" t="n"/>
      <c r="N7" s="12" t="n"/>
      <c r="O7" s="184" t="n"/>
      <c r="P7" s="184" t="n"/>
      <c r="Q7" s="184" t="n"/>
      <c r="R7" s="184" t="n"/>
      <c r="S7" s="184" t="n"/>
      <c r="T7" s="165" t="n"/>
      <c r="U7" s="179" t="n"/>
      <c r="V7" s="179" t="n"/>
      <c r="W7" s="12" t="n"/>
      <c r="X7" s="12" t="n"/>
      <c r="Y7" s="12" t="n"/>
      <c r="Z7" s="12" t="n"/>
    </row>
    <row r="8" ht="45.75" customHeight="1" s="211">
      <c r="A8" s="183">
        <f>AVERAGE(Accounts!I:I)</f>
        <v/>
      </c>
      <c r="B8" s="183">
        <f>AVERAGE(Accounts!J:J)</f>
        <v/>
      </c>
      <c r="C8" s="12" t="n"/>
      <c r="D8" s="12" t="n"/>
      <c r="E8" s="12" t="n"/>
      <c r="F8" s="12" t="n"/>
      <c r="G8" s="187" t="n"/>
      <c r="H8" s="189" t="inlineStr">
        <is>
          <t>0 -&gt; 1000+</t>
        </is>
      </c>
      <c r="I8" s="190" t="n"/>
      <c r="J8" s="190" t="n"/>
      <c r="K8" s="188" t="inlineStr">
        <is>
          <t xml:space="preserve">Parking? 2 </t>
        </is>
      </c>
      <c r="L8" s="12" t="inlineStr">
        <is>
          <t>management 0/3</t>
        </is>
      </c>
      <c r="M8" s="12" t="n"/>
      <c r="N8" s="12" t="n"/>
      <c r="O8" s="184" t="n"/>
      <c r="P8" s="184" t="n"/>
      <c r="Q8" s="184" t="n"/>
      <c r="R8" s="184" t="n"/>
      <c r="S8" s="184" t="n"/>
      <c r="T8" s="165" t="n"/>
      <c r="U8" s="179" t="n"/>
      <c r="V8" s="179" t="n"/>
      <c r="W8" s="12" t="n"/>
      <c r="X8" s="12" t="n"/>
      <c r="Y8" s="12" t="n"/>
      <c r="Z8" s="12" t="n"/>
    </row>
    <row r="9" ht="45.75" customHeight="1" s="211">
      <c r="A9" s="12" t="n"/>
      <c r="B9" s="12" t="n"/>
      <c r="C9" s="12" t="n"/>
      <c r="D9" s="12" t="n"/>
      <c r="E9" s="12" t="n"/>
      <c r="F9" s="12" t="n"/>
      <c r="G9" s="187" t="n"/>
      <c r="H9" s="189" t="inlineStr">
        <is>
          <t>3 -&gt; 700 - 1000</t>
        </is>
      </c>
      <c r="I9" s="190" t="n"/>
      <c r="J9" s="190" t="n"/>
      <c r="K9" s="189" t="inlineStr">
        <is>
          <t>reducing, steady, increasing</t>
        </is>
      </c>
      <c r="L9" s="189" t="n"/>
      <c r="M9" s="12" t="n"/>
      <c r="N9" s="12" t="n"/>
      <c r="O9" s="184" t="n"/>
      <c r="P9" s="184" t="n"/>
      <c r="Q9" s="184" t="n"/>
      <c r="R9" s="184" t="n"/>
      <c r="S9" s="184" t="n"/>
      <c r="T9" s="165" t="n"/>
      <c r="U9" s="179" t="n"/>
      <c r="V9" s="179" t="n"/>
      <c r="W9" s="12" t="n"/>
      <c r="X9" s="12" t="n"/>
      <c r="Y9" s="12" t="n"/>
      <c r="Z9" s="12" t="n"/>
    </row>
    <row r="10" ht="45.75" customHeight="1" s="211">
      <c r="A10" s="12" t="n"/>
      <c r="B10" s="12" t="n"/>
      <c r="C10" s="12" t="n"/>
      <c r="D10" s="12" t="n"/>
      <c r="E10" s="12" t="n"/>
      <c r="F10" s="12" t="n"/>
      <c r="G10" s="187" t="n"/>
      <c r="H10" s="189" t="inlineStr">
        <is>
          <t>5 -&gt; 500 - 700</t>
        </is>
      </c>
      <c r="I10" s="190" t="n"/>
      <c r="J10" s="190" t="n"/>
      <c r="K10" s="190" t="n"/>
      <c r="L10" s="188" t="n"/>
      <c r="M10" s="12" t="n"/>
      <c r="N10" s="12" t="n"/>
      <c r="O10" s="184" t="n"/>
      <c r="P10" s="184" t="n"/>
      <c r="Q10" s="184" t="n"/>
      <c r="R10" s="184" t="n"/>
      <c r="S10" s="184" t="n"/>
      <c r="T10" s="165" t="n"/>
      <c r="U10" s="179" t="n"/>
      <c r="V10" s="179" t="n"/>
      <c r="W10" s="12" t="n"/>
      <c r="X10" s="12" t="n"/>
      <c r="Y10" s="12" t="n"/>
      <c r="Z10" s="12" t="n"/>
    </row>
    <row r="11" ht="45.75" customHeight="1" s="211">
      <c r="A11" s="12" t="n"/>
      <c r="B11" s="12" t="n"/>
      <c r="C11" s="12" t="n"/>
      <c r="D11" s="12" t="n"/>
      <c r="E11" s="12" t="n"/>
      <c r="F11" s="12" t="n"/>
      <c r="G11" s="187" t="n"/>
      <c r="H11" s="189" t="inlineStr">
        <is>
          <t>7 -&gt; 250 - 500</t>
        </is>
      </c>
      <c r="I11" s="190" t="n"/>
      <c r="J11" s="190" t="n"/>
      <c r="K11" s="190" t="n"/>
      <c r="L11" s="189" t="n"/>
      <c r="M11" s="12" t="n"/>
      <c r="N11" s="12" t="n"/>
      <c r="O11" s="184" t="n"/>
      <c r="P11" s="184" t="n"/>
      <c r="Q11" s="184" t="n"/>
      <c r="R11" s="184" t="n"/>
      <c r="S11" s="184" t="n"/>
      <c r="T11" s="165" t="n"/>
      <c r="U11" s="179" t="n"/>
      <c r="V11" s="179" t="n"/>
      <c r="W11" s="12" t="n"/>
      <c r="X11" s="12" t="n"/>
      <c r="Y11" s="12" t="n"/>
      <c r="Z11" s="12" t="n"/>
    </row>
    <row r="12" ht="45.75" customHeight="1" s="211">
      <c r="A12" s="12" t="n"/>
      <c r="B12" s="12" t="n"/>
      <c r="C12" s="12" t="n"/>
      <c r="D12" s="12" t="n"/>
      <c r="E12" s="12" t="n"/>
      <c r="F12" s="12" t="n"/>
      <c r="G12" s="187" t="n"/>
      <c r="H12" s="189" t="inlineStr">
        <is>
          <t>10 -&gt; 0 - 250</t>
        </is>
      </c>
      <c r="I12" s="190" t="n"/>
      <c r="J12" s="190" t="n"/>
      <c r="K12" s="190" t="n"/>
      <c r="L12" s="190" t="n"/>
      <c r="M12" s="12" t="n"/>
      <c r="N12" s="12" t="n"/>
      <c r="O12" s="184" t="n"/>
      <c r="P12" s="184" t="n"/>
      <c r="Q12" s="184" t="n"/>
      <c r="R12" s="184" t="n"/>
      <c r="S12" s="184" t="n"/>
      <c r="T12" s="165" t="n"/>
      <c r="U12" s="179" t="n"/>
      <c r="V12" s="179" t="n"/>
      <c r="W12" s="12" t="n"/>
      <c r="X12" s="12" t="n"/>
      <c r="Y12" s="12" t="n"/>
      <c r="Z12" s="12" t="n"/>
    </row>
    <row r="13" ht="45.75" customHeight="1" s="21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84" t="n"/>
      <c r="P13" s="184" t="n"/>
      <c r="Q13" s="184" t="n"/>
      <c r="R13" s="184" t="n"/>
      <c r="S13" s="184" t="n"/>
      <c r="T13" s="165" t="n"/>
      <c r="U13" s="179" t="n"/>
      <c r="V13" s="179" t="n"/>
      <c r="W13" s="12" t="n"/>
      <c r="X13" s="12" t="n"/>
      <c r="Y13" s="12" t="n"/>
      <c r="Z13" s="12" t="n"/>
    </row>
    <row r="14" ht="45.75" customHeight="1" s="21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84" t="n"/>
      <c r="P14" s="184" t="n"/>
      <c r="Q14" s="184" t="n"/>
      <c r="R14" s="184" t="n"/>
      <c r="S14" s="184" t="n"/>
      <c r="T14" s="165" t="n"/>
      <c r="U14" s="179" t="n"/>
      <c r="V14" s="179" t="n"/>
      <c r="W14" s="12" t="n"/>
      <c r="X14" s="12" t="n"/>
      <c r="Y14" s="12" t="n"/>
      <c r="Z14" s="12" t="n"/>
    </row>
    <row r="15" ht="45.75" customHeight="1" s="211">
      <c r="A15" s="12" t="n"/>
      <c r="B15" s="12" t="n"/>
      <c r="C15" s="12" t="n"/>
      <c r="D15" s="148" t="n"/>
      <c r="F15" s="12" t="n"/>
      <c r="G15" s="12" t="n"/>
      <c r="H15" s="12" t="n"/>
      <c r="I15" s="12" t="n"/>
      <c r="J15" s="183" t="n"/>
      <c r="K15" s="12" t="n"/>
      <c r="L15" s="12" t="n"/>
      <c r="M15" s="12" t="n"/>
      <c r="O15" s="184" t="n"/>
      <c r="P15" s="184" t="n"/>
      <c r="Q15" s="184" t="n"/>
      <c r="R15" s="184" t="n"/>
      <c r="S15" s="184" t="n"/>
      <c r="T15" s="165" t="n"/>
      <c r="U15" s="179" t="n"/>
      <c r="V15" s="179" t="n"/>
      <c r="W15" s="12" t="n"/>
      <c r="X15" s="12" t="n"/>
      <c r="Y15" s="12" t="n"/>
      <c r="Z15" s="12" t="n"/>
    </row>
    <row r="16" ht="45.75" customHeight="1" s="211">
      <c r="A16" s="12" t="n"/>
      <c r="B16" s="12" t="n"/>
      <c r="C16" s="183" t="n"/>
      <c r="D16" s="170" t="n"/>
      <c r="F16" s="12" t="n"/>
      <c r="G16" s="12" t="n"/>
      <c r="H16" s="191" t="n"/>
      <c r="I16" s="12" t="n"/>
      <c r="J16" s="12" t="n"/>
      <c r="K16" s="12" t="n"/>
      <c r="L16" s="191" t="n"/>
      <c r="M16" s="12" t="n"/>
      <c r="N16" s="12" t="n"/>
      <c r="O16" s="184" t="n"/>
      <c r="P16" s="184" t="n"/>
      <c r="Q16" s="184" t="n"/>
      <c r="R16" s="184" t="n"/>
      <c r="S16" s="184" t="n"/>
      <c r="T16" s="165" t="n"/>
      <c r="U16" s="179" t="n"/>
      <c r="V16" s="179" t="n"/>
      <c r="W16" s="12" t="n"/>
      <c r="X16" s="12" t="n"/>
      <c r="Y16" s="12" t="n"/>
      <c r="Z16" s="12" t="n"/>
    </row>
    <row r="17" ht="45.75" customHeight="1" s="211">
      <c r="A17" s="12" t="n"/>
      <c r="B17" s="12" t="n"/>
      <c r="C17" s="183" t="n"/>
      <c r="D17" s="183" t="n"/>
      <c r="F17" s="12" t="n"/>
      <c r="G17" s="12" t="n"/>
      <c r="H17" s="191" t="n"/>
      <c r="I17" s="12" t="n"/>
      <c r="J17" s="12" t="n"/>
      <c r="K17" s="12" t="n"/>
      <c r="L17" s="191" t="n"/>
      <c r="M17" s="12" t="n"/>
      <c r="N17" s="12" t="n"/>
      <c r="O17" s="184" t="n"/>
      <c r="P17" s="184" t="n"/>
      <c r="Q17" s="184" t="n"/>
      <c r="R17" s="184" t="n"/>
      <c r="S17" s="184" t="n"/>
      <c r="T17" s="165" t="n"/>
      <c r="U17" s="179" t="n"/>
      <c r="V17" s="179" t="n"/>
      <c r="W17" s="12" t="n"/>
      <c r="X17" s="12" t="n"/>
      <c r="Y17" s="12" t="n"/>
      <c r="Z17" s="12" t="n"/>
    </row>
    <row r="18" ht="45.75" customHeight="1" s="211">
      <c r="A18" s="12" t="n"/>
      <c r="B18" s="12" t="n"/>
      <c r="C18" s="183" t="n"/>
      <c r="D18" s="183" t="n"/>
      <c r="F18" s="192" t="n"/>
      <c r="G18" s="12" t="n"/>
      <c r="H18" s="191" t="n"/>
      <c r="I18" s="12" t="n"/>
      <c r="J18" s="12" t="n"/>
      <c r="K18" s="12" t="n"/>
      <c r="L18" s="191" t="n"/>
      <c r="M18" s="12" t="n"/>
      <c r="N18" s="12" t="n"/>
      <c r="O18" s="184" t="n"/>
      <c r="P18" s="184" t="n"/>
      <c r="Q18" s="184" t="n"/>
      <c r="R18" s="184" t="n"/>
      <c r="S18" s="184" t="n"/>
      <c r="T18" s="165" t="n"/>
      <c r="U18" s="179" t="n"/>
      <c r="V18" s="179" t="n"/>
      <c r="W18" s="12" t="n"/>
      <c r="X18" s="12" t="n"/>
      <c r="Y18" s="12" t="n"/>
      <c r="Z18" s="12" t="n"/>
    </row>
    <row r="19" ht="45.75" customHeight="1" s="211">
      <c r="A19" s="12" t="n"/>
      <c r="B19" s="12" t="n"/>
      <c r="C19" s="183" t="n"/>
      <c r="D19" s="183" t="n"/>
      <c r="F19" s="12" t="n"/>
      <c r="G19" s="12" t="n"/>
      <c r="H19" s="191" t="n"/>
      <c r="I19" s="12" t="n"/>
      <c r="J19" s="12" t="n"/>
      <c r="K19" s="12" t="n"/>
      <c r="L19" s="191" t="n"/>
      <c r="M19" s="12" t="n"/>
      <c r="N19" s="12" t="n"/>
      <c r="O19" s="184" t="n"/>
      <c r="P19" s="184" t="n"/>
      <c r="Q19" s="184" t="n"/>
      <c r="R19" s="184" t="n"/>
      <c r="S19" s="184" t="n"/>
      <c r="T19" s="165" t="n"/>
      <c r="U19" s="179" t="n"/>
      <c r="V19" s="179" t="n"/>
      <c r="W19" s="12" t="n"/>
      <c r="X19" s="12" t="n"/>
      <c r="Y19" s="12" t="n"/>
      <c r="Z19" s="12" t="n"/>
    </row>
    <row r="20" ht="45.75" customHeight="1" s="211">
      <c r="A20" s="12" t="n"/>
      <c r="B20" s="12" t="n"/>
      <c r="C20" s="12" t="n"/>
      <c r="D20" s="12" t="n"/>
      <c r="F20" s="12" t="n"/>
      <c r="G20" s="12" t="n"/>
      <c r="H20" s="191" t="n"/>
      <c r="I20" s="12" t="n"/>
      <c r="J20" s="12" t="n"/>
      <c r="K20" s="12" t="n"/>
      <c r="L20" s="191" t="n"/>
      <c r="M20" s="12" t="n"/>
      <c r="O20" s="184" t="n"/>
      <c r="P20" s="184" t="n"/>
      <c r="Q20" s="184" t="n"/>
      <c r="R20" s="184" t="n"/>
      <c r="S20" s="184" t="n"/>
      <c r="T20" s="165" t="n"/>
      <c r="U20" s="179" t="n"/>
      <c r="V20" s="179" t="n"/>
      <c r="W20" s="12" t="n"/>
      <c r="X20" s="12" t="n"/>
      <c r="Y20" s="12" t="n"/>
      <c r="Z20" s="12" t="n"/>
    </row>
    <row r="21" ht="45.75" customHeight="1" s="211">
      <c r="A21" s="12" t="n"/>
      <c r="B21" s="12" t="n"/>
      <c r="C21" s="12" t="n"/>
      <c r="F21" s="192" t="n"/>
      <c r="G21" s="12" t="n"/>
      <c r="H21" s="191" t="n"/>
      <c r="I21" s="12" t="n"/>
      <c r="J21" s="12" t="n"/>
      <c r="K21" s="12" t="n"/>
      <c r="L21" s="191" t="n"/>
      <c r="M21" s="12" t="n"/>
      <c r="N21" s="12" t="n"/>
      <c r="O21" s="184" t="n"/>
      <c r="P21" s="184" t="n"/>
      <c r="Q21" s="184" t="n"/>
      <c r="R21" s="184" t="n"/>
      <c r="S21" s="184" t="n"/>
      <c r="T21" s="165" t="n"/>
      <c r="U21" s="179" t="n"/>
      <c r="V21" s="179" t="n"/>
      <c r="W21" s="12" t="n"/>
      <c r="X21" s="12" t="n"/>
      <c r="Y21" s="12" t="n"/>
      <c r="Z21" s="12" t="n"/>
    </row>
    <row r="22" ht="45.75" customHeight="1" s="211">
      <c r="I22" s="12" t="n"/>
      <c r="V22" s="179" t="n"/>
      <c r="W22" s="12" t="n"/>
      <c r="X22" s="12" t="n"/>
      <c r="Y22" s="12" t="n"/>
      <c r="Z22" s="12" t="n"/>
    </row>
    <row r="23" ht="45.75" customHeight="1" s="211">
      <c r="I23" s="12" t="n"/>
      <c r="V23" s="179" t="n"/>
      <c r="W23" s="12" t="n"/>
      <c r="X23" s="12" t="n"/>
      <c r="Y23" s="12" t="n"/>
      <c r="Z23" s="12" t="n"/>
    </row>
    <row r="24" ht="45.75" customHeight="1" s="211">
      <c r="I24" s="12" t="n"/>
      <c r="V24" s="179" t="n"/>
      <c r="W24" s="12" t="n"/>
      <c r="X24" s="12" t="n"/>
      <c r="Y24" s="12" t="n"/>
      <c r="Z24" s="12" t="n"/>
    </row>
    <row r="25" ht="45.75" customHeight="1" s="211">
      <c r="I25" s="12" t="n"/>
      <c r="V25" s="179" t="n"/>
      <c r="W25" s="12" t="n"/>
      <c r="X25" s="12" t="n"/>
      <c r="Y25" s="12" t="n"/>
      <c r="Z25" s="12" t="n"/>
    </row>
    <row r="26" ht="45.75" customHeight="1" s="211">
      <c r="I26" s="12" t="n"/>
      <c r="V26" s="179" t="n"/>
      <c r="W26" s="12" t="n"/>
      <c r="X26" s="12" t="n"/>
      <c r="Y26" s="12" t="n"/>
      <c r="Z26" s="12" t="n"/>
    </row>
    <row r="27" ht="45.75" customHeight="1" s="211">
      <c r="G27" s="12" t="n"/>
      <c r="H27" s="12" t="n"/>
      <c r="I27" s="12" t="n"/>
      <c r="V27" s="179" t="n"/>
      <c r="W27" s="12" t="n"/>
      <c r="X27" s="12" t="n"/>
      <c r="Y27" s="12" t="n"/>
      <c r="Z27" s="12" t="n"/>
    </row>
    <row r="28" ht="45.75" customHeight="1" s="211">
      <c r="F28" s="12" t="n"/>
      <c r="G28" s="12" t="n"/>
      <c r="H28" s="12" t="n"/>
      <c r="I28" s="12" t="n"/>
      <c r="M28" s="12" t="n"/>
      <c r="N28" s="12" t="n"/>
      <c r="V28" s="179" t="n"/>
      <c r="W28" s="12" t="n"/>
      <c r="X28" s="12" t="n"/>
      <c r="Y28" s="12" t="n"/>
      <c r="Z28" s="12" t="n"/>
    </row>
    <row r="29" ht="45.75" customHeight="1" s="211">
      <c r="A29" s="12" t="n"/>
      <c r="B29" s="12" t="n"/>
      <c r="C29" s="12" t="n"/>
      <c r="F29" s="12" t="n"/>
      <c r="G29" s="12" t="n"/>
      <c r="H29" s="12" t="n"/>
      <c r="I29" s="12" t="n"/>
      <c r="M29" s="12" t="n"/>
      <c r="N29" s="12" t="n"/>
      <c r="V29" s="179" t="n"/>
      <c r="W29" s="12" t="n"/>
      <c r="X29" s="12" t="n"/>
      <c r="Y29" s="12" t="n"/>
      <c r="Z29" s="12" t="n"/>
    </row>
    <row r="30" ht="45.75" customHeight="1" s="21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V30" s="179" t="n"/>
      <c r="W30" s="12" t="n"/>
      <c r="X30" s="12" t="n"/>
      <c r="Y30" s="12" t="n"/>
      <c r="Z30" s="12" t="n"/>
    </row>
    <row r="31" ht="45.75" customHeight="1" s="21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M31" s="12" t="n"/>
      <c r="N31" s="12" t="n"/>
      <c r="V31" s="179" t="n"/>
      <c r="W31" s="12" t="n"/>
      <c r="X31" s="12" t="n"/>
      <c r="Y31" s="12" t="n"/>
      <c r="Z31" s="12" t="n"/>
    </row>
    <row r="32" ht="45.75" customHeight="1" s="21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M32" s="12" t="n"/>
      <c r="N32" s="12" t="n"/>
      <c r="O32" s="184" t="n"/>
      <c r="P32" s="184" t="n"/>
      <c r="Q32" s="184" t="n"/>
      <c r="R32" s="184" t="n"/>
      <c r="S32" s="184" t="n"/>
      <c r="T32" s="165" t="n"/>
      <c r="U32" s="179" t="n"/>
      <c r="V32" s="179" t="n"/>
      <c r="W32" s="12" t="n"/>
      <c r="X32" s="12" t="n"/>
      <c r="Y32" s="12" t="n"/>
      <c r="Z32" s="12" t="n"/>
    </row>
    <row r="33" ht="45.75" customHeight="1" s="21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M33" s="12" t="n"/>
      <c r="N33" s="12" t="n"/>
      <c r="O33" s="184" t="n"/>
      <c r="P33" s="184" t="n"/>
      <c r="Q33" s="184" t="n"/>
      <c r="R33" s="184" t="n"/>
      <c r="S33" s="184" t="n"/>
      <c r="T33" s="165" t="n"/>
      <c r="U33" s="179" t="n"/>
      <c r="V33" s="179" t="n"/>
      <c r="W33" s="12" t="n"/>
      <c r="X33" s="12" t="n"/>
      <c r="Y33" s="12" t="n"/>
      <c r="Z33" s="12" t="n"/>
    </row>
    <row r="34" ht="45.75" customHeight="1" s="21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M34" s="12" t="n"/>
      <c r="N34" s="12" t="n"/>
      <c r="O34" s="184" t="n"/>
      <c r="P34" s="184" t="n"/>
      <c r="Q34" s="184" t="n"/>
      <c r="R34" s="184" t="n"/>
      <c r="S34" s="184" t="n"/>
      <c r="T34" s="165" t="n"/>
      <c r="U34" s="179" t="n"/>
      <c r="V34" s="179" t="n"/>
      <c r="W34" s="12" t="n"/>
      <c r="X34" s="12" t="n"/>
      <c r="Y34" s="12" t="n"/>
      <c r="Z34" s="12" t="n"/>
    </row>
    <row r="35" ht="45.75" customHeight="1" s="21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M35" s="12" t="n"/>
      <c r="N35" s="12" t="n"/>
      <c r="O35" s="184" t="n"/>
      <c r="P35" s="184" t="n"/>
      <c r="Q35" s="184" t="n"/>
      <c r="R35" s="184" t="n"/>
      <c r="S35" s="184" t="n"/>
      <c r="T35" s="165" t="n"/>
      <c r="U35" s="179" t="n"/>
      <c r="V35" s="179" t="n"/>
      <c r="W35" s="12" t="n"/>
      <c r="X35" s="12" t="n"/>
      <c r="Y35" s="12" t="n"/>
      <c r="Z35" s="12" t="n"/>
    </row>
    <row r="36" ht="45.75" customHeight="1" s="21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M36" s="12" t="n"/>
      <c r="N36" s="12" t="n"/>
      <c r="O36" s="184" t="n"/>
      <c r="P36" s="184" t="n"/>
      <c r="Q36" s="184" t="n"/>
      <c r="R36" s="184" t="n"/>
      <c r="S36" s="184" t="n"/>
      <c r="T36" s="165" t="n"/>
      <c r="U36" s="179" t="n"/>
      <c r="V36" s="179" t="n"/>
      <c r="W36" s="12" t="n"/>
      <c r="X36" s="12" t="n"/>
      <c r="Y36" s="12" t="n"/>
      <c r="Z36" s="12" t="n"/>
    </row>
    <row r="37" ht="45.75" customHeight="1" s="21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M37" s="12" t="n"/>
      <c r="N37" s="12" t="n"/>
      <c r="O37" s="184" t="n"/>
      <c r="P37" s="184" t="n"/>
      <c r="Q37" s="184" t="n"/>
      <c r="R37" s="184" t="n"/>
      <c r="S37" s="184" t="n"/>
      <c r="T37" s="165" t="n"/>
      <c r="U37" s="179" t="n"/>
      <c r="V37" s="179" t="n"/>
      <c r="W37" s="12" t="n"/>
      <c r="X37" s="12" t="n"/>
      <c r="Y37" s="12" t="n"/>
      <c r="Z37" s="12" t="n"/>
    </row>
    <row r="38" ht="45.75" customHeight="1" s="21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M38" s="12" t="n"/>
      <c r="N38" s="12" t="n"/>
      <c r="O38" s="184" t="n"/>
      <c r="P38" s="184" t="n"/>
      <c r="Q38" s="184" t="n"/>
      <c r="R38" s="184" t="n"/>
      <c r="S38" s="184" t="n"/>
      <c r="T38" s="165" t="n"/>
      <c r="U38" s="179" t="n"/>
      <c r="V38" s="179" t="n"/>
      <c r="W38" s="12" t="n"/>
      <c r="X38" s="12" t="n"/>
      <c r="Y38" s="12" t="n"/>
      <c r="Z38" s="12" t="n"/>
    </row>
    <row r="39" ht="45.75" customHeight="1" s="21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84" t="n"/>
      <c r="P39" s="184" t="n"/>
      <c r="Q39" s="184" t="n"/>
      <c r="R39" s="184" t="n"/>
      <c r="S39" s="184" t="n"/>
      <c r="T39" s="165" t="n"/>
      <c r="U39" s="179" t="n"/>
      <c r="V39" s="179" t="n"/>
      <c r="W39" s="12" t="n"/>
      <c r="X39" s="12" t="n"/>
      <c r="Y39" s="12" t="n"/>
      <c r="Z39" s="12" t="n"/>
    </row>
    <row r="40" ht="45.75" customHeight="1" s="21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84" t="n"/>
      <c r="P40" s="184" t="n"/>
      <c r="Q40" s="184" t="n"/>
      <c r="R40" s="184" t="n"/>
      <c r="S40" s="184" t="n"/>
      <c r="T40" s="165" t="n"/>
      <c r="U40" s="179" t="n"/>
      <c r="V40" s="179" t="n"/>
      <c r="W40" s="12" t="n"/>
      <c r="X40" s="12" t="n"/>
      <c r="Y40" s="12" t="n"/>
      <c r="Z40" s="12" t="n"/>
    </row>
    <row r="41" ht="45.75" customHeight="1" s="21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84" t="n"/>
      <c r="P41" s="184" t="n"/>
      <c r="Q41" s="184" t="n"/>
      <c r="R41" s="184" t="n"/>
      <c r="S41" s="184" t="n"/>
      <c r="T41" s="165" t="n"/>
      <c r="U41" s="179" t="n"/>
      <c r="V41" s="179" t="n"/>
      <c r="W41" s="12" t="n"/>
      <c r="X41" s="12" t="n"/>
      <c r="Y41" s="12" t="n"/>
      <c r="Z41" s="12" t="n"/>
    </row>
    <row r="42" ht="45.75" customHeight="1" s="21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84" t="n"/>
      <c r="P42" s="184" t="n"/>
      <c r="Q42" s="184" t="n"/>
      <c r="R42" s="184" t="n"/>
      <c r="S42" s="184" t="n"/>
      <c r="T42" s="165" t="n"/>
      <c r="U42" s="179" t="n"/>
      <c r="V42" s="179" t="n"/>
      <c r="W42" s="12" t="n"/>
      <c r="X42" s="12" t="n"/>
      <c r="Y42" s="12" t="n"/>
      <c r="Z42" s="12" t="n"/>
    </row>
    <row r="43" ht="45.75" customHeight="1" s="21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84" t="n"/>
      <c r="P43" s="184" t="n"/>
      <c r="Q43" s="184" t="n"/>
      <c r="R43" s="184" t="n"/>
      <c r="S43" s="184" t="n"/>
      <c r="T43" s="165" t="n"/>
      <c r="U43" s="179" t="n"/>
      <c r="V43" s="179" t="n"/>
      <c r="W43" s="12" t="n"/>
      <c r="X43" s="12" t="n"/>
      <c r="Y43" s="12" t="n"/>
      <c r="Z43" s="12" t="n"/>
    </row>
    <row r="44" ht="45.75" customHeight="1" s="21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84" t="n"/>
      <c r="P44" s="184" t="n"/>
      <c r="Q44" s="184" t="n"/>
      <c r="R44" s="184" t="n"/>
      <c r="S44" s="184" t="n"/>
      <c r="T44" s="165" t="n"/>
      <c r="U44" s="179" t="n"/>
      <c r="V44" s="179" t="n"/>
      <c r="W44" s="12" t="n"/>
      <c r="X44" s="12" t="n"/>
      <c r="Y44" s="12" t="n"/>
      <c r="Z44" s="12" t="n"/>
    </row>
    <row r="45" ht="45.75" customHeight="1" s="21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84" t="n"/>
      <c r="P45" s="184" t="n"/>
      <c r="Q45" s="184" t="n"/>
      <c r="R45" s="184" t="n"/>
      <c r="S45" s="184" t="n"/>
      <c r="T45" s="165" t="n"/>
      <c r="U45" s="179" t="n"/>
      <c r="V45" s="179" t="n"/>
      <c r="W45" s="12" t="n"/>
      <c r="X45" s="12" t="n"/>
      <c r="Y45" s="12" t="n"/>
      <c r="Z45" s="12" t="n"/>
    </row>
    <row r="46" ht="45.75" customHeight="1" s="21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84" t="n"/>
      <c r="P46" s="184" t="n"/>
      <c r="Q46" s="184" t="n"/>
      <c r="R46" s="184" t="n"/>
      <c r="S46" s="184" t="n"/>
      <c r="T46" s="165" t="n"/>
      <c r="U46" s="179" t="n"/>
      <c r="V46" s="179" t="n"/>
      <c r="W46" s="12" t="n"/>
      <c r="X46" s="12" t="n"/>
      <c r="Y46" s="12" t="n"/>
      <c r="Z46" s="12" t="n"/>
    </row>
    <row r="47" ht="45.75" customHeight="1" s="21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84" t="n"/>
      <c r="P47" s="184" t="n"/>
      <c r="Q47" s="184" t="n"/>
      <c r="R47" s="184" t="n"/>
      <c r="S47" s="184" t="n"/>
      <c r="T47" s="165" t="n"/>
      <c r="U47" s="179" t="n"/>
      <c r="V47" s="179" t="n"/>
      <c r="W47" s="12" t="n"/>
      <c r="X47" s="12" t="n"/>
      <c r="Y47" s="12" t="n"/>
      <c r="Z47" s="12" t="n"/>
    </row>
    <row r="48" ht="45.75" customHeight="1" s="21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84" t="n"/>
      <c r="P48" s="184" t="n"/>
      <c r="Q48" s="184" t="n"/>
      <c r="R48" s="184" t="n"/>
      <c r="S48" s="184" t="n"/>
      <c r="T48" s="165" t="n"/>
      <c r="U48" s="179" t="n"/>
      <c r="V48" s="179" t="n"/>
      <c r="W48" s="12" t="n"/>
      <c r="X48" s="12" t="n"/>
      <c r="Y48" s="12" t="n"/>
      <c r="Z48" s="12" t="n"/>
    </row>
    <row r="49" ht="45.75" customHeight="1" s="21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84" t="n"/>
      <c r="P49" s="184" t="n"/>
      <c r="Q49" s="184" t="n"/>
      <c r="R49" s="184" t="n"/>
      <c r="S49" s="184" t="n"/>
      <c r="T49" s="165" t="n"/>
      <c r="U49" s="179" t="n"/>
      <c r="V49" s="179" t="n"/>
      <c r="W49" s="12" t="n"/>
      <c r="X49" s="12" t="n"/>
      <c r="Y49" s="12" t="n"/>
      <c r="Z49" s="12" t="n"/>
    </row>
    <row r="50" ht="45.75" customHeight="1" s="21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84" t="n"/>
      <c r="P50" s="184" t="n"/>
      <c r="Q50" s="184" t="n"/>
      <c r="R50" s="184" t="n"/>
      <c r="S50" s="184" t="n"/>
      <c r="T50" s="165" t="n"/>
      <c r="U50" s="179" t="n"/>
      <c r="V50" s="179" t="n"/>
      <c r="W50" s="12" t="n"/>
      <c r="X50" s="12" t="n"/>
      <c r="Y50" s="12" t="n"/>
      <c r="Z50" s="12" t="n"/>
    </row>
    <row r="51" ht="45.75" customHeight="1" s="21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84" t="n"/>
      <c r="P51" s="184" t="n"/>
      <c r="Q51" s="184" t="n"/>
      <c r="R51" s="184" t="n"/>
      <c r="S51" s="184" t="n"/>
      <c r="T51" s="165" t="n"/>
      <c r="U51" s="179" t="n"/>
      <c r="V51" s="179" t="n"/>
      <c r="W51" s="12" t="n"/>
      <c r="X51" s="12" t="n"/>
      <c r="Y51" s="12" t="n"/>
      <c r="Z51" s="12" t="n"/>
    </row>
    <row r="52" ht="45.75" customHeight="1" s="21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84" t="n"/>
      <c r="P52" s="184" t="n"/>
      <c r="Q52" s="184" t="n"/>
      <c r="R52" s="184" t="n"/>
      <c r="S52" s="184" t="n"/>
      <c r="T52" s="165" t="n"/>
      <c r="U52" s="179" t="n"/>
      <c r="V52" s="179" t="n"/>
      <c r="W52" s="12" t="n"/>
      <c r="X52" s="12" t="n"/>
      <c r="Y52" s="12" t="n"/>
      <c r="Z52" s="12" t="n"/>
    </row>
    <row r="53" ht="45.75" customHeight="1" s="21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84" t="n"/>
      <c r="P53" s="184" t="n"/>
      <c r="Q53" s="184" t="n"/>
      <c r="R53" s="184" t="n"/>
      <c r="S53" s="184" t="n"/>
      <c r="T53" s="165" t="n"/>
      <c r="U53" s="179" t="n"/>
      <c r="V53" s="179" t="n"/>
      <c r="W53" s="12" t="n"/>
      <c r="X53" s="12" t="n"/>
      <c r="Y53" s="12" t="n"/>
      <c r="Z53" s="12" t="n"/>
    </row>
    <row r="54" ht="45.75" customHeight="1" s="21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84" t="n"/>
      <c r="P54" s="184" t="n"/>
      <c r="Q54" s="184" t="n"/>
      <c r="R54" s="184" t="n"/>
      <c r="S54" s="184" t="n"/>
      <c r="T54" s="165" t="n"/>
      <c r="U54" s="179" t="n"/>
      <c r="V54" s="179" t="n"/>
      <c r="W54" s="12" t="n"/>
      <c r="X54" s="12" t="n"/>
      <c r="Y54" s="12" t="n"/>
      <c r="Z54" s="12" t="n"/>
    </row>
    <row r="55" ht="45.75" customHeight="1" s="21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84" t="n"/>
      <c r="P55" s="184" t="n"/>
      <c r="Q55" s="184" t="n"/>
      <c r="R55" s="184" t="n"/>
      <c r="S55" s="184" t="n"/>
      <c r="T55" s="165" t="n"/>
      <c r="U55" s="179" t="n"/>
      <c r="V55" s="179" t="n"/>
      <c r="W55" s="12" t="n"/>
      <c r="X55" s="12" t="n"/>
      <c r="Y55" s="12" t="n"/>
      <c r="Z55" s="12" t="n"/>
    </row>
    <row r="56" ht="45.75" customHeight="1" s="21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84" t="n"/>
      <c r="P56" s="184" t="n"/>
      <c r="Q56" s="184" t="n"/>
      <c r="R56" s="184" t="n"/>
      <c r="S56" s="184" t="n"/>
      <c r="T56" s="165" t="n"/>
      <c r="U56" s="179" t="n"/>
      <c r="V56" s="179" t="n"/>
      <c r="W56" s="12" t="n"/>
      <c r="X56" s="12" t="n"/>
      <c r="Y56" s="12" t="n"/>
      <c r="Z56" s="12" t="n"/>
    </row>
    <row r="57" ht="45.75" customHeight="1" s="21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84" t="n"/>
      <c r="P57" s="184" t="n"/>
      <c r="Q57" s="184" t="n"/>
      <c r="R57" s="184" t="n"/>
      <c r="S57" s="184" t="n"/>
      <c r="T57" s="165" t="n"/>
      <c r="U57" s="179" t="n"/>
      <c r="V57" s="179" t="n"/>
      <c r="W57" s="12" t="n"/>
      <c r="X57" s="12" t="n"/>
      <c r="Y57" s="12" t="n"/>
      <c r="Z57" s="12" t="n"/>
    </row>
    <row r="58" ht="45.75" customHeight="1" s="21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84" t="n"/>
      <c r="P58" s="184" t="n"/>
      <c r="Q58" s="184" t="n"/>
      <c r="R58" s="184" t="n"/>
      <c r="S58" s="184" t="n"/>
      <c r="T58" s="165" t="n"/>
      <c r="U58" s="179" t="n"/>
      <c r="V58" s="179" t="n"/>
      <c r="W58" s="12" t="n"/>
      <c r="X58" s="12" t="n"/>
      <c r="Y58" s="12" t="n"/>
      <c r="Z58" s="12" t="n"/>
    </row>
    <row r="59" ht="45.75" customHeight="1" s="21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84" t="n"/>
      <c r="P59" s="184" t="n"/>
      <c r="Q59" s="184" t="n"/>
      <c r="R59" s="184" t="n"/>
      <c r="S59" s="184" t="n"/>
      <c r="T59" s="165" t="n"/>
      <c r="U59" s="179" t="n"/>
      <c r="V59" s="179" t="n"/>
      <c r="W59" s="12" t="n"/>
      <c r="X59" s="12" t="n"/>
      <c r="Y59" s="12" t="n"/>
      <c r="Z59" s="12" t="n"/>
    </row>
    <row r="60" ht="45.75" customHeight="1" s="21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84" t="n"/>
      <c r="P60" s="184" t="n"/>
      <c r="Q60" s="184" t="n"/>
      <c r="R60" s="184" t="n"/>
      <c r="S60" s="184" t="n"/>
      <c r="T60" s="165" t="n"/>
      <c r="U60" s="179" t="n"/>
      <c r="V60" s="179" t="n"/>
      <c r="W60" s="12" t="n"/>
      <c r="X60" s="12" t="n"/>
      <c r="Y60" s="12" t="n"/>
      <c r="Z60" s="12" t="n"/>
    </row>
    <row r="61" ht="45.75" customHeight="1" s="21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84" t="n"/>
      <c r="P61" s="184" t="n"/>
      <c r="Q61" s="184" t="n"/>
      <c r="R61" s="184" t="n"/>
      <c r="S61" s="184" t="n"/>
      <c r="T61" s="165" t="n"/>
      <c r="U61" s="179" t="n"/>
      <c r="V61" s="179" t="n"/>
      <c r="W61" s="12" t="n"/>
      <c r="X61" s="12" t="n"/>
      <c r="Y61" s="12" t="n"/>
      <c r="Z61" s="12" t="n"/>
    </row>
    <row r="62" ht="45.75" customHeight="1" s="21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84" t="n"/>
      <c r="P62" s="184" t="n"/>
      <c r="Q62" s="184" t="n"/>
      <c r="R62" s="184" t="n"/>
      <c r="S62" s="184" t="n"/>
      <c r="T62" s="165" t="n"/>
      <c r="U62" s="179" t="n"/>
      <c r="V62" s="179" t="n"/>
      <c r="W62" s="12" t="n"/>
      <c r="X62" s="12" t="n"/>
      <c r="Y62" s="12" t="n"/>
      <c r="Z62" s="12" t="n"/>
    </row>
    <row r="63" ht="45.75" customHeight="1" s="21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84" t="n"/>
      <c r="P63" s="184" t="n"/>
      <c r="Q63" s="184" t="n"/>
      <c r="R63" s="184" t="n"/>
      <c r="S63" s="184" t="n"/>
      <c r="T63" s="165" t="n"/>
      <c r="U63" s="179" t="n"/>
      <c r="V63" s="179" t="n"/>
      <c r="W63" s="12" t="n"/>
      <c r="X63" s="12" t="n"/>
      <c r="Y63" s="12" t="n"/>
      <c r="Z63" s="12" t="n"/>
    </row>
    <row r="64" ht="45.75" customHeight="1" s="21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84" t="n"/>
      <c r="P64" s="184" t="n"/>
      <c r="Q64" s="184" t="n"/>
      <c r="R64" s="184" t="n"/>
      <c r="S64" s="184" t="n"/>
      <c r="T64" s="165" t="n"/>
      <c r="U64" s="179" t="n"/>
      <c r="V64" s="179" t="n"/>
      <c r="W64" s="12" t="n"/>
      <c r="X64" s="12" t="n"/>
      <c r="Y64" s="12" t="n"/>
      <c r="Z64" s="12" t="n"/>
    </row>
    <row r="65" ht="45.75" customHeight="1" s="21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84" t="n"/>
      <c r="P65" s="184" t="n"/>
      <c r="Q65" s="184" t="n"/>
      <c r="R65" s="184" t="n"/>
      <c r="S65" s="184" t="n"/>
      <c r="T65" s="165" t="n"/>
      <c r="U65" s="179" t="n"/>
      <c r="V65" s="179" t="n"/>
      <c r="W65" s="12" t="n"/>
      <c r="X65" s="12" t="n"/>
      <c r="Y65" s="12" t="n"/>
      <c r="Z65" s="12" t="n"/>
    </row>
    <row r="66" ht="45.75" customHeight="1" s="21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84" t="n"/>
      <c r="P66" s="184" t="n"/>
      <c r="Q66" s="184" t="n"/>
      <c r="R66" s="184" t="n"/>
      <c r="S66" s="184" t="n"/>
      <c r="T66" s="165" t="n"/>
      <c r="U66" s="179" t="n"/>
      <c r="V66" s="179" t="n"/>
      <c r="W66" s="12" t="n"/>
      <c r="X66" s="12" t="n"/>
      <c r="Y66" s="12" t="n"/>
      <c r="Z66" s="12" t="n"/>
    </row>
    <row r="67" ht="45.75" customHeight="1" s="21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84" t="n"/>
      <c r="P67" s="184" t="n"/>
      <c r="Q67" s="184" t="n"/>
      <c r="R67" s="184" t="n"/>
      <c r="S67" s="184" t="n"/>
      <c r="T67" s="165" t="n"/>
      <c r="U67" s="179" t="n"/>
      <c r="V67" s="179" t="n"/>
      <c r="W67" s="12" t="n"/>
      <c r="X67" s="12" t="n"/>
      <c r="Y67" s="12" t="n"/>
      <c r="Z67" s="12" t="n"/>
    </row>
    <row r="68" ht="45.75" customHeight="1" s="21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84" t="n"/>
      <c r="P68" s="184" t="n"/>
      <c r="Q68" s="184" t="n"/>
      <c r="R68" s="184" t="n"/>
      <c r="S68" s="184" t="n"/>
      <c r="T68" s="165" t="n"/>
      <c r="U68" s="179" t="n"/>
      <c r="V68" s="179" t="n"/>
      <c r="W68" s="12" t="n"/>
      <c r="X68" s="12" t="n"/>
      <c r="Y68" s="12" t="n"/>
      <c r="Z68" s="12" t="n"/>
    </row>
    <row r="69" ht="45.75" customHeight="1" s="21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84" t="n"/>
      <c r="P69" s="184" t="n"/>
      <c r="Q69" s="184" t="n"/>
      <c r="R69" s="184" t="n"/>
      <c r="S69" s="184" t="n"/>
      <c r="T69" s="165" t="n"/>
      <c r="U69" s="179" t="n"/>
      <c r="V69" s="179" t="n"/>
      <c r="W69" s="12" t="n"/>
      <c r="X69" s="12" t="n"/>
      <c r="Y69" s="12" t="n"/>
      <c r="Z69" s="12" t="n"/>
    </row>
    <row r="70" ht="45.75" customHeight="1" s="21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84" t="n"/>
      <c r="P70" s="184" t="n"/>
      <c r="Q70" s="184" t="n"/>
      <c r="R70" s="184" t="n"/>
      <c r="S70" s="184" t="n"/>
      <c r="T70" s="165" t="n"/>
      <c r="U70" s="179" t="n"/>
      <c r="V70" s="179" t="n"/>
      <c r="W70" s="12" t="n"/>
      <c r="X70" s="12" t="n"/>
      <c r="Y70" s="12" t="n"/>
      <c r="Z70" s="12" t="n"/>
    </row>
    <row r="71" ht="45.75" customHeight="1" s="21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84" t="n"/>
      <c r="P71" s="184" t="n"/>
      <c r="Q71" s="184" t="n"/>
      <c r="R71" s="184" t="n"/>
      <c r="S71" s="184" t="n"/>
      <c r="T71" s="165" t="n"/>
      <c r="U71" s="179" t="n"/>
      <c r="V71" s="179" t="n"/>
      <c r="W71" s="12" t="n"/>
      <c r="X71" s="12" t="n"/>
      <c r="Y71" s="12" t="n"/>
      <c r="Z71" s="12" t="n"/>
    </row>
    <row r="72" ht="45.75" customHeight="1" s="21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84" t="n"/>
      <c r="P72" s="184" t="n"/>
      <c r="Q72" s="184" t="n"/>
      <c r="R72" s="184" t="n"/>
      <c r="S72" s="184" t="n"/>
      <c r="T72" s="165" t="n"/>
      <c r="U72" s="179" t="n"/>
      <c r="V72" s="179" t="n"/>
      <c r="W72" s="12" t="n"/>
      <c r="X72" s="12" t="n"/>
      <c r="Y72" s="12" t="n"/>
      <c r="Z72" s="12" t="n"/>
    </row>
    <row r="73" ht="45.75" customHeight="1" s="21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84" t="n"/>
      <c r="P73" s="184" t="n"/>
      <c r="Q73" s="184" t="n"/>
      <c r="R73" s="184" t="n"/>
      <c r="S73" s="184" t="n"/>
      <c r="T73" s="165" t="n"/>
      <c r="U73" s="179" t="n"/>
      <c r="V73" s="179" t="n"/>
      <c r="W73" s="12" t="n"/>
      <c r="X73" s="12" t="n"/>
      <c r="Y73" s="12" t="n"/>
      <c r="Z73" s="12" t="n"/>
    </row>
    <row r="74" ht="45.75" customHeight="1" s="21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84" t="n"/>
      <c r="P74" s="184" t="n"/>
      <c r="Q74" s="184" t="n"/>
      <c r="R74" s="184" t="n"/>
      <c r="S74" s="184" t="n"/>
      <c r="T74" s="165" t="n"/>
      <c r="U74" s="179" t="n"/>
      <c r="V74" s="179" t="n"/>
      <c r="W74" s="12" t="n"/>
      <c r="X74" s="12" t="n"/>
      <c r="Y74" s="12" t="n"/>
      <c r="Z74" s="12" t="n"/>
    </row>
    <row r="75" ht="45.75" customHeight="1" s="21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84" t="n"/>
      <c r="P75" s="184" t="n"/>
      <c r="Q75" s="184" t="n"/>
      <c r="R75" s="184" t="n"/>
      <c r="S75" s="184" t="n"/>
      <c r="T75" s="165" t="n"/>
      <c r="U75" s="179" t="n"/>
      <c r="V75" s="179" t="n"/>
      <c r="W75" s="12" t="n"/>
      <c r="X75" s="12" t="n"/>
      <c r="Y75" s="12" t="n"/>
      <c r="Z75" s="12" t="n"/>
    </row>
    <row r="76" ht="45.75" customHeight="1" s="21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84" t="n"/>
      <c r="P76" s="184" t="n"/>
      <c r="Q76" s="184" t="n"/>
      <c r="R76" s="184" t="n"/>
      <c r="S76" s="184" t="n"/>
      <c r="T76" s="165" t="n"/>
      <c r="U76" s="179" t="n"/>
      <c r="V76" s="179" t="n"/>
      <c r="W76" s="12" t="n"/>
      <c r="X76" s="12" t="n"/>
      <c r="Y76" s="12" t="n"/>
      <c r="Z76" s="12" t="n"/>
    </row>
    <row r="77" ht="45.75" customHeight="1" s="21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84" t="n"/>
      <c r="P77" s="184" t="n"/>
      <c r="Q77" s="184" t="n"/>
      <c r="R77" s="184" t="n"/>
      <c r="S77" s="184" t="n"/>
      <c r="T77" s="165" t="n"/>
      <c r="U77" s="179" t="n"/>
      <c r="V77" s="179" t="n"/>
      <c r="W77" s="12" t="n"/>
      <c r="X77" s="12" t="n"/>
      <c r="Y77" s="12" t="n"/>
      <c r="Z77" s="12" t="n"/>
    </row>
    <row r="78" ht="45.75" customHeight="1" s="21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84" t="n"/>
      <c r="P78" s="184" t="n"/>
      <c r="Q78" s="184" t="n"/>
      <c r="R78" s="184" t="n"/>
      <c r="S78" s="184" t="n"/>
      <c r="T78" s="165" t="n"/>
      <c r="U78" s="179" t="n"/>
      <c r="V78" s="179" t="n"/>
      <c r="W78" s="12" t="n"/>
      <c r="X78" s="12" t="n"/>
      <c r="Y78" s="12" t="n"/>
      <c r="Z78" s="12" t="n"/>
    </row>
    <row r="79" ht="45.75" customHeight="1" s="21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84" t="n"/>
      <c r="P79" s="184" t="n"/>
      <c r="Q79" s="184" t="n"/>
      <c r="R79" s="184" t="n"/>
      <c r="S79" s="184" t="n"/>
      <c r="T79" s="165" t="n"/>
      <c r="U79" s="179" t="n"/>
      <c r="V79" s="179" t="n"/>
      <c r="W79" s="12" t="n"/>
      <c r="X79" s="12" t="n"/>
      <c r="Y79" s="12" t="n"/>
      <c r="Z79" s="12" t="n"/>
    </row>
    <row r="80" ht="45.75" customHeight="1" s="21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84" t="n"/>
      <c r="P80" s="184" t="n"/>
      <c r="Q80" s="184" t="n"/>
      <c r="R80" s="184" t="n"/>
      <c r="S80" s="184" t="n"/>
      <c r="T80" s="165" t="n"/>
      <c r="U80" s="179" t="n"/>
      <c r="V80" s="179" t="n"/>
      <c r="W80" s="12" t="n"/>
      <c r="X80" s="12" t="n"/>
      <c r="Y80" s="12" t="n"/>
      <c r="Z80" s="12" t="n"/>
    </row>
    <row r="81" ht="45.75" customHeight="1" s="21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84" t="n"/>
      <c r="P81" s="184" t="n"/>
      <c r="Q81" s="184" t="n"/>
      <c r="R81" s="184" t="n"/>
      <c r="S81" s="184" t="n"/>
      <c r="T81" s="165" t="n"/>
      <c r="U81" s="179" t="n"/>
      <c r="V81" s="179" t="n"/>
      <c r="W81" s="12" t="n"/>
      <c r="X81" s="12" t="n"/>
      <c r="Y81" s="12" t="n"/>
      <c r="Z81" s="12" t="n"/>
    </row>
    <row r="82" ht="45.75" customHeight="1" s="21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84" t="n"/>
      <c r="P82" s="184" t="n"/>
      <c r="Q82" s="184" t="n"/>
      <c r="R82" s="184" t="n"/>
      <c r="S82" s="184" t="n"/>
      <c r="T82" s="165" t="n"/>
      <c r="U82" s="179" t="n"/>
      <c r="V82" s="179" t="n"/>
      <c r="W82" s="12" t="n"/>
      <c r="X82" s="12" t="n"/>
      <c r="Y82" s="12" t="n"/>
      <c r="Z82" s="12" t="n"/>
    </row>
    <row r="83" ht="45.75" customHeight="1" s="21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84" t="n"/>
      <c r="P83" s="184" t="n"/>
      <c r="Q83" s="184" t="n"/>
      <c r="R83" s="184" t="n"/>
      <c r="S83" s="184" t="n"/>
      <c r="T83" s="165" t="n"/>
      <c r="U83" s="179" t="n"/>
      <c r="V83" s="179" t="n"/>
      <c r="W83" s="12" t="n"/>
      <c r="X83" s="12" t="n"/>
      <c r="Y83" s="12" t="n"/>
      <c r="Z83" s="12" t="n"/>
    </row>
    <row r="84" ht="45.75" customHeight="1" s="21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84" t="n"/>
      <c r="P84" s="184" t="n"/>
      <c r="Q84" s="184" t="n"/>
      <c r="R84" s="184" t="n"/>
      <c r="S84" s="184" t="n"/>
      <c r="T84" s="165" t="n"/>
      <c r="U84" s="179" t="n"/>
      <c r="V84" s="179" t="n"/>
      <c r="W84" s="12" t="n"/>
      <c r="X84" s="12" t="n"/>
      <c r="Y84" s="12" t="n"/>
      <c r="Z84" s="12" t="n"/>
    </row>
    <row r="85" ht="45.75" customHeight="1" s="21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84" t="n"/>
      <c r="P85" s="184" t="n"/>
      <c r="Q85" s="184" t="n"/>
      <c r="R85" s="184" t="n"/>
      <c r="S85" s="184" t="n"/>
      <c r="T85" s="165" t="n"/>
      <c r="U85" s="179" t="n"/>
      <c r="V85" s="179" t="n"/>
      <c r="W85" s="12" t="n"/>
      <c r="X85" s="12" t="n"/>
      <c r="Y85" s="12" t="n"/>
      <c r="Z85" s="12" t="n"/>
    </row>
    <row r="86" ht="45.75" customHeight="1" s="21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84" t="n"/>
      <c r="P86" s="184" t="n"/>
      <c r="Q86" s="184" t="n"/>
      <c r="R86" s="184" t="n"/>
      <c r="S86" s="184" t="n"/>
      <c r="T86" s="165" t="n"/>
      <c r="U86" s="179" t="n"/>
      <c r="V86" s="179" t="n"/>
      <c r="W86" s="12" t="n"/>
      <c r="X86" s="12" t="n"/>
      <c r="Y86" s="12" t="n"/>
      <c r="Z86" s="12" t="n"/>
    </row>
    <row r="87" ht="45.75" customHeight="1" s="21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84" t="n"/>
      <c r="P87" s="184" t="n"/>
      <c r="Q87" s="184" t="n"/>
      <c r="R87" s="184" t="n"/>
      <c r="S87" s="184" t="n"/>
      <c r="T87" s="165" t="n"/>
      <c r="U87" s="179" t="n"/>
      <c r="V87" s="179" t="n"/>
      <c r="W87" s="12" t="n"/>
      <c r="X87" s="12" t="n"/>
      <c r="Y87" s="12" t="n"/>
      <c r="Z87" s="12" t="n"/>
    </row>
    <row r="88" ht="45.75" customHeight="1" s="21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84" t="n"/>
      <c r="P88" s="184" t="n"/>
      <c r="Q88" s="184" t="n"/>
      <c r="R88" s="184" t="n"/>
      <c r="S88" s="184" t="n"/>
      <c r="T88" s="165" t="n"/>
      <c r="U88" s="179" t="n"/>
      <c r="V88" s="179" t="n"/>
      <c r="W88" s="12" t="n"/>
      <c r="X88" s="12" t="n"/>
      <c r="Y88" s="12" t="n"/>
      <c r="Z88" s="12" t="n"/>
    </row>
    <row r="89" ht="45.75" customHeight="1" s="21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84" t="n"/>
      <c r="P89" s="184" t="n"/>
      <c r="Q89" s="184" t="n"/>
      <c r="R89" s="184" t="n"/>
      <c r="S89" s="184" t="n"/>
      <c r="T89" s="165" t="n"/>
      <c r="U89" s="179" t="n"/>
      <c r="V89" s="179" t="n"/>
      <c r="W89" s="12" t="n"/>
      <c r="X89" s="12" t="n"/>
      <c r="Y89" s="12" t="n"/>
      <c r="Z89" s="12" t="n"/>
    </row>
    <row r="90" ht="45.75" customHeight="1" s="21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84" t="n"/>
      <c r="P90" s="184" t="n"/>
      <c r="Q90" s="184" t="n"/>
      <c r="R90" s="184" t="n"/>
      <c r="S90" s="184" t="n"/>
      <c r="T90" s="165" t="n"/>
      <c r="U90" s="179" t="n"/>
      <c r="V90" s="179" t="n"/>
      <c r="W90" s="12" t="n"/>
      <c r="X90" s="12" t="n"/>
      <c r="Y90" s="12" t="n"/>
      <c r="Z90" s="12" t="n"/>
    </row>
    <row r="91" ht="45.75" customHeight="1" s="21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84" t="n"/>
      <c r="P91" s="184" t="n"/>
      <c r="Q91" s="184" t="n"/>
      <c r="R91" s="184" t="n"/>
      <c r="S91" s="184" t="n"/>
      <c r="T91" s="165" t="n"/>
      <c r="U91" s="179" t="n"/>
      <c r="V91" s="179" t="n"/>
      <c r="W91" s="12" t="n"/>
      <c r="X91" s="12" t="n"/>
      <c r="Y91" s="12" t="n"/>
      <c r="Z91" s="12" t="n"/>
    </row>
    <row r="92" ht="45.75" customHeight="1" s="21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84" t="n"/>
      <c r="P92" s="184" t="n"/>
      <c r="Q92" s="184" t="n"/>
      <c r="R92" s="184" t="n"/>
      <c r="S92" s="184" t="n"/>
      <c r="T92" s="165" t="n"/>
      <c r="U92" s="179" t="n"/>
      <c r="V92" s="179" t="n"/>
      <c r="W92" s="12" t="n"/>
      <c r="X92" s="12" t="n"/>
      <c r="Y92" s="12" t="n"/>
      <c r="Z92" s="12" t="n"/>
    </row>
    <row r="93" ht="45.75" customHeight="1" s="21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84" t="n"/>
      <c r="P93" s="184" t="n"/>
      <c r="Q93" s="184" t="n"/>
      <c r="R93" s="184" t="n"/>
      <c r="S93" s="184" t="n"/>
      <c r="T93" s="165" t="n"/>
      <c r="U93" s="179" t="n"/>
      <c r="V93" s="179" t="n"/>
      <c r="W93" s="12" t="n"/>
      <c r="X93" s="12" t="n"/>
      <c r="Y93" s="12" t="n"/>
      <c r="Z93" s="12" t="n"/>
    </row>
    <row r="94" ht="45.75" customHeight="1" s="21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84" t="n"/>
      <c r="P94" s="184" t="n"/>
      <c r="Q94" s="184" t="n"/>
      <c r="R94" s="184" t="n"/>
      <c r="S94" s="184" t="n"/>
      <c r="T94" s="165" t="n"/>
      <c r="U94" s="179" t="n"/>
      <c r="V94" s="179" t="n"/>
      <c r="W94" s="12" t="n"/>
      <c r="X94" s="12" t="n"/>
      <c r="Y94" s="12" t="n"/>
      <c r="Z94" s="12" t="n"/>
    </row>
    <row r="95" ht="45.75" customHeight="1" s="21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84" t="n"/>
      <c r="P95" s="184" t="n"/>
      <c r="Q95" s="184" t="n"/>
      <c r="R95" s="184" t="n"/>
      <c r="S95" s="184" t="n"/>
      <c r="T95" s="165" t="n"/>
      <c r="U95" s="179" t="n"/>
      <c r="V95" s="179" t="n"/>
      <c r="W95" s="12" t="n"/>
      <c r="X95" s="12" t="n"/>
      <c r="Y95" s="12" t="n"/>
      <c r="Z95" s="12" t="n"/>
    </row>
    <row r="96" ht="45.75" customHeight="1" s="21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84" t="n"/>
      <c r="P96" s="184" t="n"/>
      <c r="Q96" s="184" t="n"/>
      <c r="R96" s="184" t="n"/>
      <c r="S96" s="184" t="n"/>
      <c r="T96" s="165" t="n"/>
      <c r="U96" s="179" t="n"/>
      <c r="V96" s="179" t="n"/>
      <c r="W96" s="12" t="n"/>
      <c r="X96" s="12" t="n"/>
      <c r="Y96" s="12" t="n"/>
      <c r="Z96" s="12" t="n"/>
    </row>
    <row r="97" ht="45.75" customHeight="1" s="21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84" t="n"/>
      <c r="P97" s="184" t="n"/>
      <c r="Q97" s="184" t="n"/>
      <c r="R97" s="184" t="n"/>
      <c r="S97" s="184" t="n"/>
      <c r="T97" s="165" t="n"/>
      <c r="U97" s="179" t="n"/>
      <c r="V97" s="179" t="n"/>
      <c r="W97" s="12" t="n"/>
      <c r="X97" s="12" t="n"/>
      <c r="Y97" s="12" t="n"/>
      <c r="Z97" s="12" t="n"/>
    </row>
    <row r="98" ht="45.75" customHeight="1" s="21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84" t="n"/>
      <c r="P98" s="184" t="n"/>
      <c r="Q98" s="184" t="n"/>
      <c r="R98" s="184" t="n"/>
      <c r="S98" s="184" t="n"/>
      <c r="T98" s="165" t="n"/>
      <c r="U98" s="179" t="n"/>
      <c r="V98" s="179" t="n"/>
      <c r="W98" s="12" t="n"/>
      <c r="X98" s="12" t="n"/>
      <c r="Y98" s="12" t="n"/>
      <c r="Z98" s="12" t="n"/>
    </row>
    <row r="99" ht="45.75" customHeight="1" s="21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84" t="n"/>
      <c r="P99" s="184" t="n"/>
      <c r="Q99" s="184" t="n"/>
      <c r="R99" s="184" t="n"/>
      <c r="S99" s="184" t="n"/>
      <c r="T99" s="165" t="n"/>
      <c r="U99" s="179" t="n"/>
      <c r="V99" s="179" t="n"/>
      <c r="W99" s="12" t="n"/>
      <c r="X99" s="12" t="n"/>
      <c r="Y99" s="12" t="n"/>
      <c r="Z99" s="12" t="n"/>
    </row>
    <row r="100" ht="45.75" customHeight="1" s="21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84" t="n"/>
      <c r="P100" s="184" t="n"/>
      <c r="Q100" s="184" t="n"/>
      <c r="R100" s="184" t="n"/>
      <c r="S100" s="184" t="n"/>
      <c r="T100" s="165" t="n"/>
      <c r="U100" s="179" t="n"/>
      <c r="V100" s="179" t="n"/>
      <c r="W100" s="12" t="n"/>
      <c r="X100" s="12" t="n"/>
      <c r="Y100" s="12" t="n"/>
      <c r="Z100" s="12" t="n"/>
    </row>
    <row r="101" ht="45.75" customHeight="1" s="21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84" t="n"/>
      <c r="P101" s="184" t="n"/>
      <c r="Q101" s="184" t="n"/>
      <c r="R101" s="184" t="n"/>
      <c r="S101" s="184" t="n"/>
      <c r="T101" s="165" t="n"/>
      <c r="U101" s="179" t="n"/>
      <c r="V101" s="179" t="n"/>
      <c r="W101" s="12" t="n"/>
      <c r="X101" s="12" t="n"/>
      <c r="Y101" s="12" t="n"/>
      <c r="Z101" s="12" t="n"/>
    </row>
    <row r="102" ht="45.75" customHeight="1" s="21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84" t="n"/>
      <c r="P102" s="184" t="n"/>
      <c r="Q102" s="184" t="n"/>
      <c r="R102" s="184" t="n"/>
      <c r="S102" s="184" t="n"/>
      <c r="T102" s="165" t="n"/>
      <c r="U102" s="179" t="n"/>
      <c r="V102" s="179" t="n"/>
      <c r="W102" s="12" t="n"/>
      <c r="X102" s="12" t="n"/>
      <c r="Y102" s="12" t="n"/>
      <c r="Z102" s="12" t="n"/>
    </row>
    <row r="103" ht="45.75" customHeight="1" s="21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84" t="n"/>
      <c r="P103" s="184" t="n"/>
      <c r="Q103" s="184" t="n"/>
      <c r="R103" s="184" t="n"/>
      <c r="S103" s="184" t="n"/>
      <c r="T103" s="165" t="n"/>
      <c r="U103" s="179" t="n"/>
      <c r="V103" s="179" t="n"/>
      <c r="W103" s="12" t="n"/>
      <c r="X103" s="12" t="n"/>
      <c r="Y103" s="12" t="n"/>
      <c r="Z103" s="12" t="n"/>
    </row>
    <row r="104" ht="45.75" customHeight="1" s="21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84" t="n"/>
      <c r="P104" s="184" t="n"/>
      <c r="Q104" s="184" t="n"/>
      <c r="R104" s="184" t="n"/>
      <c r="S104" s="184" t="n"/>
      <c r="T104" s="165" t="n"/>
      <c r="U104" s="179" t="n"/>
      <c r="V104" s="179" t="n"/>
      <c r="W104" s="12" t="n"/>
      <c r="X104" s="12" t="n"/>
      <c r="Y104" s="12" t="n"/>
      <c r="Z104" s="12" t="n"/>
    </row>
    <row r="105" ht="45.75" customHeight="1" s="21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84" t="n"/>
      <c r="P105" s="184" t="n"/>
      <c r="Q105" s="184" t="n"/>
      <c r="R105" s="184" t="n"/>
      <c r="S105" s="184" t="n"/>
      <c r="T105" s="165" t="n"/>
      <c r="U105" s="179" t="n"/>
      <c r="V105" s="179" t="n"/>
      <c r="W105" s="12" t="n"/>
      <c r="X105" s="12" t="n"/>
      <c r="Y105" s="12" t="n"/>
      <c r="Z105" s="12" t="n"/>
    </row>
    <row r="106" ht="45.75" customHeight="1" s="21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84" t="n"/>
      <c r="P106" s="184" t="n"/>
      <c r="Q106" s="184" t="n"/>
      <c r="R106" s="184" t="n"/>
      <c r="S106" s="184" t="n"/>
      <c r="T106" s="165" t="n"/>
      <c r="U106" s="179" t="n"/>
      <c r="V106" s="179" t="n"/>
      <c r="W106" s="12" t="n"/>
      <c r="X106" s="12" t="n"/>
      <c r="Y106" s="12" t="n"/>
      <c r="Z106" s="12" t="n"/>
    </row>
    <row r="107" ht="45.75" customHeight="1" s="21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84" t="n"/>
      <c r="P107" s="184" t="n"/>
      <c r="Q107" s="184" t="n"/>
      <c r="R107" s="184" t="n"/>
      <c r="S107" s="184" t="n"/>
      <c r="T107" s="165" t="n"/>
      <c r="U107" s="179" t="n"/>
      <c r="V107" s="179" t="n"/>
      <c r="W107" s="12" t="n"/>
      <c r="X107" s="12" t="n"/>
      <c r="Y107" s="12" t="n"/>
      <c r="Z107" s="12" t="n"/>
    </row>
    <row r="108" ht="45.75" customHeight="1" s="21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84" t="n"/>
      <c r="P108" s="184" t="n"/>
      <c r="Q108" s="184" t="n"/>
      <c r="R108" s="184" t="n"/>
      <c r="S108" s="184" t="n"/>
      <c r="T108" s="165" t="n"/>
      <c r="U108" s="179" t="n"/>
      <c r="V108" s="179" t="n"/>
      <c r="W108" s="12" t="n"/>
      <c r="X108" s="12" t="n"/>
      <c r="Y108" s="12" t="n"/>
      <c r="Z108" s="12" t="n"/>
    </row>
    <row r="109" ht="45.75" customHeight="1" s="21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84" t="n"/>
      <c r="P109" s="184" t="n"/>
      <c r="Q109" s="184" t="n"/>
      <c r="R109" s="184" t="n"/>
      <c r="S109" s="184" t="n"/>
      <c r="T109" s="165" t="n"/>
      <c r="U109" s="179" t="n"/>
      <c r="V109" s="179" t="n"/>
      <c r="W109" s="12" t="n"/>
      <c r="X109" s="12" t="n"/>
      <c r="Y109" s="12" t="n"/>
      <c r="Z109" s="12" t="n"/>
    </row>
    <row r="110" ht="45.75" customHeight="1" s="21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84" t="n"/>
      <c r="P110" s="184" t="n"/>
      <c r="Q110" s="184" t="n"/>
      <c r="R110" s="184" t="n"/>
      <c r="S110" s="184" t="n"/>
      <c r="T110" s="165" t="n"/>
      <c r="U110" s="179" t="n"/>
      <c r="V110" s="179" t="n"/>
      <c r="W110" s="12" t="n"/>
      <c r="X110" s="12" t="n"/>
      <c r="Y110" s="12" t="n"/>
      <c r="Z110" s="12" t="n"/>
    </row>
    <row r="111" ht="45.75" customHeight="1" s="2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84" t="n"/>
      <c r="P111" s="184" t="n"/>
      <c r="Q111" s="184" t="n"/>
      <c r="R111" s="184" t="n"/>
      <c r="S111" s="184" t="n"/>
      <c r="T111" s="165" t="n"/>
      <c r="U111" s="179" t="n"/>
      <c r="V111" s="179" t="n"/>
      <c r="W111" s="12" t="n"/>
      <c r="X111" s="12" t="n"/>
      <c r="Y111" s="12" t="n"/>
      <c r="Z111" s="12" t="n"/>
    </row>
    <row r="112" ht="45.75" customHeight="1" s="21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84" t="n"/>
      <c r="P112" s="184" t="n"/>
      <c r="Q112" s="184" t="n"/>
      <c r="R112" s="184" t="n"/>
      <c r="S112" s="184" t="n"/>
      <c r="T112" s="165" t="n"/>
      <c r="U112" s="179" t="n"/>
      <c r="V112" s="179" t="n"/>
      <c r="W112" s="12" t="n"/>
      <c r="X112" s="12" t="n"/>
      <c r="Y112" s="12" t="n"/>
      <c r="Z112" s="12" t="n"/>
    </row>
    <row r="113" ht="45.75" customHeight="1" s="21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84" t="n"/>
      <c r="P113" s="184" t="n"/>
      <c r="Q113" s="184" t="n"/>
      <c r="R113" s="184" t="n"/>
      <c r="S113" s="184" t="n"/>
      <c r="T113" s="165" t="n"/>
      <c r="U113" s="179" t="n"/>
      <c r="V113" s="179" t="n"/>
      <c r="W113" s="12" t="n"/>
      <c r="X113" s="12" t="n"/>
      <c r="Y113" s="12" t="n"/>
      <c r="Z113" s="12" t="n"/>
    </row>
    <row r="114" ht="45.75" customHeight="1" s="21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84" t="n"/>
      <c r="P114" s="184" t="n"/>
      <c r="Q114" s="184" t="n"/>
      <c r="R114" s="184" t="n"/>
      <c r="S114" s="184" t="n"/>
      <c r="T114" s="165" t="n"/>
      <c r="U114" s="179" t="n"/>
      <c r="V114" s="179" t="n"/>
      <c r="W114" s="12" t="n"/>
      <c r="X114" s="12" t="n"/>
      <c r="Y114" s="12" t="n"/>
      <c r="Z114" s="12" t="n"/>
    </row>
    <row r="115" ht="45.75" customHeight="1" s="21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84" t="n"/>
      <c r="P115" s="184" t="n"/>
      <c r="Q115" s="184" t="n"/>
      <c r="R115" s="184" t="n"/>
      <c r="S115" s="184" t="n"/>
      <c r="T115" s="165" t="n"/>
      <c r="U115" s="179" t="n"/>
      <c r="V115" s="179" t="n"/>
      <c r="W115" s="12" t="n"/>
      <c r="X115" s="12" t="n"/>
      <c r="Y115" s="12" t="n"/>
      <c r="Z115" s="12" t="n"/>
    </row>
    <row r="116" ht="45.75" customHeight="1" s="21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84" t="n"/>
      <c r="P116" s="184" t="n"/>
      <c r="Q116" s="184" t="n"/>
      <c r="R116" s="184" t="n"/>
      <c r="S116" s="184" t="n"/>
      <c r="T116" s="165" t="n"/>
      <c r="U116" s="179" t="n"/>
      <c r="V116" s="179" t="n"/>
      <c r="W116" s="12" t="n"/>
      <c r="X116" s="12" t="n"/>
      <c r="Y116" s="12" t="n"/>
      <c r="Z116" s="12" t="n"/>
    </row>
    <row r="117" ht="45.75" customHeight="1" s="21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84" t="n"/>
      <c r="P117" s="184" t="n"/>
      <c r="Q117" s="184" t="n"/>
      <c r="R117" s="184" t="n"/>
      <c r="S117" s="184" t="n"/>
      <c r="T117" s="165" t="n"/>
      <c r="U117" s="179" t="n"/>
      <c r="V117" s="179" t="n"/>
      <c r="W117" s="12" t="n"/>
      <c r="X117" s="12" t="n"/>
      <c r="Y117" s="12" t="n"/>
      <c r="Z117" s="12" t="n"/>
    </row>
    <row r="118" ht="45.75" customHeight="1" s="21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84" t="n"/>
      <c r="P118" s="184" t="n"/>
      <c r="Q118" s="184" t="n"/>
      <c r="R118" s="184" t="n"/>
      <c r="S118" s="184" t="n"/>
      <c r="T118" s="165" t="n"/>
      <c r="U118" s="179" t="n"/>
      <c r="V118" s="179" t="n"/>
      <c r="W118" s="12" t="n"/>
      <c r="X118" s="12" t="n"/>
      <c r="Y118" s="12" t="n"/>
      <c r="Z118" s="12" t="n"/>
    </row>
    <row r="119" ht="45.75" customHeight="1" s="21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84" t="n"/>
      <c r="P119" s="184" t="n"/>
      <c r="Q119" s="184" t="n"/>
      <c r="R119" s="184" t="n"/>
      <c r="S119" s="184" t="n"/>
      <c r="T119" s="165" t="n"/>
      <c r="U119" s="179" t="n"/>
      <c r="V119" s="179" t="n"/>
      <c r="W119" s="12" t="n"/>
      <c r="X119" s="12" t="n"/>
      <c r="Y119" s="12" t="n"/>
      <c r="Z119" s="12" t="n"/>
    </row>
    <row r="120" ht="45.75" customHeight="1" s="21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84" t="n"/>
      <c r="P120" s="184" t="n"/>
      <c r="Q120" s="184" t="n"/>
      <c r="R120" s="184" t="n"/>
      <c r="S120" s="184" t="n"/>
      <c r="T120" s="165" t="n"/>
      <c r="U120" s="179" t="n"/>
      <c r="V120" s="179" t="n"/>
      <c r="W120" s="12" t="n"/>
      <c r="X120" s="12" t="n"/>
      <c r="Y120" s="12" t="n"/>
      <c r="Z120" s="12" t="n"/>
    </row>
    <row r="121" ht="45.75" customHeight="1" s="21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84" t="n"/>
      <c r="P121" s="184" t="n"/>
      <c r="Q121" s="184" t="n"/>
      <c r="R121" s="184" t="n"/>
      <c r="S121" s="184" t="n"/>
      <c r="T121" s="165" t="n"/>
      <c r="U121" s="179" t="n"/>
      <c r="V121" s="179" t="n"/>
      <c r="W121" s="12" t="n"/>
      <c r="X121" s="12" t="n"/>
      <c r="Y121" s="12" t="n"/>
      <c r="Z121" s="12" t="n"/>
    </row>
    <row r="122" ht="45.75" customHeight="1" s="21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84" t="n"/>
      <c r="P122" s="184" t="n"/>
      <c r="Q122" s="184" t="n"/>
      <c r="R122" s="184" t="n"/>
      <c r="S122" s="184" t="n"/>
      <c r="T122" s="165" t="n"/>
      <c r="U122" s="179" t="n"/>
      <c r="V122" s="179" t="n"/>
      <c r="W122" s="12" t="n"/>
      <c r="X122" s="12" t="n"/>
      <c r="Y122" s="12" t="n"/>
      <c r="Z122" s="12" t="n"/>
    </row>
    <row r="123" ht="45.75" customHeight="1" s="21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84" t="n"/>
      <c r="P123" s="184" t="n"/>
      <c r="Q123" s="184" t="n"/>
      <c r="R123" s="184" t="n"/>
      <c r="S123" s="184" t="n"/>
      <c r="T123" s="165" t="n"/>
      <c r="U123" s="179" t="n"/>
      <c r="V123" s="179" t="n"/>
      <c r="W123" s="12" t="n"/>
      <c r="X123" s="12" t="n"/>
      <c r="Y123" s="12" t="n"/>
      <c r="Z123" s="12" t="n"/>
    </row>
    <row r="124" ht="45.75" customHeight="1" s="21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84" t="n"/>
      <c r="P124" s="184" t="n"/>
      <c r="Q124" s="184" t="n"/>
      <c r="R124" s="184" t="n"/>
      <c r="S124" s="184" t="n"/>
      <c r="T124" s="165" t="n"/>
      <c r="U124" s="179" t="n"/>
      <c r="V124" s="179" t="n"/>
      <c r="W124" s="12" t="n"/>
      <c r="X124" s="12" t="n"/>
      <c r="Y124" s="12" t="n"/>
      <c r="Z124" s="12" t="n"/>
    </row>
    <row r="125" ht="45.75" customHeight="1" s="21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84" t="n"/>
      <c r="P125" s="184" t="n"/>
      <c r="Q125" s="184" t="n"/>
      <c r="R125" s="184" t="n"/>
      <c r="S125" s="184" t="n"/>
      <c r="T125" s="165" t="n"/>
      <c r="U125" s="179" t="n"/>
      <c r="V125" s="179" t="n"/>
      <c r="W125" s="12" t="n"/>
      <c r="X125" s="12" t="n"/>
      <c r="Y125" s="12" t="n"/>
      <c r="Z125" s="12" t="n"/>
    </row>
    <row r="126" ht="45.75" customHeight="1" s="21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84" t="n"/>
      <c r="P126" s="184" t="n"/>
      <c r="Q126" s="184" t="n"/>
      <c r="R126" s="184" t="n"/>
      <c r="S126" s="184" t="n"/>
      <c r="T126" s="165" t="n"/>
      <c r="U126" s="179" t="n"/>
      <c r="V126" s="179" t="n"/>
      <c r="W126" s="12" t="n"/>
      <c r="X126" s="12" t="n"/>
      <c r="Y126" s="12" t="n"/>
      <c r="Z126" s="12" t="n"/>
    </row>
    <row r="127" ht="45.75" customHeight="1" s="21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84" t="n"/>
      <c r="P127" s="184" t="n"/>
      <c r="Q127" s="184" t="n"/>
      <c r="R127" s="184" t="n"/>
      <c r="S127" s="184" t="n"/>
      <c r="T127" s="165" t="n"/>
      <c r="U127" s="179" t="n"/>
      <c r="V127" s="179" t="n"/>
      <c r="W127" s="12" t="n"/>
      <c r="X127" s="12" t="n"/>
      <c r="Y127" s="12" t="n"/>
      <c r="Z127" s="12" t="n"/>
    </row>
    <row r="128" ht="45.75" customHeight="1" s="21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84" t="n"/>
      <c r="P128" s="184" t="n"/>
      <c r="Q128" s="184" t="n"/>
      <c r="R128" s="184" t="n"/>
      <c r="S128" s="184" t="n"/>
      <c r="T128" s="165" t="n"/>
      <c r="U128" s="179" t="n"/>
      <c r="V128" s="179" t="n"/>
      <c r="W128" s="12" t="n"/>
      <c r="X128" s="12" t="n"/>
      <c r="Y128" s="12" t="n"/>
      <c r="Z128" s="12" t="n"/>
    </row>
    <row r="129" ht="45.75" customHeight="1" s="21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84" t="n"/>
      <c r="P129" s="184" t="n"/>
      <c r="Q129" s="184" t="n"/>
      <c r="R129" s="184" t="n"/>
      <c r="S129" s="184" t="n"/>
      <c r="T129" s="165" t="n"/>
      <c r="U129" s="179" t="n"/>
      <c r="V129" s="179" t="n"/>
      <c r="W129" s="12" t="n"/>
      <c r="X129" s="12" t="n"/>
      <c r="Y129" s="12" t="n"/>
      <c r="Z129" s="12" t="n"/>
    </row>
    <row r="130" ht="45.75" customHeight="1" s="21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84" t="n"/>
      <c r="P130" s="184" t="n"/>
      <c r="Q130" s="184" t="n"/>
      <c r="R130" s="184" t="n"/>
      <c r="S130" s="184" t="n"/>
      <c r="T130" s="165" t="n"/>
      <c r="U130" s="179" t="n"/>
      <c r="V130" s="179" t="n"/>
      <c r="W130" s="12" t="n"/>
      <c r="X130" s="12" t="n"/>
      <c r="Y130" s="12" t="n"/>
      <c r="Z130" s="12" t="n"/>
    </row>
    <row r="131" ht="45.75" customHeight="1" s="21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84" t="n"/>
      <c r="P131" s="184" t="n"/>
      <c r="Q131" s="184" t="n"/>
      <c r="R131" s="184" t="n"/>
      <c r="S131" s="184" t="n"/>
      <c r="T131" s="165" t="n"/>
      <c r="U131" s="179" t="n"/>
      <c r="V131" s="179" t="n"/>
      <c r="W131" s="12" t="n"/>
      <c r="X131" s="12" t="n"/>
      <c r="Y131" s="12" t="n"/>
      <c r="Z131" s="12" t="n"/>
    </row>
    <row r="132" ht="45.75" customHeight="1" s="21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84" t="n"/>
      <c r="P132" s="184" t="n"/>
      <c r="Q132" s="184" t="n"/>
      <c r="R132" s="184" t="n"/>
      <c r="S132" s="184" t="n"/>
      <c r="T132" s="165" t="n"/>
      <c r="U132" s="179" t="n"/>
      <c r="V132" s="179" t="n"/>
      <c r="W132" s="12" t="n"/>
      <c r="X132" s="12" t="n"/>
      <c r="Y132" s="12" t="n"/>
      <c r="Z132" s="12" t="n"/>
    </row>
    <row r="133" ht="45.75" customHeight="1" s="21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84" t="n"/>
      <c r="P133" s="184" t="n"/>
      <c r="Q133" s="184" t="n"/>
      <c r="R133" s="184" t="n"/>
      <c r="S133" s="184" t="n"/>
      <c r="T133" s="165" t="n"/>
      <c r="U133" s="179" t="n"/>
      <c r="V133" s="179" t="n"/>
      <c r="W133" s="12" t="n"/>
      <c r="X133" s="12" t="n"/>
      <c r="Y133" s="12" t="n"/>
      <c r="Z133" s="12" t="n"/>
    </row>
    <row r="134" ht="45.75" customHeight="1" s="21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84" t="n"/>
      <c r="P134" s="184" t="n"/>
      <c r="Q134" s="184" t="n"/>
      <c r="R134" s="184" t="n"/>
      <c r="S134" s="184" t="n"/>
      <c r="T134" s="165" t="n"/>
      <c r="U134" s="179" t="n"/>
      <c r="V134" s="179" t="n"/>
      <c r="W134" s="12" t="n"/>
      <c r="X134" s="12" t="n"/>
      <c r="Y134" s="12" t="n"/>
      <c r="Z134" s="12" t="n"/>
    </row>
    <row r="135" ht="45.75" customHeight="1" s="21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84" t="n"/>
      <c r="P135" s="184" t="n"/>
      <c r="Q135" s="184" t="n"/>
      <c r="R135" s="184" t="n"/>
      <c r="S135" s="184" t="n"/>
      <c r="T135" s="165" t="n"/>
      <c r="U135" s="179" t="n"/>
      <c r="V135" s="179" t="n"/>
      <c r="W135" s="12" t="n"/>
      <c r="X135" s="12" t="n"/>
      <c r="Y135" s="12" t="n"/>
      <c r="Z135" s="12" t="n"/>
    </row>
    <row r="136" ht="45.75" customHeight="1" s="21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84" t="n"/>
      <c r="P136" s="184" t="n"/>
      <c r="Q136" s="184" t="n"/>
      <c r="R136" s="184" t="n"/>
      <c r="S136" s="184" t="n"/>
      <c r="T136" s="165" t="n"/>
      <c r="U136" s="179" t="n"/>
      <c r="V136" s="179" t="n"/>
      <c r="W136" s="12" t="n"/>
      <c r="X136" s="12" t="n"/>
      <c r="Y136" s="12" t="n"/>
      <c r="Z136" s="12" t="n"/>
    </row>
    <row r="137" ht="45.75" customHeight="1" s="21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84" t="n"/>
      <c r="P137" s="184" t="n"/>
      <c r="Q137" s="184" t="n"/>
      <c r="R137" s="184" t="n"/>
      <c r="S137" s="184" t="n"/>
      <c r="T137" s="165" t="n"/>
      <c r="U137" s="179" t="n"/>
      <c r="V137" s="179" t="n"/>
      <c r="W137" s="12" t="n"/>
      <c r="X137" s="12" t="n"/>
      <c r="Y137" s="12" t="n"/>
      <c r="Z137" s="12" t="n"/>
    </row>
    <row r="138" ht="45.75" customHeight="1" s="21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84" t="n"/>
      <c r="P138" s="184" t="n"/>
      <c r="Q138" s="184" t="n"/>
      <c r="R138" s="184" t="n"/>
      <c r="S138" s="184" t="n"/>
      <c r="T138" s="165" t="n"/>
      <c r="U138" s="179" t="n"/>
      <c r="V138" s="179" t="n"/>
      <c r="W138" s="12" t="n"/>
      <c r="X138" s="12" t="n"/>
      <c r="Y138" s="12" t="n"/>
      <c r="Z138" s="12" t="n"/>
    </row>
    <row r="139" ht="45.75" customHeight="1" s="21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84" t="n"/>
      <c r="P139" s="184" t="n"/>
      <c r="Q139" s="184" t="n"/>
      <c r="R139" s="184" t="n"/>
      <c r="S139" s="184" t="n"/>
      <c r="T139" s="165" t="n"/>
      <c r="U139" s="179" t="n"/>
      <c r="V139" s="179" t="n"/>
      <c r="W139" s="12" t="n"/>
      <c r="X139" s="12" t="n"/>
      <c r="Y139" s="12" t="n"/>
      <c r="Z139" s="12" t="n"/>
    </row>
    <row r="140" ht="45.75" customHeight="1" s="21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84" t="n"/>
      <c r="P140" s="184" t="n"/>
      <c r="Q140" s="184" t="n"/>
      <c r="R140" s="184" t="n"/>
      <c r="S140" s="184" t="n"/>
      <c r="T140" s="165" t="n"/>
      <c r="U140" s="179" t="n"/>
      <c r="V140" s="179" t="n"/>
      <c r="W140" s="12" t="n"/>
      <c r="X140" s="12" t="n"/>
      <c r="Y140" s="12" t="n"/>
      <c r="Z140" s="12" t="n"/>
    </row>
    <row r="141" ht="45.75" customHeight="1" s="21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84" t="n"/>
      <c r="P141" s="184" t="n"/>
      <c r="Q141" s="184" t="n"/>
      <c r="R141" s="184" t="n"/>
      <c r="S141" s="184" t="n"/>
      <c r="T141" s="165" t="n"/>
      <c r="U141" s="179" t="n"/>
      <c r="V141" s="179" t="n"/>
      <c r="W141" s="12" t="n"/>
      <c r="X141" s="12" t="n"/>
      <c r="Y141" s="12" t="n"/>
      <c r="Z141" s="12" t="n"/>
    </row>
    <row r="142" ht="45.75" customHeight="1" s="21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84" t="n"/>
      <c r="P142" s="184" t="n"/>
      <c r="Q142" s="184" t="n"/>
      <c r="R142" s="184" t="n"/>
      <c r="S142" s="184" t="n"/>
      <c r="T142" s="165" t="n"/>
      <c r="U142" s="179" t="n"/>
      <c r="V142" s="179" t="n"/>
      <c r="W142" s="12" t="n"/>
      <c r="X142" s="12" t="n"/>
      <c r="Y142" s="12" t="n"/>
      <c r="Z142" s="12" t="n"/>
    </row>
    <row r="143" ht="45.75" customHeight="1" s="21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84" t="n"/>
      <c r="P143" s="184" t="n"/>
      <c r="Q143" s="184" t="n"/>
      <c r="R143" s="184" t="n"/>
      <c r="S143" s="184" t="n"/>
      <c r="T143" s="165" t="n"/>
      <c r="U143" s="179" t="n"/>
      <c r="V143" s="179" t="n"/>
      <c r="W143" s="12" t="n"/>
      <c r="X143" s="12" t="n"/>
      <c r="Y143" s="12" t="n"/>
      <c r="Z143" s="12" t="n"/>
    </row>
    <row r="144" ht="45.75" customHeight="1" s="21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84" t="n"/>
      <c r="P144" s="184" t="n"/>
      <c r="Q144" s="184" t="n"/>
      <c r="R144" s="184" t="n"/>
      <c r="S144" s="184" t="n"/>
      <c r="T144" s="165" t="n"/>
      <c r="U144" s="179" t="n"/>
      <c r="V144" s="179" t="n"/>
      <c r="W144" s="12" t="n"/>
      <c r="X144" s="12" t="n"/>
      <c r="Y144" s="12" t="n"/>
      <c r="Z144" s="12" t="n"/>
    </row>
    <row r="145" ht="45.75" customHeight="1" s="21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84" t="n"/>
      <c r="P145" s="184" t="n"/>
      <c r="Q145" s="184" t="n"/>
      <c r="R145" s="184" t="n"/>
      <c r="S145" s="184" t="n"/>
      <c r="T145" s="165" t="n"/>
      <c r="U145" s="179" t="n"/>
      <c r="V145" s="179" t="n"/>
      <c r="W145" s="12" t="n"/>
      <c r="X145" s="12" t="n"/>
      <c r="Y145" s="12" t="n"/>
      <c r="Z145" s="12" t="n"/>
    </row>
    <row r="146" ht="45.75" customHeight="1" s="21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84" t="n"/>
      <c r="P146" s="184" t="n"/>
      <c r="Q146" s="184" t="n"/>
      <c r="R146" s="184" t="n"/>
      <c r="S146" s="184" t="n"/>
      <c r="T146" s="165" t="n"/>
      <c r="U146" s="179" t="n"/>
      <c r="V146" s="179" t="n"/>
      <c r="W146" s="12" t="n"/>
      <c r="X146" s="12" t="n"/>
      <c r="Y146" s="12" t="n"/>
      <c r="Z146" s="12" t="n"/>
    </row>
    <row r="147" ht="45.75" customHeight="1" s="21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84" t="n"/>
      <c r="P147" s="184" t="n"/>
      <c r="Q147" s="184" t="n"/>
      <c r="R147" s="184" t="n"/>
      <c r="S147" s="184" t="n"/>
      <c r="T147" s="165" t="n"/>
      <c r="U147" s="179" t="n"/>
      <c r="V147" s="179" t="n"/>
      <c r="W147" s="12" t="n"/>
      <c r="X147" s="12" t="n"/>
      <c r="Y147" s="12" t="n"/>
      <c r="Z147" s="12" t="n"/>
    </row>
    <row r="148" ht="45.75" customHeight="1" s="21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84" t="n"/>
      <c r="P148" s="184" t="n"/>
      <c r="Q148" s="184" t="n"/>
      <c r="R148" s="184" t="n"/>
      <c r="S148" s="184" t="n"/>
      <c r="T148" s="165" t="n"/>
      <c r="U148" s="179" t="n"/>
      <c r="V148" s="179" t="n"/>
      <c r="W148" s="12" t="n"/>
      <c r="X148" s="12" t="n"/>
      <c r="Y148" s="12" t="n"/>
      <c r="Z148" s="12" t="n"/>
    </row>
    <row r="149" ht="45.75" customHeight="1" s="21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84" t="n"/>
      <c r="P149" s="184" t="n"/>
      <c r="Q149" s="184" t="n"/>
      <c r="R149" s="184" t="n"/>
      <c r="S149" s="184" t="n"/>
      <c r="T149" s="165" t="n"/>
      <c r="U149" s="179" t="n"/>
      <c r="V149" s="179" t="n"/>
      <c r="W149" s="12" t="n"/>
      <c r="X149" s="12" t="n"/>
      <c r="Y149" s="12" t="n"/>
      <c r="Z149" s="12" t="n"/>
    </row>
    <row r="150" ht="45.75" customHeight="1" s="21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84" t="n"/>
      <c r="P150" s="184" t="n"/>
      <c r="Q150" s="184" t="n"/>
      <c r="R150" s="184" t="n"/>
      <c r="S150" s="184" t="n"/>
      <c r="T150" s="165" t="n"/>
      <c r="U150" s="179" t="n"/>
      <c r="V150" s="179" t="n"/>
      <c r="W150" s="12" t="n"/>
      <c r="X150" s="12" t="n"/>
      <c r="Y150" s="12" t="n"/>
      <c r="Z150" s="12" t="n"/>
    </row>
    <row r="151" ht="45.75" customHeight="1" s="21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84" t="n"/>
      <c r="P151" s="184" t="n"/>
      <c r="Q151" s="184" t="n"/>
      <c r="R151" s="184" t="n"/>
      <c r="S151" s="184" t="n"/>
      <c r="T151" s="165" t="n"/>
      <c r="U151" s="179" t="n"/>
      <c r="V151" s="179" t="n"/>
      <c r="W151" s="12" t="n"/>
      <c r="X151" s="12" t="n"/>
      <c r="Y151" s="12" t="n"/>
      <c r="Z151" s="12" t="n"/>
    </row>
    <row r="152" ht="45.75" customHeight="1" s="21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84" t="n"/>
      <c r="P152" s="184" t="n"/>
      <c r="Q152" s="184" t="n"/>
      <c r="R152" s="184" t="n"/>
      <c r="S152" s="184" t="n"/>
      <c r="T152" s="165" t="n"/>
      <c r="U152" s="179" t="n"/>
      <c r="V152" s="179" t="n"/>
      <c r="W152" s="12" t="n"/>
      <c r="X152" s="12" t="n"/>
      <c r="Y152" s="12" t="n"/>
      <c r="Z152" s="12" t="n"/>
    </row>
    <row r="153" ht="45.75" customHeight="1" s="21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84" t="n"/>
      <c r="P153" s="184" t="n"/>
      <c r="Q153" s="184" t="n"/>
      <c r="R153" s="184" t="n"/>
      <c r="S153" s="184" t="n"/>
      <c r="T153" s="165" t="n"/>
      <c r="U153" s="179" t="n"/>
      <c r="V153" s="179" t="n"/>
      <c r="W153" s="12" t="n"/>
      <c r="X153" s="12" t="n"/>
      <c r="Y153" s="12" t="n"/>
      <c r="Z153" s="12" t="n"/>
    </row>
    <row r="154" ht="45.75" customHeight="1" s="21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84" t="n"/>
      <c r="P154" s="184" t="n"/>
      <c r="Q154" s="184" t="n"/>
      <c r="R154" s="184" t="n"/>
      <c r="S154" s="184" t="n"/>
      <c r="T154" s="165" t="n"/>
      <c r="U154" s="179" t="n"/>
      <c r="V154" s="179" t="n"/>
      <c r="W154" s="12" t="n"/>
      <c r="X154" s="12" t="n"/>
      <c r="Y154" s="12" t="n"/>
      <c r="Z154" s="12" t="n"/>
    </row>
    <row r="155" ht="45.75" customHeight="1" s="21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84" t="n"/>
      <c r="P155" s="184" t="n"/>
      <c r="Q155" s="184" t="n"/>
      <c r="R155" s="184" t="n"/>
      <c r="S155" s="184" t="n"/>
      <c r="T155" s="165" t="n"/>
      <c r="U155" s="179" t="n"/>
      <c r="V155" s="179" t="n"/>
      <c r="W155" s="12" t="n"/>
      <c r="X155" s="12" t="n"/>
      <c r="Y155" s="12" t="n"/>
      <c r="Z155" s="12" t="n"/>
    </row>
    <row r="156" ht="45.75" customHeight="1" s="21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84" t="n"/>
      <c r="P156" s="184" t="n"/>
      <c r="Q156" s="184" t="n"/>
      <c r="R156" s="184" t="n"/>
      <c r="S156" s="184" t="n"/>
      <c r="T156" s="165" t="n"/>
      <c r="U156" s="179" t="n"/>
      <c r="V156" s="179" t="n"/>
      <c r="W156" s="12" t="n"/>
      <c r="X156" s="12" t="n"/>
      <c r="Y156" s="12" t="n"/>
      <c r="Z156" s="12" t="n"/>
    </row>
    <row r="157" ht="45.75" customHeight="1" s="21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84" t="n"/>
      <c r="P157" s="184" t="n"/>
      <c r="Q157" s="184" t="n"/>
      <c r="R157" s="184" t="n"/>
      <c r="S157" s="184" t="n"/>
      <c r="T157" s="165" t="n"/>
      <c r="U157" s="179" t="n"/>
      <c r="V157" s="179" t="n"/>
      <c r="W157" s="12" t="n"/>
      <c r="X157" s="12" t="n"/>
      <c r="Y157" s="12" t="n"/>
      <c r="Z157" s="12" t="n"/>
    </row>
    <row r="158" ht="45.75" customHeight="1" s="21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84" t="n"/>
      <c r="P158" s="184" t="n"/>
      <c r="Q158" s="184" t="n"/>
      <c r="R158" s="184" t="n"/>
      <c r="S158" s="184" t="n"/>
      <c r="T158" s="165" t="n"/>
      <c r="U158" s="179" t="n"/>
      <c r="V158" s="179" t="n"/>
      <c r="W158" s="12" t="n"/>
      <c r="X158" s="12" t="n"/>
      <c r="Y158" s="12" t="n"/>
      <c r="Z158" s="12" t="n"/>
    </row>
    <row r="159" ht="45.75" customHeight="1" s="21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84" t="n"/>
      <c r="P159" s="184" t="n"/>
      <c r="Q159" s="184" t="n"/>
      <c r="R159" s="184" t="n"/>
      <c r="S159" s="184" t="n"/>
      <c r="T159" s="165" t="n"/>
      <c r="U159" s="179" t="n"/>
      <c r="V159" s="179" t="n"/>
      <c r="W159" s="12" t="n"/>
      <c r="X159" s="12" t="n"/>
      <c r="Y159" s="12" t="n"/>
      <c r="Z159" s="12" t="n"/>
    </row>
    <row r="160" ht="45.75" customHeight="1" s="21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84" t="n"/>
      <c r="P160" s="184" t="n"/>
      <c r="Q160" s="184" t="n"/>
      <c r="R160" s="184" t="n"/>
      <c r="S160" s="184" t="n"/>
      <c r="T160" s="165" t="n"/>
      <c r="U160" s="179" t="n"/>
      <c r="V160" s="179" t="n"/>
      <c r="W160" s="12" t="n"/>
      <c r="X160" s="12" t="n"/>
      <c r="Y160" s="12" t="n"/>
      <c r="Z160" s="12" t="n"/>
    </row>
    <row r="161" ht="45.75" customHeight="1" s="21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84" t="n"/>
      <c r="P161" s="184" t="n"/>
      <c r="Q161" s="184" t="n"/>
      <c r="R161" s="184" t="n"/>
      <c r="S161" s="184" t="n"/>
      <c r="T161" s="165" t="n"/>
      <c r="U161" s="179" t="n"/>
      <c r="V161" s="179" t="n"/>
      <c r="W161" s="12" t="n"/>
      <c r="X161" s="12" t="n"/>
      <c r="Y161" s="12" t="n"/>
      <c r="Z161" s="12" t="n"/>
    </row>
    <row r="162" ht="45.75" customHeight="1" s="21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84" t="n"/>
      <c r="P162" s="184" t="n"/>
      <c r="Q162" s="184" t="n"/>
      <c r="R162" s="184" t="n"/>
      <c r="S162" s="184" t="n"/>
      <c r="T162" s="165" t="n"/>
      <c r="U162" s="179" t="n"/>
      <c r="V162" s="179" t="n"/>
      <c r="W162" s="12" t="n"/>
      <c r="X162" s="12" t="n"/>
      <c r="Y162" s="12" t="n"/>
      <c r="Z162" s="12" t="n"/>
    </row>
    <row r="163" ht="45.75" customHeight="1" s="21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84" t="n"/>
      <c r="P163" s="184" t="n"/>
      <c r="Q163" s="184" t="n"/>
      <c r="R163" s="184" t="n"/>
      <c r="S163" s="184" t="n"/>
      <c r="T163" s="165" t="n"/>
      <c r="U163" s="179" t="n"/>
      <c r="V163" s="179" t="n"/>
      <c r="W163" s="12" t="n"/>
      <c r="X163" s="12" t="n"/>
      <c r="Y163" s="12" t="n"/>
      <c r="Z163" s="12" t="n"/>
    </row>
    <row r="164" ht="45.75" customHeight="1" s="21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84" t="n"/>
      <c r="P164" s="184" t="n"/>
      <c r="Q164" s="184" t="n"/>
      <c r="R164" s="184" t="n"/>
      <c r="S164" s="184" t="n"/>
      <c r="T164" s="165" t="n"/>
      <c r="U164" s="179" t="n"/>
      <c r="V164" s="179" t="n"/>
      <c r="W164" s="12" t="n"/>
      <c r="X164" s="12" t="n"/>
      <c r="Y164" s="12" t="n"/>
      <c r="Z164" s="12" t="n"/>
    </row>
    <row r="165" ht="45.75" customHeight="1" s="21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84" t="n"/>
      <c r="P165" s="184" t="n"/>
      <c r="Q165" s="184" t="n"/>
      <c r="R165" s="184" t="n"/>
      <c r="S165" s="184" t="n"/>
      <c r="T165" s="165" t="n"/>
      <c r="U165" s="179" t="n"/>
      <c r="V165" s="179" t="n"/>
      <c r="W165" s="12" t="n"/>
      <c r="X165" s="12" t="n"/>
      <c r="Y165" s="12" t="n"/>
      <c r="Z165" s="12" t="n"/>
    </row>
    <row r="166" ht="45.75" customHeight="1" s="21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84" t="n"/>
      <c r="P166" s="184" t="n"/>
      <c r="Q166" s="184" t="n"/>
      <c r="R166" s="184" t="n"/>
      <c r="S166" s="184" t="n"/>
      <c r="T166" s="165" t="n"/>
      <c r="U166" s="179" t="n"/>
      <c r="V166" s="179" t="n"/>
      <c r="W166" s="12" t="n"/>
      <c r="X166" s="12" t="n"/>
      <c r="Y166" s="12" t="n"/>
      <c r="Z166" s="12" t="n"/>
    </row>
    <row r="167" ht="45.75" customHeight="1" s="21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84" t="n"/>
      <c r="P167" s="184" t="n"/>
      <c r="Q167" s="184" t="n"/>
      <c r="R167" s="184" t="n"/>
      <c r="S167" s="184" t="n"/>
      <c r="T167" s="165" t="n"/>
      <c r="U167" s="179" t="n"/>
      <c r="V167" s="179" t="n"/>
      <c r="W167" s="12" t="n"/>
      <c r="X167" s="12" t="n"/>
      <c r="Y167" s="12" t="n"/>
      <c r="Z167" s="12" t="n"/>
    </row>
    <row r="168" ht="45.75" customHeight="1" s="21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84" t="n"/>
      <c r="P168" s="184" t="n"/>
      <c r="Q168" s="184" t="n"/>
      <c r="R168" s="184" t="n"/>
      <c r="S168" s="184" t="n"/>
      <c r="T168" s="165" t="n"/>
      <c r="U168" s="179" t="n"/>
      <c r="V168" s="179" t="n"/>
      <c r="W168" s="12" t="n"/>
      <c r="X168" s="12" t="n"/>
      <c r="Y168" s="12" t="n"/>
      <c r="Z168" s="12" t="n"/>
    </row>
    <row r="169" ht="45.75" customHeight="1" s="21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84" t="n"/>
      <c r="P169" s="184" t="n"/>
      <c r="Q169" s="184" t="n"/>
      <c r="R169" s="184" t="n"/>
      <c r="S169" s="184" t="n"/>
      <c r="T169" s="165" t="n"/>
      <c r="U169" s="179" t="n"/>
      <c r="V169" s="179" t="n"/>
      <c r="W169" s="12" t="n"/>
      <c r="X169" s="12" t="n"/>
      <c r="Y169" s="12" t="n"/>
      <c r="Z169" s="12" t="n"/>
    </row>
    <row r="170" ht="45.75" customHeight="1" s="21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84" t="n"/>
      <c r="P170" s="184" t="n"/>
      <c r="Q170" s="184" t="n"/>
      <c r="R170" s="184" t="n"/>
      <c r="S170" s="184" t="n"/>
      <c r="T170" s="165" t="n"/>
      <c r="U170" s="179" t="n"/>
      <c r="V170" s="179" t="n"/>
      <c r="W170" s="12" t="n"/>
      <c r="X170" s="12" t="n"/>
      <c r="Y170" s="12" t="n"/>
      <c r="Z170" s="12" t="n"/>
    </row>
    <row r="171" ht="45.75" customHeight="1" s="21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84" t="n"/>
      <c r="P171" s="184" t="n"/>
      <c r="Q171" s="184" t="n"/>
      <c r="R171" s="184" t="n"/>
      <c r="S171" s="184" t="n"/>
      <c r="T171" s="165" t="n"/>
      <c r="U171" s="179" t="n"/>
      <c r="V171" s="179" t="n"/>
      <c r="W171" s="12" t="n"/>
      <c r="X171" s="12" t="n"/>
      <c r="Y171" s="12" t="n"/>
      <c r="Z171" s="12" t="n"/>
    </row>
    <row r="172" ht="45.75" customHeight="1" s="21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84" t="n"/>
      <c r="P172" s="184" t="n"/>
      <c r="Q172" s="184" t="n"/>
      <c r="R172" s="184" t="n"/>
      <c r="S172" s="184" t="n"/>
      <c r="T172" s="165" t="n"/>
      <c r="U172" s="179" t="n"/>
      <c r="V172" s="179" t="n"/>
      <c r="W172" s="12" t="n"/>
      <c r="X172" s="12" t="n"/>
      <c r="Y172" s="12" t="n"/>
      <c r="Z172" s="12" t="n"/>
    </row>
    <row r="173" ht="45.75" customHeight="1" s="21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84" t="n"/>
      <c r="P173" s="184" t="n"/>
      <c r="Q173" s="184" t="n"/>
      <c r="R173" s="184" t="n"/>
      <c r="S173" s="184" t="n"/>
      <c r="T173" s="165" t="n"/>
      <c r="U173" s="179" t="n"/>
      <c r="V173" s="179" t="n"/>
      <c r="W173" s="12" t="n"/>
      <c r="X173" s="12" t="n"/>
      <c r="Y173" s="12" t="n"/>
      <c r="Z173" s="12" t="n"/>
    </row>
    <row r="174" ht="45.75" customHeight="1" s="21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84" t="n"/>
      <c r="P174" s="184" t="n"/>
      <c r="Q174" s="184" t="n"/>
      <c r="R174" s="184" t="n"/>
      <c r="S174" s="184" t="n"/>
      <c r="T174" s="165" t="n"/>
      <c r="U174" s="179" t="n"/>
      <c r="V174" s="179" t="n"/>
      <c r="W174" s="12" t="n"/>
      <c r="X174" s="12" t="n"/>
      <c r="Y174" s="12" t="n"/>
      <c r="Z174" s="12" t="n"/>
    </row>
    <row r="175" ht="45.75" customHeight="1" s="21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84" t="n"/>
      <c r="P175" s="184" t="n"/>
      <c r="Q175" s="184" t="n"/>
      <c r="R175" s="184" t="n"/>
      <c r="S175" s="184" t="n"/>
      <c r="T175" s="165" t="n"/>
      <c r="U175" s="179" t="n"/>
      <c r="V175" s="179" t="n"/>
      <c r="W175" s="12" t="n"/>
      <c r="X175" s="12" t="n"/>
      <c r="Y175" s="12" t="n"/>
      <c r="Z175" s="12" t="n"/>
    </row>
    <row r="176" ht="45.75" customHeight="1" s="21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84" t="n"/>
      <c r="P176" s="184" t="n"/>
      <c r="Q176" s="184" t="n"/>
      <c r="R176" s="184" t="n"/>
      <c r="S176" s="184" t="n"/>
      <c r="T176" s="165" t="n"/>
      <c r="U176" s="179" t="n"/>
      <c r="V176" s="179" t="n"/>
      <c r="W176" s="12" t="n"/>
      <c r="X176" s="12" t="n"/>
      <c r="Y176" s="12" t="n"/>
      <c r="Z176" s="12" t="n"/>
    </row>
    <row r="177" ht="45.75" customHeight="1" s="21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84" t="n"/>
      <c r="P177" s="184" t="n"/>
      <c r="Q177" s="184" t="n"/>
      <c r="R177" s="184" t="n"/>
      <c r="S177" s="184" t="n"/>
      <c r="T177" s="165" t="n"/>
      <c r="U177" s="179" t="n"/>
      <c r="V177" s="179" t="n"/>
      <c r="W177" s="12" t="n"/>
      <c r="X177" s="12" t="n"/>
      <c r="Y177" s="12" t="n"/>
      <c r="Z177" s="12" t="n"/>
    </row>
    <row r="178" ht="45.75" customHeight="1" s="21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84" t="n"/>
      <c r="P178" s="184" t="n"/>
      <c r="Q178" s="184" t="n"/>
      <c r="R178" s="184" t="n"/>
      <c r="S178" s="184" t="n"/>
      <c r="T178" s="165" t="n"/>
      <c r="U178" s="179" t="n"/>
      <c r="V178" s="179" t="n"/>
      <c r="W178" s="12" t="n"/>
      <c r="X178" s="12" t="n"/>
      <c r="Y178" s="12" t="n"/>
      <c r="Z178" s="12" t="n"/>
    </row>
    <row r="179" ht="45.75" customHeight="1" s="21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84" t="n"/>
      <c r="P179" s="184" t="n"/>
      <c r="Q179" s="184" t="n"/>
      <c r="R179" s="184" t="n"/>
      <c r="S179" s="184" t="n"/>
      <c r="T179" s="165" t="n"/>
      <c r="U179" s="179" t="n"/>
      <c r="V179" s="179" t="n"/>
      <c r="W179" s="12" t="n"/>
      <c r="X179" s="12" t="n"/>
      <c r="Y179" s="12" t="n"/>
      <c r="Z179" s="12" t="n"/>
    </row>
    <row r="180" ht="45.75" customHeight="1" s="21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84" t="n"/>
      <c r="P180" s="184" t="n"/>
      <c r="Q180" s="184" t="n"/>
      <c r="R180" s="184" t="n"/>
      <c r="S180" s="184" t="n"/>
      <c r="T180" s="165" t="n"/>
      <c r="U180" s="179" t="n"/>
      <c r="V180" s="179" t="n"/>
      <c r="W180" s="12" t="n"/>
      <c r="X180" s="12" t="n"/>
      <c r="Y180" s="12" t="n"/>
      <c r="Z180" s="12" t="n"/>
    </row>
    <row r="181" ht="45.75" customHeight="1" s="21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84" t="n"/>
      <c r="P181" s="184" t="n"/>
      <c r="Q181" s="184" t="n"/>
      <c r="R181" s="184" t="n"/>
      <c r="S181" s="184" t="n"/>
      <c r="T181" s="165" t="n"/>
      <c r="U181" s="179" t="n"/>
      <c r="V181" s="179" t="n"/>
      <c r="W181" s="12" t="n"/>
      <c r="X181" s="12" t="n"/>
      <c r="Y181" s="12" t="n"/>
      <c r="Z181" s="12" t="n"/>
    </row>
    <row r="182" ht="45.75" customHeight="1" s="21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84" t="n"/>
      <c r="P182" s="184" t="n"/>
      <c r="Q182" s="184" t="n"/>
      <c r="R182" s="184" t="n"/>
      <c r="S182" s="184" t="n"/>
      <c r="T182" s="165" t="n"/>
      <c r="U182" s="179" t="n"/>
      <c r="V182" s="179" t="n"/>
      <c r="W182" s="12" t="n"/>
      <c r="X182" s="12" t="n"/>
      <c r="Y182" s="12" t="n"/>
      <c r="Z182" s="12" t="n"/>
    </row>
    <row r="183" ht="45.75" customHeight="1" s="21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84" t="n"/>
      <c r="P183" s="184" t="n"/>
      <c r="Q183" s="184" t="n"/>
      <c r="R183" s="184" t="n"/>
      <c r="S183" s="184" t="n"/>
      <c r="T183" s="165" t="n"/>
      <c r="U183" s="179" t="n"/>
      <c r="V183" s="179" t="n"/>
      <c r="W183" s="12" t="n"/>
      <c r="X183" s="12" t="n"/>
      <c r="Y183" s="12" t="n"/>
      <c r="Z183" s="12" t="n"/>
    </row>
    <row r="184" ht="45.75" customHeight="1" s="21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84" t="n"/>
      <c r="P184" s="184" t="n"/>
      <c r="Q184" s="184" t="n"/>
      <c r="R184" s="184" t="n"/>
      <c r="S184" s="184" t="n"/>
      <c r="T184" s="165" t="n"/>
      <c r="U184" s="179" t="n"/>
      <c r="V184" s="179" t="n"/>
      <c r="W184" s="12" t="n"/>
      <c r="X184" s="12" t="n"/>
      <c r="Y184" s="12" t="n"/>
      <c r="Z184" s="12" t="n"/>
    </row>
    <row r="185" ht="45.75" customHeight="1" s="21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84" t="n"/>
      <c r="P185" s="184" t="n"/>
      <c r="Q185" s="184" t="n"/>
      <c r="R185" s="184" t="n"/>
      <c r="S185" s="184" t="n"/>
      <c r="T185" s="165" t="n"/>
      <c r="U185" s="179" t="n"/>
      <c r="V185" s="179" t="n"/>
      <c r="W185" s="12" t="n"/>
      <c r="X185" s="12" t="n"/>
      <c r="Y185" s="12" t="n"/>
      <c r="Z185" s="12" t="n"/>
    </row>
    <row r="186" ht="45.75" customHeight="1" s="21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84" t="n"/>
      <c r="P186" s="184" t="n"/>
      <c r="Q186" s="184" t="n"/>
      <c r="R186" s="184" t="n"/>
      <c r="S186" s="184" t="n"/>
      <c r="T186" s="165" t="n"/>
      <c r="U186" s="179" t="n"/>
      <c r="V186" s="179" t="n"/>
      <c r="W186" s="12" t="n"/>
      <c r="X186" s="12" t="n"/>
      <c r="Y186" s="12" t="n"/>
      <c r="Z186" s="12" t="n"/>
    </row>
    <row r="187" ht="45.75" customHeight="1" s="21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84" t="n"/>
      <c r="P187" s="184" t="n"/>
      <c r="Q187" s="184" t="n"/>
      <c r="R187" s="184" t="n"/>
      <c r="S187" s="184" t="n"/>
      <c r="T187" s="165" t="n"/>
      <c r="U187" s="179" t="n"/>
      <c r="V187" s="179" t="n"/>
      <c r="W187" s="12" t="n"/>
      <c r="X187" s="12" t="n"/>
      <c r="Y187" s="12" t="n"/>
      <c r="Z187" s="12" t="n"/>
    </row>
    <row r="188" ht="45.75" customHeight="1" s="21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84" t="n"/>
      <c r="P188" s="184" t="n"/>
      <c r="Q188" s="184" t="n"/>
      <c r="R188" s="184" t="n"/>
      <c r="S188" s="184" t="n"/>
      <c r="T188" s="165" t="n"/>
      <c r="U188" s="179" t="n"/>
      <c r="V188" s="179" t="n"/>
      <c r="W188" s="12" t="n"/>
      <c r="X188" s="12" t="n"/>
      <c r="Y188" s="12" t="n"/>
      <c r="Z188" s="12" t="n"/>
    </row>
    <row r="189" ht="45.75" customHeight="1" s="21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84" t="n"/>
      <c r="P189" s="184" t="n"/>
      <c r="Q189" s="184" t="n"/>
      <c r="R189" s="184" t="n"/>
      <c r="S189" s="184" t="n"/>
      <c r="T189" s="165" t="n"/>
      <c r="U189" s="179" t="n"/>
      <c r="V189" s="179" t="n"/>
      <c r="W189" s="12" t="n"/>
      <c r="X189" s="12" t="n"/>
      <c r="Y189" s="12" t="n"/>
      <c r="Z189" s="12" t="n"/>
    </row>
    <row r="190" ht="45.75" customHeight="1" s="21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84" t="n"/>
      <c r="P190" s="184" t="n"/>
      <c r="Q190" s="184" t="n"/>
      <c r="R190" s="184" t="n"/>
      <c r="S190" s="184" t="n"/>
      <c r="T190" s="165" t="n"/>
      <c r="U190" s="179" t="n"/>
      <c r="V190" s="179" t="n"/>
      <c r="W190" s="12" t="n"/>
      <c r="X190" s="12" t="n"/>
      <c r="Y190" s="12" t="n"/>
      <c r="Z190" s="12" t="n"/>
    </row>
    <row r="191" ht="45.75" customHeight="1" s="21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84" t="n"/>
      <c r="P191" s="184" t="n"/>
      <c r="Q191" s="184" t="n"/>
      <c r="R191" s="184" t="n"/>
      <c r="S191" s="184" t="n"/>
      <c r="T191" s="165" t="n"/>
      <c r="U191" s="179" t="n"/>
      <c r="V191" s="179" t="n"/>
      <c r="W191" s="12" t="n"/>
      <c r="X191" s="12" t="n"/>
      <c r="Y191" s="12" t="n"/>
      <c r="Z191" s="12" t="n"/>
    </row>
    <row r="192" ht="45.75" customHeight="1" s="21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84" t="n"/>
      <c r="P192" s="184" t="n"/>
      <c r="Q192" s="184" t="n"/>
      <c r="R192" s="184" t="n"/>
      <c r="S192" s="184" t="n"/>
      <c r="T192" s="165" t="n"/>
      <c r="U192" s="179" t="n"/>
      <c r="V192" s="179" t="n"/>
      <c r="W192" s="12" t="n"/>
      <c r="X192" s="12" t="n"/>
      <c r="Y192" s="12" t="n"/>
      <c r="Z192" s="12" t="n"/>
    </row>
    <row r="193" ht="45.75" customHeight="1" s="21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84" t="n"/>
      <c r="P193" s="184" t="n"/>
      <c r="Q193" s="184" t="n"/>
      <c r="R193" s="184" t="n"/>
      <c r="S193" s="184" t="n"/>
      <c r="T193" s="165" t="n"/>
      <c r="U193" s="179" t="n"/>
      <c r="V193" s="179" t="n"/>
      <c r="W193" s="12" t="n"/>
      <c r="X193" s="12" t="n"/>
      <c r="Y193" s="12" t="n"/>
      <c r="Z193" s="12" t="n"/>
    </row>
    <row r="194" ht="45.75" customHeight="1" s="21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84" t="n"/>
      <c r="P194" s="184" t="n"/>
      <c r="Q194" s="184" t="n"/>
      <c r="R194" s="184" t="n"/>
      <c r="S194" s="184" t="n"/>
      <c r="T194" s="165" t="n"/>
      <c r="U194" s="179" t="n"/>
      <c r="V194" s="179" t="n"/>
      <c r="W194" s="12" t="n"/>
      <c r="X194" s="12" t="n"/>
      <c r="Y194" s="12" t="n"/>
      <c r="Z194" s="12" t="n"/>
    </row>
    <row r="195" ht="45.75" customHeight="1" s="21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84" t="n"/>
      <c r="P195" s="184" t="n"/>
      <c r="Q195" s="184" t="n"/>
      <c r="R195" s="184" t="n"/>
      <c r="S195" s="184" t="n"/>
      <c r="T195" s="165" t="n"/>
      <c r="U195" s="179" t="n"/>
      <c r="V195" s="179" t="n"/>
      <c r="W195" s="12" t="n"/>
      <c r="X195" s="12" t="n"/>
      <c r="Y195" s="12" t="n"/>
      <c r="Z195" s="12" t="n"/>
    </row>
    <row r="196" ht="45.75" customHeight="1" s="21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84" t="n"/>
      <c r="P196" s="184" t="n"/>
      <c r="Q196" s="184" t="n"/>
      <c r="R196" s="184" t="n"/>
      <c r="S196" s="184" t="n"/>
      <c r="T196" s="165" t="n"/>
      <c r="U196" s="179" t="n"/>
      <c r="V196" s="179" t="n"/>
      <c r="W196" s="12" t="n"/>
      <c r="X196" s="12" t="n"/>
      <c r="Y196" s="12" t="n"/>
      <c r="Z196" s="12" t="n"/>
    </row>
    <row r="197" ht="45.75" customHeight="1" s="21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84" t="n"/>
      <c r="P197" s="184" t="n"/>
      <c r="Q197" s="184" t="n"/>
      <c r="R197" s="184" t="n"/>
      <c r="S197" s="184" t="n"/>
      <c r="T197" s="165" t="n"/>
      <c r="U197" s="179" t="n"/>
      <c r="V197" s="179" t="n"/>
      <c r="W197" s="12" t="n"/>
      <c r="X197" s="12" t="n"/>
      <c r="Y197" s="12" t="n"/>
      <c r="Z197" s="12" t="n"/>
    </row>
    <row r="198" ht="45.75" customHeight="1" s="21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84" t="n"/>
      <c r="P198" s="184" t="n"/>
      <c r="Q198" s="184" t="n"/>
      <c r="R198" s="184" t="n"/>
      <c r="S198" s="184" t="n"/>
      <c r="T198" s="165" t="n"/>
      <c r="U198" s="179" t="n"/>
      <c r="V198" s="179" t="n"/>
      <c r="W198" s="12" t="n"/>
      <c r="X198" s="12" t="n"/>
      <c r="Y198" s="12" t="n"/>
      <c r="Z198" s="12" t="n"/>
    </row>
    <row r="199" ht="45.75" customHeight="1" s="21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84" t="n"/>
      <c r="P199" s="184" t="n"/>
      <c r="Q199" s="184" t="n"/>
      <c r="R199" s="184" t="n"/>
      <c r="S199" s="184" t="n"/>
      <c r="T199" s="165" t="n"/>
      <c r="U199" s="179" t="n"/>
      <c r="V199" s="179" t="n"/>
      <c r="W199" s="12" t="n"/>
      <c r="X199" s="12" t="n"/>
      <c r="Y199" s="12" t="n"/>
      <c r="Z199" s="12" t="n"/>
    </row>
    <row r="200" ht="45.75" customHeight="1" s="21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84" t="n"/>
      <c r="P200" s="184" t="n"/>
      <c r="Q200" s="184" t="n"/>
      <c r="R200" s="184" t="n"/>
      <c r="S200" s="184" t="n"/>
      <c r="T200" s="165" t="n"/>
      <c r="U200" s="179" t="n"/>
      <c r="V200" s="179" t="n"/>
      <c r="W200" s="12" t="n"/>
      <c r="X200" s="12" t="n"/>
      <c r="Y200" s="12" t="n"/>
      <c r="Z200" s="12" t="n"/>
    </row>
    <row r="201" ht="45.75" customHeight="1" s="21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84" t="n"/>
      <c r="P201" s="184" t="n"/>
      <c r="Q201" s="184" t="n"/>
      <c r="R201" s="184" t="n"/>
      <c r="S201" s="184" t="n"/>
      <c r="T201" s="165" t="n"/>
      <c r="U201" s="179" t="n"/>
      <c r="V201" s="179" t="n"/>
      <c r="W201" s="12" t="n"/>
      <c r="X201" s="12" t="n"/>
      <c r="Y201" s="12" t="n"/>
      <c r="Z201" s="12" t="n"/>
    </row>
    <row r="202" ht="45.75" customHeight="1" s="21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84" t="n"/>
      <c r="P202" s="184" t="n"/>
      <c r="Q202" s="184" t="n"/>
      <c r="R202" s="184" t="n"/>
      <c r="S202" s="184" t="n"/>
      <c r="T202" s="165" t="n"/>
      <c r="U202" s="179" t="n"/>
      <c r="V202" s="179" t="n"/>
      <c r="W202" s="12" t="n"/>
      <c r="X202" s="12" t="n"/>
      <c r="Y202" s="12" t="n"/>
      <c r="Z202" s="12" t="n"/>
    </row>
    <row r="203" ht="45.75" customHeight="1" s="21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84" t="n"/>
      <c r="P203" s="184" t="n"/>
      <c r="Q203" s="184" t="n"/>
      <c r="R203" s="184" t="n"/>
      <c r="S203" s="184" t="n"/>
      <c r="T203" s="165" t="n"/>
      <c r="U203" s="179" t="n"/>
      <c r="V203" s="179" t="n"/>
      <c r="W203" s="12" t="n"/>
      <c r="X203" s="12" t="n"/>
      <c r="Y203" s="12" t="n"/>
      <c r="Z203" s="12" t="n"/>
    </row>
    <row r="204" ht="45.75" customHeight="1" s="21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84" t="n"/>
      <c r="P204" s="184" t="n"/>
      <c r="Q204" s="184" t="n"/>
      <c r="R204" s="184" t="n"/>
      <c r="S204" s="184" t="n"/>
      <c r="T204" s="165" t="n"/>
      <c r="U204" s="179" t="n"/>
      <c r="V204" s="179" t="n"/>
      <c r="W204" s="12" t="n"/>
      <c r="X204" s="12" t="n"/>
      <c r="Y204" s="12" t="n"/>
      <c r="Z204" s="12" t="n"/>
    </row>
    <row r="205" ht="45.75" customHeight="1" s="21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84" t="n"/>
      <c r="P205" s="184" t="n"/>
      <c r="Q205" s="184" t="n"/>
      <c r="R205" s="184" t="n"/>
      <c r="S205" s="184" t="n"/>
      <c r="T205" s="165" t="n"/>
      <c r="U205" s="179" t="n"/>
      <c r="V205" s="179" t="n"/>
      <c r="W205" s="12" t="n"/>
      <c r="X205" s="12" t="n"/>
      <c r="Y205" s="12" t="n"/>
      <c r="Z205" s="12" t="n"/>
    </row>
    <row r="206" ht="45.75" customHeight="1" s="21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84" t="n"/>
      <c r="P206" s="184" t="n"/>
      <c r="Q206" s="184" t="n"/>
      <c r="R206" s="184" t="n"/>
      <c r="S206" s="184" t="n"/>
      <c r="T206" s="165" t="n"/>
      <c r="U206" s="179" t="n"/>
      <c r="V206" s="179" t="n"/>
      <c r="W206" s="12" t="n"/>
      <c r="X206" s="12" t="n"/>
      <c r="Y206" s="12" t="n"/>
      <c r="Z206" s="12" t="n"/>
    </row>
    <row r="207" ht="45.75" customHeight="1" s="21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84" t="n"/>
      <c r="P207" s="184" t="n"/>
      <c r="Q207" s="184" t="n"/>
      <c r="R207" s="184" t="n"/>
      <c r="S207" s="184" t="n"/>
      <c r="T207" s="165" t="n"/>
      <c r="U207" s="179" t="n"/>
      <c r="V207" s="179" t="n"/>
      <c r="W207" s="12" t="n"/>
      <c r="X207" s="12" t="n"/>
      <c r="Y207" s="12" t="n"/>
      <c r="Z207" s="12" t="n"/>
    </row>
    <row r="208" ht="45.75" customHeight="1" s="21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84" t="n"/>
      <c r="P208" s="184" t="n"/>
      <c r="Q208" s="184" t="n"/>
      <c r="R208" s="184" t="n"/>
      <c r="S208" s="184" t="n"/>
      <c r="T208" s="165" t="n"/>
      <c r="U208" s="179" t="n"/>
      <c r="V208" s="179" t="n"/>
      <c r="W208" s="12" t="n"/>
      <c r="X208" s="12" t="n"/>
      <c r="Y208" s="12" t="n"/>
      <c r="Z208" s="12" t="n"/>
    </row>
    <row r="209" ht="45.75" customHeight="1" s="21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84" t="n"/>
      <c r="P209" s="184" t="n"/>
      <c r="Q209" s="184" t="n"/>
      <c r="R209" s="184" t="n"/>
      <c r="S209" s="184" t="n"/>
      <c r="T209" s="165" t="n"/>
      <c r="U209" s="179" t="n"/>
      <c r="V209" s="179" t="n"/>
      <c r="W209" s="12" t="n"/>
      <c r="X209" s="12" t="n"/>
      <c r="Y209" s="12" t="n"/>
      <c r="Z209" s="12" t="n"/>
    </row>
    <row r="210" ht="45.75" customHeight="1" s="21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84" t="n"/>
      <c r="P210" s="184" t="n"/>
      <c r="Q210" s="184" t="n"/>
      <c r="R210" s="184" t="n"/>
      <c r="S210" s="184" t="n"/>
      <c r="T210" s="165" t="n"/>
      <c r="U210" s="179" t="n"/>
      <c r="V210" s="179" t="n"/>
      <c r="W210" s="12" t="n"/>
      <c r="X210" s="12" t="n"/>
      <c r="Y210" s="12" t="n"/>
      <c r="Z210" s="12" t="n"/>
    </row>
    <row r="211" ht="45.75" customHeight="1" s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84" t="n"/>
      <c r="P211" s="184" t="n"/>
      <c r="Q211" s="184" t="n"/>
      <c r="R211" s="184" t="n"/>
      <c r="S211" s="184" t="n"/>
      <c r="T211" s="165" t="n"/>
      <c r="U211" s="179" t="n"/>
      <c r="V211" s="179" t="n"/>
      <c r="W211" s="12" t="n"/>
      <c r="X211" s="12" t="n"/>
      <c r="Y211" s="12" t="n"/>
      <c r="Z211" s="12" t="n"/>
    </row>
    <row r="212" ht="45.75" customHeight="1" s="21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84" t="n"/>
      <c r="P212" s="184" t="n"/>
      <c r="Q212" s="184" t="n"/>
      <c r="R212" s="184" t="n"/>
      <c r="S212" s="184" t="n"/>
      <c r="T212" s="165" t="n"/>
      <c r="U212" s="179" t="n"/>
      <c r="V212" s="179" t="n"/>
      <c r="W212" s="12" t="n"/>
      <c r="X212" s="12" t="n"/>
      <c r="Y212" s="12" t="n"/>
      <c r="Z212" s="12" t="n"/>
    </row>
    <row r="213" ht="45.75" customHeight="1" s="21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84" t="n"/>
      <c r="P213" s="184" t="n"/>
      <c r="Q213" s="184" t="n"/>
      <c r="R213" s="184" t="n"/>
      <c r="S213" s="184" t="n"/>
      <c r="T213" s="165" t="n"/>
      <c r="U213" s="179" t="n"/>
      <c r="V213" s="179" t="n"/>
      <c r="W213" s="12" t="n"/>
      <c r="X213" s="12" t="n"/>
      <c r="Y213" s="12" t="n"/>
      <c r="Z213" s="12" t="n"/>
    </row>
    <row r="214" ht="45.75" customHeight="1" s="21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84" t="n"/>
      <c r="P214" s="184" t="n"/>
      <c r="Q214" s="184" t="n"/>
      <c r="R214" s="184" t="n"/>
      <c r="S214" s="184" t="n"/>
      <c r="T214" s="165" t="n"/>
      <c r="U214" s="179" t="n"/>
      <c r="V214" s="179" t="n"/>
      <c r="W214" s="12" t="n"/>
      <c r="X214" s="12" t="n"/>
      <c r="Y214" s="12" t="n"/>
      <c r="Z214" s="12" t="n"/>
    </row>
    <row r="215" ht="45.75" customHeight="1" s="21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84" t="n"/>
      <c r="P215" s="184" t="n"/>
      <c r="Q215" s="184" t="n"/>
      <c r="R215" s="184" t="n"/>
      <c r="S215" s="184" t="n"/>
      <c r="T215" s="165" t="n"/>
      <c r="U215" s="179" t="n"/>
      <c r="V215" s="179" t="n"/>
      <c r="W215" s="12" t="n"/>
      <c r="X215" s="12" t="n"/>
      <c r="Y215" s="12" t="n"/>
      <c r="Z215" s="12" t="n"/>
    </row>
    <row r="216" ht="45.75" customHeight="1" s="21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84" t="n"/>
      <c r="P216" s="184" t="n"/>
      <c r="Q216" s="184" t="n"/>
      <c r="R216" s="184" t="n"/>
      <c r="S216" s="184" t="n"/>
      <c r="T216" s="165" t="n"/>
      <c r="U216" s="179" t="n"/>
      <c r="V216" s="179" t="n"/>
      <c r="W216" s="12" t="n"/>
      <c r="X216" s="12" t="n"/>
      <c r="Y216" s="12" t="n"/>
      <c r="Z216" s="12" t="n"/>
    </row>
    <row r="217" ht="45.75" customHeight="1" s="21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84" t="n"/>
      <c r="P217" s="184" t="n"/>
      <c r="Q217" s="184" t="n"/>
      <c r="R217" s="184" t="n"/>
      <c r="S217" s="184" t="n"/>
      <c r="T217" s="165" t="n"/>
      <c r="U217" s="179" t="n"/>
      <c r="V217" s="179" t="n"/>
      <c r="W217" s="12" t="n"/>
      <c r="X217" s="12" t="n"/>
      <c r="Y217" s="12" t="n"/>
      <c r="Z217" s="12" t="n"/>
    </row>
    <row r="218" ht="45.75" customHeight="1" s="21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84" t="n"/>
      <c r="P218" s="184" t="n"/>
      <c r="Q218" s="184" t="n"/>
      <c r="R218" s="184" t="n"/>
      <c r="S218" s="184" t="n"/>
      <c r="T218" s="165" t="n"/>
      <c r="U218" s="179" t="n"/>
      <c r="V218" s="179" t="n"/>
      <c r="W218" s="12" t="n"/>
      <c r="X218" s="12" t="n"/>
      <c r="Y218" s="12" t="n"/>
      <c r="Z218" s="12" t="n"/>
    </row>
    <row r="219" ht="45.75" customHeight="1" s="21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84" t="n"/>
      <c r="P219" s="184" t="n"/>
      <c r="Q219" s="184" t="n"/>
      <c r="R219" s="184" t="n"/>
      <c r="S219" s="184" t="n"/>
      <c r="T219" s="165" t="n"/>
      <c r="U219" s="179" t="n"/>
      <c r="V219" s="179" t="n"/>
      <c r="W219" s="12" t="n"/>
      <c r="X219" s="12" t="n"/>
      <c r="Y219" s="12" t="n"/>
      <c r="Z219" s="12" t="n"/>
    </row>
    <row r="220" ht="45.75" customHeight="1" s="21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84" t="n"/>
      <c r="P220" s="184" t="n"/>
      <c r="Q220" s="184" t="n"/>
      <c r="R220" s="184" t="n"/>
      <c r="S220" s="184" t="n"/>
      <c r="T220" s="165" t="n"/>
      <c r="U220" s="179" t="n"/>
      <c r="V220" s="179" t="n"/>
      <c r="W220" s="12" t="n"/>
      <c r="X220" s="12" t="n"/>
      <c r="Y220" s="12" t="n"/>
      <c r="Z220" s="12" t="n"/>
    </row>
    <row r="221" ht="45.75" customHeight="1" s="21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84" t="n"/>
      <c r="P221" s="184" t="n"/>
      <c r="Q221" s="184" t="n"/>
      <c r="R221" s="184" t="n"/>
      <c r="S221" s="184" t="n"/>
      <c r="T221" s="165" t="n"/>
      <c r="U221" s="179" t="n"/>
      <c r="V221" s="179" t="n"/>
      <c r="W221" s="12" t="n"/>
      <c r="X221" s="12" t="n"/>
      <c r="Y221" s="12" t="n"/>
      <c r="Z221" s="12" t="n"/>
    </row>
    <row r="222" ht="45.75" customHeight="1" s="21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84" t="n"/>
      <c r="P222" s="184" t="n"/>
      <c r="Q222" s="184" t="n"/>
      <c r="R222" s="184" t="n"/>
      <c r="S222" s="184" t="n"/>
      <c r="T222" s="165" t="n"/>
      <c r="U222" s="179" t="n"/>
      <c r="V222" s="179" t="n"/>
      <c r="W222" s="12" t="n"/>
      <c r="X222" s="12" t="n"/>
      <c r="Y222" s="12" t="n"/>
      <c r="Z222" s="12" t="n"/>
    </row>
    <row r="223" ht="45.75" customHeight="1" s="21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84" t="n"/>
      <c r="P223" s="184" t="n"/>
      <c r="Q223" s="184" t="n"/>
      <c r="R223" s="184" t="n"/>
      <c r="S223" s="184" t="n"/>
      <c r="T223" s="165" t="n"/>
      <c r="U223" s="179" t="n"/>
      <c r="V223" s="179" t="n"/>
      <c r="W223" s="12" t="n"/>
      <c r="X223" s="12" t="n"/>
      <c r="Y223" s="12" t="n"/>
      <c r="Z223" s="12" t="n"/>
    </row>
    <row r="224" ht="45.75" customHeight="1" s="21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84" t="n"/>
      <c r="P224" s="184" t="n"/>
      <c r="Q224" s="184" t="n"/>
      <c r="R224" s="184" t="n"/>
      <c r="S224" s="184" t="n"/>
      <c r="T224" s="165" t="n"/>
      <c r="U224" s="179" t="n"/>
      <c r="V224" s="179" t="n"/>
      <c r="W224" s="12" t="n"/>
      <c r="X224" s="12" t="n"/>
      <c r="Y224" s="12" t="n"/>
      <c r="Z224" s="12" t="n"/>
    </row>
    <row r="225" ht="45.75" customHeight="1" s="21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84" t="n"/>
      <c r="P225" s="184" t="n"/>
      <c r="Q225" s="184" t="n"/>
      <c r="R225" s="184" t="n"/>
      <c r="S225" s="184" t="n"/>
      <c r="T225" s="165" t="n"/>
      <c r="U225" s="179" t="n"/>
      <c r="V225" s="179" t="n"/>
      <c r="W225" s="12" t="n"/>
      <c r="X225" s="12" t="n"/>
      <c r="Y225" s="12" t="n"/>
      <c r="Z225" s="12" t="n"/>
    </row>
    <row r="226" ht="45.75" customHeight="1" s="21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84" t="n"/>
      <c r="P226" s="184" t="n"/>
      <c r="Q226" s="184" t="n"/>
      <c r="R226" s="184" t="n"/>
      <c r="S226" s="184" t="n"/>
      <c r="T226" s="165" t="n"/>
      <c r="U226" s="179" t="n"/>
      <c r="V226" s="179" t="n"/>
      <c r="W226" s="12" t="n"/>
      <c r="X226" s="12" t="n"/>
      <c r="Y226" s="12" t="n"/>
      <c r="Z226" s="12" t="n"/>
    </row>
    <row r="227" ht="45.75" customHeight="1" s="21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84" t="n"/>
      <c r="P227" s="184" t="n"/>
      <c r="Q227" s="184" t="n"/>
      <c r="R227" s="184" t="n"/>
      <c r="S227" s="184" t="n"/>
      <c r="T227" s="165" t="n"/>
      <c r="U227" s="179" t="n"/>
      <c r="V227" s="179" t="n"/>
      <c r="W227" s="12" t="n"/>
      <c r="X227" s="12" t="n"/>
      <c r="Y227" s="12" t="n"/>
      <c r="Z227" s="12" t="n"/>
    </row>
    <row r="228" ht="45.75" customHeight="1" s="21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84" t="n"/>
      <c r="P228" s="184" t="n"/>
      <c r="Q228" s="184" t="n"/>
      <c r="R228" s="184" t="n"/>
      <c r="S228" s="184" t="n"/>
      <c r="T228" s="165" t="n"/>
      <c r="U228" s="179" t="n"/>
      <c r="V228" s="179" t="n"/>
      <c r="W228" s="12" t="n"/>
      <c r="X228" s="12" t="n"/>
      <c r="Y228" s="12" t="n"/>
      <c r="Z228" s="12" t="n"/>
    </row>
    <row r="229" ht="45.75" customHeight="1" s="21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84" t="n"/>
      <c r="P229" s="184" t="n"/>
      <c r="Q229" s="184" t="n"/>
      <c r="R229" s="184" t="n"/>
      <c r="S229" s="184" t="n"/>
      <c r="T229" s="165" t="n"/>
      <c r="U229" s="179" t="n"/>
      <c r="V229" s="179" t="n"/>
      <c r="W229" s="12" t="n"/>
      <c r="X229" s="12" t="n"/>
      <c r="Y229" s="12" t="n"/>
      <c r="Z229" s="12" t="n"/>
    </row>
    <row r="230" ht="45.75" customHeight="1" s="21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84" t="n"/>
      <c r="P230" s="184" t="n"/>
      <c r="Q230" s="184" t="n"/>
      <c r="R230" s="184" t="n"/>
      <c r="S230" s="184" t="n"/>
      <c r="T230" s="165" t="n"/>
      <c r="U230" s="179" t="n"/>
      <c r="V230" s="179" t="n"/>
      <c r="W230" s="12" t="n"/>
      <c r="X230" s="12" t="n"/>
      <c r="Y230" s="12" t="n"/>
      <c r="Z230" s="12" t="n"/>
    </row>
    <row r="231" ht="45.75" customHeight="1" s="21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84" t="n"/>
      <c r="P231" s="184" t="n"/>
      <c r="Q231" s="184" t="n"/>
      <c r="R231" s="184" t="n"/>
      <c r="S231" s="184" t="n"/>
      <c r="T231" s="165" t="n"/>
      <c r="U231" s="179" t="n"/>
      <c r="V231" s="179" t="n"/>
      <c r="W231" s="12" t="n"/>
      <c r="X231" s="12" t="n"/>
      <c r="Y231" s="12" t="n"/>
      <c r="Z231" s="12" t="n"/>
    </row>
    <row r="232" ht="45.75" customHeight="1" s="21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84" t="n"/>
      <c r="P232" s="184" t="n"/>
      <c r="Q232" s="184" t="n"/>
      <c r="R232" s="184" t="n"/>
      <c r="S232" s="184" t="n"/>
      <c r="T232" s="165" t="n"/>
      <c r="U232" s="179" t="n"/>
      <c r="V232" s="179" t="n"/>
      <c r="W232" s="12" t="n"/>
      <c r="X232" s="12" t="n"/>
      <c r="Y232" s="12" t="n"/>
      <c r="Z232" s="12" t="n"/>
    </row>
    <row r="233" ht="45.75" customHeight="1" s="21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84" t="n"/>
      <c r="P233" s="184" t="n"/>
      <c r="Q233" s="184" t="n"/>
      <c r="R233" s="184" t="n"/>
      <c r="S233" s="184" t="n"/>
      <c r="T233" s="165" t="n"/>
      <c r="U233" s="179" t="n"/>
      <c r="V233" s="179" t="n"/>
      <c r="W233" s="12" t="n"/>
      <c r="X233" s="12" t="n"/>
      <c r="Y233" s="12" t="n"/>
      <c r="Z233" s="12" t="n"/>
    </row>
    <row r="234" ht="45.75" customHeight="1" s="21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84" t="n"/>
      <c r="P234" s="184" t="n"/>
      <c r="Q234" s="184" t="n"/>
      <c r="R234" s="184" t="n"/>
      <c r="S234" s="184" t="n"/>
      <c r="T234" s="165" t="n"/>
      <c r="U234" s="179" t="n"/>
      <c r="V234" s="179" t="n"/>
      <c r="W234" s="12" t="n"/>
      <c r="X234" s="12" t="n"/>
      <c r="Y234" s="12" t="n"/>
      <c r="Z234" s="12" t="n"/>
    </row>
    <row r="235" ht="45.75" customHeight="1" s="21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84" t="n"/>
      <c r="P235" s="184" t="n"/>
      <c r="Q235" s="184" t="n"/>
      <c r="R235" s="184" t="n"/>
      <c r="S235" s="184" t="n"/>
      <c r="T235" s="165" t="n"/>
      <c r="U235" s="179" t="n"/>
      <c r="V235" s="179" t="n"/>
      <c r="W235" s="12" t="n"/>
      <c r="X235" s="12" t="n"/>
      <c r="Y235" s="12" t="n"/>
      <c r="Z235" s="12" t="n"/>
    </row>
    <row r="236" ht="45.75" customHeight="1" s="21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84" t="n"/>
      <c r="P236" s="184" t="n"/>
      <c r="Q236" s="184" t="n"/>
      <c r="R236" s="184" t="n"/>
      <c r="S236" s="184" t="n"/>
      <c r="T236" s="165" t="n"/>
      <c r="U236" s="179" t="n"/>
      <c r="V236" s="179" t="n"/>
      <c r="W236" s="12" t="n"/>
      <c r="X236" s="12" t="n"/>
      <c r="Y236" s="12" t="n"/>
      <c r="Z236" s="12" t="n"/>
    </row>
    <row r="237" ht="45.75" customHeight="1" s="21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84" t="n"/>
      <c r="P237" s="184" t="n"/>
      <c r="Q237" s="184" t="n"/>
      <c r="R237" s="184" t="n"/>
      <c r="S237" s="184" t="n"/>
      <c r="T237" s="165" t="n"/>
      <c r="U237" s="179" t="n"/>
      <c r="V237" s="179" t="n"/>
      <c r="W237" s="12" t="n"/>
      <c r="X237" s="12" t="n"/>
      <c r="Y237" s="12" t="n"/>
      <c r="Z237" s="12" t="n"/>
    </row>
    <row r="238" ht="45.75" customHeight="1" s="21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84" t="n"/>
      <c r="P238" s="184" t="n"/>
      <c r="Q238" s="184" t="n"/>
      <c r="R238" s="184" t="n"/>
      <c r="S238" s="184" t="n"/>
      <c r="T238" s="165" t="n"/>
      <c r="U238" s="179" t="n"/>
      <c r="V238" s="179" t="n"/>
      <c r="W238" s="12" t="n"/>
      <c r="X238" s="12" t="n"/>
      <c r="Y238" s="12" t="n"/>
      <c r="Z238" s="12" t="n"/>
    </row>
    <row r="239" ht="45.75" customHeight="1" s="21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84" t="n"/>
      <c r="P239" s="184" t="n"/>
      <c r="Q239" s="184" t="n"/>
      <c r="R239" s="184" t="n"/>
      <c r="S239" s="184" t="n"/>
      <c r="T239" s="165" t="n"/>
      <c r="U239" s="179" t="n"/>
      <c r="V239" s="179" t="n"/>
      <c r="W239" s="12" t="n"/>
      <c r="X239" s="12" t="n"/>
      <c r="Y239" s="12" t="n"/>
      <c r="Z239" s="12" t="n"/>
    </row>
    <row r="240" ht="45.75" customHeight="1" s="21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84" t="n"/>
      <c r="P240" s="184" t="n"/>
      <c r="Q240" s="184" t="n"/>
      <c r="R240" s="184" t="n"/>
      <c r="S240" s="184" t="n"/>
      <c r="T240" s="165" t="n"/>
      <c r="U240" s="179" t="n"/>
      <c r="V240" s="179" t="n"/>
      <c r="W240" s="12" t="n"/>
      <c r="X240" s="12" t="n"/>
      <c r="Y240" s="12" t="n"/>
      <c r="Z240" s="12" t="n"/>
    </row>
    <row r="241" ht="45.75" customHeight="1" s="21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84" t="n"/>
      <c r="P241" s="184" t="n"/>
      <c r="Q241" s="184" t="n"/>
      <c r="R241" s="184" t="n"/>
      <c r="S241" s="184" t="n"/>
      <c r="T241" s="165" t="n"/>
      <c r="U241" s="179" t="n"/>
      <c r="V241" s="179" t="n"/>
      <c r="W241" s="12" t="n"/>
      <c r="X241" s="12" t="n"/>
      <c r="Y241" s="12" t="n"/>
      <c r="Z241" s="12" t="n"/>
    </row>
    <row r="242" ht="45.75" customHeight="1" s="21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84" t="n"/>
      <c r="P242" s="184" t="n"/>
      <c r="Q242" s="184" t="n"/>
      <c r="R242" s="184" t="n"/>
      <c r="S242" s="184" t="n"/>
      <c r="T242" s="165" t="n"/>
      <c r="U242" s="179" t="n"/>
      <c r="V242" s="179" t="n"/>
      <c r="W242" s="12" t="n"/>
      <c r="X242" s="12" t="n"/>
      <c r="Y242" s="12" t="n"/>
      <c r="Z242" s="12" t="n"/>
    </row>
    <row r="243" ht="45.75" customHeight="1" s="21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84" t="n"/>
      <c r="P243" s="184" t="n"/>
      <c r="Q243" s="184" t="n"/>
      <c r="R243" s="184" t="n"/>
      <c r="S243" s="184" t="n"/>
      <c r="T243" s="165" t="n"/>
      <c r="U243" s="179" t="n"/>
      <c r="V243" s="179" t="n"/>
      <c r="W243" s="12" t="n"/>
      <c r="X243" s="12" t="n"/>
      <c r="Y243" s="12" t="n"/>
      <c r="Z243" s="12" t="n"/>
    </row>
    <row r="244" ht="45.75" customHeight="1" s="21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84" t="n"/>
      <c r="P244" s="184" t="n"/>
      <c r="Q244" s="184" t="n"/>
      <c r="R244" s="184" t="n"/>
      <c r="S244" s="184" t="n"/>
      <c r="T244" s="165" t="n"/>
      <c r="U244" s="179" t="n"/>
      <c r="V244" s="179" t="n"/>
      <c r="W244" s="12" t="n"/>
      <c r="X244" s="12" t="n"/>
      <c r="Y244" s="12" t="n"/>
      <c r="Z244" s="12" t="n"/>
    </row>
    <row r="245" ht="45.75" customHeight="1" s="21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84" t="n"/>
      <c r="P245" s="184" t="n"/>
      <c r="Q245" s="184" t="n"/>
      <c r="R245" s="184" t="n"/>
      <c r="S245" s="184" t="n"/>
      <c r="T245" s="165" t="n"/>
      <c r="U245" s="179" t="n"/>
      <c r="V245" s="179" t="n"/>
      <c r="W245" s="12" t="n"/>
      <c r="X245" s="12" t="n"/>
      <c r="Y245" s="12" t="n"/>
      <c r="Z245" s="12" t="n"/>
    </row>
    <row r="246" ht="45.75" customHeight="1" s="21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84" t="n"/>
      <c r="P246" s="184" t="n"/>
      <c r="Q246" s="184" t="n"/>
      <c r="R246" s="184" t="n"/>
      <c r="S246" s="184" t="n"/>
      <c r="T246" s="165" t="n"/>
      <c r="U246" s="179" t="n"/>
      <c r="V246" s="179" t="n"/>
      <c r="W246" s="12" t="n"/>
      <c r="X246" s="12" t="n"/>
      <c r="Y246" s="12" t="n"/>
      <c r="Z246" s="12" t="n"/>
    </row>
    <row r="247" ht="45.75" customHeight="1" s="21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84" t="n"/>
      <c r="P247" s="184" t="n"/>
      <c r="Q247" s="184" t="n"/>
      <c r="R247" s="184" t="n"/>
      <c r="S247" s="184" t="n"/>
      <c r="T247" s="165" t="n"/>
      <c r="U247" s="179" t="n"/>
      <c r="V247" s="179" t="n"/>
      <c r="W247" s="12" t="n"/>
      <c r="X247" s="12" t="n"/>
      <c r="Y247" s="12" t="n"/>
      <c r="Z247" s="12" t="n"/>
    </row>
    <row r="248" ht="45.75" customHeight="1" s="21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84" t="n"/>
      <c r="P248" s="184" t="n"/>
      <c r="Q248" s="184" t="n"/>
      <c r="R248" s="184" t="n"/>
      <c r="S248" s="184" t="n"/>
      <c r="T248" s="165" t="n"/>
      <c r="U248" s="179" t="n"/>
      <c r="V248" s="179" t="n"/>
      <c r="W248" s="12" t="n"/>
      <c r="X248" s="12" t="n"/>
      <c r="Y248" s="12" t="n"/>
      <c r="Z248" s="12" t="n"/>
    </row>
    <row r="249" ht="45.75" customHeight="1" s="21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84" t="n"/>
      <c r="P249" s="184" t="n"/>
      <c r="Q249" s="184" t="n"/>
      <c r="R249" s="184" t="n"/>
      <c r="S249" s="184" t="n"/>
      <c r="T249" s="165" t="n"/>
      <c r="U249" s="179" t="n"/>
      <c r="V249" s="179" t="n"/>
      <c r="W249" s="12" t="n"/>
      <c r="X249" s="12" t="n"/>
      <c r="Y249" s="12" t="n"/>
      <c r="Z249" s="12" t="n"/>
    </row>
    <row r="250" ht="45.75" customHeight="1" s="21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84" t="n"/>
      <c r="P250" s="184" t="n"/>
      <c r="Q250" s="184" t="n"/>
      <c r="R250" s="184" t="n"/>
      <c r="S250" s="184" t="n"/>
      <c r="T250" s="165" t="n"/>
      <c r="U250" s="179" t="n"/>
      <c r="V250" s="179" t="n"/>
      <c r="W250" s="12" t="n"/>
      <c r="X250" s="12" t="n"/>
      <c r="Y250" s="12" t="n"/>
      <c r="Z250" s="12" t="n"/>
    </row>
    <row r="251" ht="45.75" customHeight="1" s="21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84" t="n"/>
      <c r="P251" s="184" t="n"/>
      <c r="Q251" s="184" t="n"/>
      <c r="R251" s="184" t="n"/>
      <c r="S251" s="184" t="n"/>
      <c r="T251" s="165" t="n"/>
      <c r="U251" s="179" t="n"/>
      <c r="V251" s="179" t="n"/>
      <c r="W251" s="12" t="n"/>
      <c r="X251" s="12" t="n"/>
      <c r="Y251" s="12" t="n"/>
      <c r="Z251" s="12" t="n"/>
    </row>
    <row r="252" ht="45.75" customHeight="1" s="21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84" t="n"/>
      <c r="P252" s="184" t="n"/>
      <c r="Q252" s="184" t="n"/>
      <c r="R252" s="184" t="n"/>
      <c r="S252" s="184" t="n"/>
      <c r="T252" s="165" t="n"/>
      <c r="U252" s="179" t="n"/>
      <c r="V252" s="179" t="n"/>
      <c r="W252" s="12" t="n"/>
      <c r="X252" s="12" t="n"/>
      <c r="Y252" s="12" t="n"/>
      <c r="Z252" s="12" t="n"/>
    </row>
    <row r="253" ht="45.75" customHeight="1" s="21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84" t="n"/>
      <c r="P253" s="184" t="n"/>
      <c r="Q253" s="184" t="n"/>
      <c r="R253" s="184" t="n"/>
      <c r="S253" s="184" t="n"/>
      <c r="T253" s="165" t="n"/>
      <c r="U253" s="179" t="n"/>
      <c r="V253" s="179" t="n"/>
      <c r="W253" s="12" t="n"/>
      <c r="X253" s="12" t="n"/>
      <c r="Y253" s="12" t="n"/>
      <c r="Z253" s="12" t="n"/>
    </row>
    <row r="254" ht="45.75" customHeight="1" s="21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84" t="n"/>
      <c r="P254" s="184" t="n"/>
      <c r="Q254" s="184" t="n"/>
      <c r="R254" s="184" t="n"/>
      <c r="S254" s="184" t="n"/>
      <c r="T254" s="165" t="n"/>
      <c r="U254" s="179" t="n"/>
      <c r="V254" s="179" t="n"/>
      <c r="W254" s="12" t="n"/>
      <c r="X254" s="12" t="n"/>
      <c r="Y254" s="12" t="n"/>
      <c r="Z254" s="12" t="n"/>
    </row>
    <row r="255" ht="45.75" customHeight="1" s="21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84" t="n"/>
      <c r="P255" s="184" t="n"/>
      <c r="Q255" s="184" t="n"/>
      <c r="R255" s="184" t="n"/>
      <c r="S255" s="184" t="n"/>
      <c r="T255" s="165" t="n"/>
      <c r="U255" s="179" t="n"/>
      <c r="V255" s="179" t="n"/>
      <c r="W255" s="12" t="n"/>
      <c r="X255" s="12" t="n"/>
      <c r="Y255" s="12" t="n"/>
      <c r="Z255" s="12" t="n"/>
    </row>
    <row r="256" ht="45.75" customHeight="1" s="21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84" t="n"/>
      <c r="P256" s="184" t="n"/>
      <c r="Q256" s="184" t="n"/>
      <c r="R256" s="184" t="n"/>
      <c r="S256" s="184" t="n"/>
      <c r="T256" s="165" t="n"/>
      <c r="U256" s="179" t="n"/>
      <c r="V256" s="179" t="n"/>
      <c r="W256" s="12" t="n"/>
      <c r="X256" s="12" t="n"/>
      <c r="Y256" s="12" t="n"/>
      <c r="Z256" s="12" t="n"/>
    </row>
    <row r="257" ht="45.75" customHeight="1" s="21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84" t="n"/>
      <c r="P257" s="184" t="n"/>
      <c r="Q257" s="184" t="n"/>
      <c r="R257" s="184" t="n"/>
      <c r="S257" s="184" t="n"/>
      <c r="T257" s="165" t="n"/>
      <c r="U257" s="179" t="n"/>
      <c r="V257" s="179" t="n"/>
      <c r="W257" s="12" t="n"/>
      <c r="X257" s="12" t="n"/>
      <c r="Y257" s="12" t="n"/>
      <c r="Z257" s="12" t="n"/>
    </row>
    <row r="258" ht="45.75" customHeight="1" s="21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84" t="n"/>
      <c r="P258" s="184" t="n"/>
      <c r="Q258" s="184" t="n"/>
      <c r="R258" s="184" t="n"/>
      <c r="S258" s="184" t="n"/>
      <c r="T258" s="165" t="n"/>
      <c r="U258" s="179" t="n"/>
      <c r="V258" s="179" t="n"/>
      <c r="W258" s="12" t="n"/>
      <c r="X258" s="12" t="n"/>
      <c r="Y258" s="12" t="n"/>
      <c r="Z258" s="12" t="n"/>
    </row>
    <row r="259" ht="45.75" customHeight="1" s="21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84" t="n"/>
      <c r="P259" s="184" t="n"/>
      <c r="Q259" s="184" t="n"/>
      <c r="R259" s="184" t="n"/>
      <c r="S259" s="184" t="n"/>
      <c r="T259" s="165" t="n"/>
      <c r="U259" s="179" t="n"/>
      <c r="V259" s="179" t="n"/>
      <c r="W259" s="12" t="n"/>
      <c r="X259" s="12" t="n"/>
      <c r="Y259" s="12" t="n"/>
      <c r="Z259" s="12" t="n"/>
    </row>
    <row r="260" ht="45.75" customHeight="1" s="21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84" t="n"/>
      <c r="P260" s="184" t="n"/>
      <c r="Q260" s="184" t="n"/>
      <c r="R260" s="184" t="n"/>
      <c r="S260" s="184" t="n"/>
      <c r="T260" s="165" t="n"/>
      <c r="U260" s="179" t="n"/>
      <c r="V260" s="179" t="n"/>
      <c r="W260" s="12" t="n"/>
      <c r="X260" s="12" t="n"/>
      <c r="Y260" s="12" t="n"/>
      <c r="Z260" s="12" t="n"/>
    </row>
    <row r="261" ht="45.75" customHeight="1" s="21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84" t="n"/>
      <c r="P261" s="184" t="n"/>
      <c r="Q261" s="184" t="n"/>
      <c r="R261" s="184" t="n"/>
      <c r="S261" s="184" t="n"/>
      <c r="T261" s="165" t="n"/>
      <c r="U261" s="179" t="n"/>
      <c r="V261" s="179" t="n"/>
      <c r="W261" s="12" t="n"/>
      <c r="X261" s="12" t="n"/>
      <c r="Y261" s="12" t="n"/>
      <c r="Z261" s="12" t="n"/>
    </row>
    <row r="262" ht="45.75" customHeight="1" s="21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84" t="n"/>
      <c r="P262" s="184" t="n"/>
      <c r="Q262" s="184" t="n"/>
      <c r="R262" s="184" t="n"/>
      <c r="S262" s="184" t="n"/>
      <c r="T262" s="165" t="n"/>
      <c r="U262" s="179" t="n"/>
      <c r="V262" s="179" t="n"/>
      <c r="W262" s="12" t="n"/>
      <c r="X262" s="12" t="n"/>
      <c r="Y262" s="12" t="n"/>
      <c r="Z262" s="12" t="n"/>
    </row>
    <row r="263" ht="45.75" customHeight="1" s="21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84" t="n"/>
      <c r="P263" s="184" t="n"/>
      <c r="Q263" s="184" t="n"/>
      <c r="R263" s="184" t="n"/>
      <c r="S263" s="184" t="n"/>
      <c r="T263" s="165" t="n"/>
      <c r="U263" s="179" t="n"/>
      <c r="V263" s="179" t="n"/>
      <c r="W263" s="12" t="n"/>
      <c r="X263" s="12" t="n"/>
      <c r="Y263" s="12" t="n"/>
      <c r="Z263" s="12" t="n"/>
    </row>
    <row r="264" ht="45.75" customHeight="1" s="21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84" t="n"/>
      <c r="P264" s="184" t="n"/>
      <c r="Q264" s="184" t="n"/>
      <c r="R264" s="184" t="n"/>
      <c r="S264" s="184" t="n"/>
      <c r="T264" s="165" t="n"/>
      <c r="U264" s="179" t="n"/>
      <c r="V264" s="179" t="n"/>
      <c r="W264" s="12" t="n"/>
      <c r="X264" s="12" t="n"/>
      <c r="Y264" s="12" t="n"/>
      <c r="Z264" s="12" t="n"/>
    </row>
    <row r="265" ht="45.75" customHeight="1" s="21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84" t="n"/>
      <c r="P265" s="184" t="n"/>
      <c r="Q265" s="184" t="n"/>
      <c r="R265" s="184" t="n"/>
      <c r="S265" s="184" t="n"/>
      <c r="T265" s="165" t="n"/>
      <c r="U265" s="179" t="n"/>
      <c r="V265" s="179" t="n"/>
      <c r="W265" s="12" t="n"/>
      <c r="X265" s="12" t="n"/>
      <c r="Y265" s="12" t="n"/>
      <c r="Z265" s="12" t="n"/>
    </row>
    <row r="266" ht="45.75" customHeight="1" s="21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84" t="n"/>
      <c r="P266" s="184" t="n"/>
      <c r="Q266" s="184" t="n"/>
      <c r="R266" s="184" t="n"/>
      <c r="S266" s="184" t="n"/>
      <c r="T266" s="165" t="n"/>
      <c r="U266" s="179" t="n"/>
      <c r="V266" s="179" t="n"/>
      <c r="W266" s="12" t="n"/>
      <c r="X266" s="12" t="n"/>
      <c r="Y266" s="12" t="n"/>
      <c r="Z266" s="12" t="n"/>
    </row>
    <row r="267" ht="45.75" customHeight="1" s="21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84" t="n"/>
      <c r="P267" s="184" t="n"/>
      <c r="Q267" s="184" t="n"/>
      <c r="R267" s="184" t="n"/>
      <c r="S267" s="184" t="n"/>
      <c r="T267" s="165" t="n"/>
      <c r="U267" s="179" t="n"/>
      <c r="V267" s="179" t="n"/>
      <c r="W267" s="12" t="n"/>
      <c r="X267" s="12" t="n"/>
      <c r="Y267" s="12" t="n"/>
      <c r="Z267" s="12" t="n"/>
    </row>
    <row r="268" ht="45.75" customHeight="1" s="21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84" t="n"/>
      <c r="P268" s="184" t="n"/>
      <c r="Q268" s="184" t="n"/>
      <c r="R268" s="184" t="n"/>
      <c r="S268" s="184" t="n"/>
      <c r="T268" s="165" t="n"/>
      <c r="U268" s="179" t="n"/>
      <c r="V268" s="179" t="n"/>
      <c r="W268" s="12" t="n"/>
      <c r="X268" s="12" t="n"/>
      <c r="Y268" s="12" t="n"/>
      <c r="Z268" s="12" t="n"/>
    </row>
    <row r="269" ht="45.75" customHeight="1" s="21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84" t="n"/>
      <c r="P269" s="184" t="n"/>
      <c r="Q269" s="184" t="n"/>
      <c r="R269" s="184" t="n"/>
      <c r="S269" s="184" t="n"/>
      <c r="T269" s="165" t="n"/>
      <c r="U269" s="179" t="n"/>
      <c r="V269" s="179" t="n"/>
      <c r="W269" s="12" t="n"/>
      <c r="X269" s="12" t="n"/>
      <c r="Y269" s="12" t="n"/>
      <c r="Z269" s="12" t="n"/>
    </row>
    <row r="270" ht="45.75" customHeight="1" s="21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84" t="n"/>
      <c r="P270" s="184" t="n"/>
      <c r="Q270" s="184" t="n"/>
      <c r="R270" s="184" t="n"/>
      <c r="S270" s="184" t="n"/>
      <c r="T270" s="165" t="n"/>
      <c r="U270" s="179" t="n"/>
      <c r="V270" s="179" t="n"/>
      <c r="W270" s="12" t="n"/>
      <c r="X270" s="12" t="n"/>
      <c r="Y270" s="12" t="n"/>
      <c r="Z270" s="12" t="n"/>
    </row>
    <row r="271" ht="45.75" customHeight="1" s="21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84" t="n"/>
      <c r="P271" s="184" t="n"/>
      <c r="Q271" s="184" t="n"/>
      <c r="R271" s="184" t="n"/>
      <c r="S271" s="184" t="n"/>
      <c r="T271" s="165" t="n"/>
      <c r="U271" s="179" t="n"/>
      <c r="V271" s="179" t="n"/>
      <c r="W271" s="12" t="n"/>
      <c r="X271" s="12" t="n"/>
      <c r="Y271" s="12" t="n"/>
      <c r="Z271" s="12" t="n"/>
    </row>
    <row r="272" ht="45.75" customHeight="1" s="21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84" t="n"/>
      <c r="P272" s="184" t="n"/>
      <c r="Q272" s="184" t="n"/>
      <c r="R272" s="184" t="n"/>
      <c r="S272" s="184" t="n"/>
      <c r="T272" s="165" t="n"/>
      <c r="U272" s="179" t="n"/>
      <c r="V272" s="179" t="n"/>
      <c r="W272" s="12" t="n"/>
      <c r="X272" s="12" t="n"/>
      <c r="Y272" s="12" t="n"/>
      <c r="Z272" s="12" t="n"/>
    </row>
    <row r="273" ht="45.75" customHeight="1" s="21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84" t="n"/>
      <c r="P273" s="184" t="n"/>
      <c r="Q273" s="184" t="n"/>
      <c r="R273" s="184" t="n"/>
      <c r="S273" s="184" t="n"/>
      <c r="T273" s="165" t="n"/>
      <c r="U273" s="179" t="n"/>
      <c r="V273" s="179" t="n"/>
      <c r="W273" s="12" t="n"/>
      <c r="X273" s="12" t="n"/>
      <c r="Y273" s="12" t="n"/>
      <c r="Z273" s="12" t="n"/>
    </row>
    <row r="274" ht="45.75" customHeight="1" s="21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84" t="n"/>
      <c r="P274" s="184" t="n"/>
      <c r="Q274" s="184" t="n"/>
      <c r="R274" s="184" t="n"/>
      <c r="S274" s="184" t="n"/>
      <c r="T274" s="165" t="n"/>
      <c r="U274" s="179" t="n"/>
      <c r="V274" s="179" t="n"/>
      <c r="W274" s="12" t="n"/>
      <c r="X274" s="12" t="n"/>
      <c r="Y274" s="12" t="n"/>
      <c r="Z274" s="12" t="n"/>
    </row>
    <row r="275" ht="45.75" customHeight="1" s="21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84" t="n"/>
      <c r="P275" s="184" t="n"/>
      <c r="Q275" s="184" t="n"/>
      <c r="R275" s="184" t="n"/>
      <c r="S275" s="184" t="n"/>
      <c r="T275" s="165" t="n"/>
      <c r="U275" s="179" t="n"/>
      <c r="V275" s="179" t="n"/>
      <c r="W275" s="12" t="n"/>
      <c r="X275" s="12" t="n"/>
      <c r="Y275" s="12" t="n"/>
      <c r="Z275" s="12" t="n"/>
    </row>
    <row r="276" ht="45.75" customHeight="1" s="21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84" t="n"/>
      <c r="P276" s="184" t="n"/>
      <c r="Q276" s="184" t="n"/>
      <c r="R276" s="184" t="n"/>
      <c r="S276" s="184" t="n"/>
      <c r="T276" s="165" t="n"/>
      <c r="U276" s="179" t="n"/>
      <c r="V276" s="179" t="n"/>
      <c r="W276" s="12" t="n"/>
      <c r="X276" s="12" t="n"/>
      <c r="Y276" s="12" t="n"/>
      <c r="Z276" s="12" t="n"/>
    </row>
    <row r="277" ht="45.75" customHeight="1" s="21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84" t="n"/>
      <c r="P277" s="184" t="n"/>
      <c r="Q277" s="184" t="n"/>
      <c r="R277" s="184" t="n"/>
      <c r="S277" s="184" t="n"/>
      <c r="T277" s="165" t="n"/>
      <c r="U277" s="179" t="n"/>
      <c r="V277" s="179" t="n"/>
      <c r="W277" s="12" t="n"/>
      <c r="X277" s="12" t="n"/>
      <c r="Y277" s="12" t="n"/>
      <c r="Z277" s="12" t="n"/>
    </row>
    <row r="278" ht="45.75" customHeight="1" s="21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84" t="n"/>
      <c r="P278" s="184" t="n"/>
      <c r="Q278" s="184" t="n"/>
      <c r="R278" s="184" t="n"/>
      <c r="S278" s="184" t="n"/>
      <c r="T278" s="165" t="n"/>
      <c r="U278" s="179" t="n"/>
      <c r="V278" s="179" t="n"/>
      <c r="W278" s="12" t="n"/>
      <c r="X278" s="12" t="n"/>
      <c r="Y278" s="12" t="n"/>
      <c r="Z278" s="12" t="n"/>
    </row>
    <row r="279" ht="45.75" customHeight="1" s="21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84" t="n"/>
      <c r="P279" s="184" t="n"/>
      <c r="Q279" s="184" t="n"/>
      <c r="R279" s="184" t="n"/>
      <c r="S279" s="184" t="n"/>
      <c r="T279" s="165" t="n"/>
      <c r="U279" s="179" t="n"/>
      <c r="V279" s="179" t="n"/>
      <c r="W279" s="12" t="n"/>
      <c r="X279" s="12" t="n"/>
      <c r="Y279" s="12" t="n"/>
      <c r="Z279" s="12" t="n"/>
    </row>
    <row r="280" ht="45.75" customHeight="1" s="21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84" t="n"/>
      <c r="P280" s="184" t="n"/>
      <c r="Q280" s="184" t="n"/>
      <c r="R280" s="184" t="n"/>
      <c r="S280" s="184" t="n"/>
      <c r="T280" s="165" t="n"/>
      <c r="U280" s="179" t="n"/>
      <c r="V280" s="179" t="n"/>
      <c r="W280" s="12" t="n"/>
      <c r="X280" s="12" t="n"/>
      <c r="Y280" s="12" t="n"/>
      <c r="Z280" s="12" t="n"/>
    </row>
    <row r="281" ht="45.75" customHeight="1" s="21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84" t="n"/>
      <c r="P281" s="184" t="n"/>
      <c r="Q281" s="184" t="n"/>
      <c r="R281" s="184" t="n"/>
      <c r="S281" s="184" t="n"/>
      <c r="T281" s="165" t="n"/>
      <c r="U281" s="179" t="n"/>
      <c r="V281" s="179" t="n"/>
      <c r="W281" s="12" t="n"/>
      <c r="X281" s="12" t="n"/>
      <c r="Y281" s="12" t="n"/>
      <c r="Z281" s="12" t="n"/>
    </row>
    <row r="282" ht="45.75" customHeight="1" s="21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84" t="n"/>
      <c r="P282" s="184" t="n"/>
      <c r="Q282" s="184" t="n"/>
      <c r="R282" s="184" t="n"/>
      <c r="S282" s="184" t="n"/>
      <c r="T282" s="165" t="n"/>
      <c r="U282" s="179" t="n"/>
      <c r="V282" s="179" t="n"/>
      <c r="W282" s="12" t="n"/>
      <c r="X282" s="12" t="n"/>
      <c r="Y282" s="12" t="n"/>
      <c r="Z282" s="12" t="n"/>
    </row>
    <row r="283" ht="45.75" customHeight="1" s="21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84" t="n"/>
      <c r="P283" s="184" t="n"/>
      <c r="Q283" s="184" t="n"/>
      <c r="R283" s="184" t="n"/>
      <c r="S283" s="184" t="n"/>
      <c r="T283" s="165" t="n"/>
      <c r="U283" s="179" t="n"/>
      <c r="V283" s="179" t="n"/>
      <c r="W283" s="12" t="n"/>
      <c r="X283" s="12" t="n"/>
      <c r="Y283" s="12" t="n"/>
      <c r="Z283" s="12" t="n"/>
    </row>
    <row r="284" ht="45.75" customHeight="1" s="21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84" t="n"/>
      <c r="P284" s="184" t="n"/>
      <c r="Q284" s="184" t="n"/>
      <c r="R284" s="184" t="n"/>
      <c r="S284" s="184" t="n"/>
      <c r="T284" s="165" t="n"/>
      <c r="U284" s="179" t="n"/>
      <c r="V284" s="179" t="n"/>
      <c r="W284" s="12" t="n"/>
      <c r="X284" s="12" t="n"/>
      <c r="Y284" s="12" t="n"/>
      <c r="Z284" s="12" t="n"/>
    </row>
    <row r="285" ht="45.75" customHeight="1" s="21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84" t="n"/>
      <c r="P285" s="184" t="n"/>
      <c r="Q285" s="184" t="n"/>
      <c r="R285" s="184" t="n"/>
      <c r="S285" s="184" t="n"/>
      <c r="T285" s="165" t="n"/>
      <c r="U285" s="179" t="n"/>
      <c r="V285" s="179" t="n"/>
      <c r="W285" s="12" t="n"/>
      <c r="X285" s="12" t="n"/>
      <c r="Y285" s="12" t="n"/>
      <c r="Z285" s="12" t="n"/>
    </row>
    <row r="286" ht="45.75" customHeight="1" s="21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84" t="n"/>
      <c r="P286" s="184" t="n"/>
      <c r="Q286" s="184" t="n"/>
      <c r="R286" s="184" t="n"/>
      <c r="S286" s="184" t="n"/>
      <c r="T286" s="165" t="n"/>
      <c r="U286" s="179" t="n"/>
      <c r="V286" s="179" t="n"/>
      <c r="W286" s="12" t="n"/>
      <c r="X286" s="12" t="n"/>
      <c r="Y286" s="12" t="n"/>
      <c r="Z286" s="12" t="n"/>
    </row>
    <row r="287" ht="45.75" customHeight="1" s="21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84" t="n"/>
      <c r="P287" s="184" t="n"/>
      <c r="Q287" s="184" t="n"/>
      <c r="R287" s="184" t="n"/>
      <c r="S287" s="184" t="n"/>
      <c r="T287" s="165" t="n"/>
      <c r="U287" s="179" t="n"/>
      <c r="V287" s="179" t="n"/>
      <c r="W287" s="12" t="n"/>
      <c r="X287" s="12" t="n"/>
      <c r="Y287" s="12" t="n"/>
      <c r="Z287" s="12" t="n"/>
    </row>
    <row r="288" ht="45.75" customHeight="1" s="21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84" t="n"/>
      <c r="P288" s="184" t="n"/>
      <c r="Q288" s="184" t="n"/>
      <c r="R288" s="184" t="n"/>
      <c r="S288" s="184" t="n"/>
      <c r="T288" s="165" t="n"/>
      <c r="U288" s="179" t="n"/>
      <c r="V288" s="179" t="n"/>
      <c r="W288" s="12" t="n"/>
      <c r="X288" s="12" t="n"/>
      <c r="Y288" s="12" t="n"/>
      <c r="Z288" s="12" t="n"/>
    </row>
    <row r="289" ht="45.75" customHeight="1" s="21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84" t="n"/>
      <c r="P289" s="184" t="n"/>
      <c r="Q289" s="184" t="n"/>
      <c r="R289" s="184" t="n"/>
      <c r="S289" s="184" t="n"/>
      <c r="T289" s="165" t="n"/>
      <c r="U289" s="179" t="n"/>
      <c r="V289" s="179" t="n"/>
      <c r="W289" s="12" t="n"/>
      <c r="X289" s="12" t="n"/>
      <c r="Y289" s="12" t="n"/>
      <c r="Z289" s="12" t="n"/>
    </row>
    <row r="290" ht="45.75" customHeight="1" s="21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84" t="n"/>
      <c r="P290" s="184" t="n"/>
      <c r="Q290" s="184" t="n"/>
      <c r="R290" s="184" t="n"/>
      <c r="S290" s="184" t="n"/>
      <c r="T290" s="165" t="n"/>
      <c r="U290" s="179" t="n"/>
      <c r="V290" s="179" t="n"/>
      <c r="W290" s="12" t="n"/>
      <c r="X290" s="12" t="n"/>
      <c r="Y290" s="12" t="n"/>
      <c r="Z290" s="12" t="n"/>
    </row>
    <row r="291" ht="45.75" customHeight="1" s="21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84" t="n"/>
      <c r="P291" s="184" t="n"/>
      <c r="Q291" s="184" t="n"/>
      <c r="R291" s="184" t="n"/>
      <c r="S291" s="184" t="n"/>
      <c r="T291" s="165" t="n"/>
      <c r="U291" s="179" t="n"/>
      <c r="V291" s="179" t="n"/>
      <c r="W291" s="12" t="n"/>
      <c r="X291" s="12" t="n"/>
      <c r="Y291" s="12" t="n"/>
      <c r="Z291" s="12" t="n"/>
    </row>
    <row r="292" ht="45.75" customHeight="1" s="21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84" t="n"/>
      <c r="P292" s="184" t="n"/>
      <c r="Q292" s="184" t="n"/>
      <c r="R292" s="184" t="n"/>
      <c r="S292" s="184" t="n"/>
      <c r="T292" s="165" t="n"/>
      <c r="U292" s="179" t="n"/>
      <c r="V292" s="179" t="n"/>
      <c r="W292" s="12" t="n"/>
      <c r="X292" s="12" t="n"/>
      <c r="Y292" s="12" t="n"/>
      <c r="Z292" s="12" t="n"/>
    </row>
    <row r="293" ht="45.75" customHeight="1" s="21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84" t="n"/>
      <c r="P293" s="184" t="n"/>
      <c r="Q293" s="184" t="n"/>
      <c r="R293" s="184" t="n"/>
      <c r="S293" s="184" t="n"/>
      <c r="T293" s="165" t="n"/>
      <c r="U293" s="179" t="n"/>
      <c r="V293" s="179" t="n"/>
      <c r="W293" s="12" t="n"/>
      <c r="X293" s="12" t="n"/>
      <c r="Y293" s="12" t="n"/>
      <c r="Z293" s="12" t="n"/>
    </row>
    <row r="294" ht="45.75" customHeight="1" s="21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84" t="n"/>
      <c r="P294" s="184" t="n"/>
      <c r="Q294" s="184" t="n"/>
      <c r="R294" s="184" t="n"/>
      <c r="S294" s="184" t="n"/>
      <c r="T294" s="165" t="n"/>
      <c r="U294" s="179" t="n"/>
      <c r="V294" s="179" t="n"/>
      <c r="W294" s="12" t="n"/>
      <c r="X294" s="12" t="n"/>
      <c r="Y294" s="12" t="n"/>
      <c r="Z294" s="12" t="n"/>
    </row>
    <row r="295" ht="45.75" customHeight="1" s="21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84" t="n"/>
      <c r="P295" s="184" t="n"/>
      <c r="Q295" s="184" t="n"/>
      <c r="R295" s="184" t="n"/>
      <c r="S295" s="184" t="n"/>
      <c r="T295" s="165" t="n"/>
      <c r="U295" s="179" t="n"/>
      <c r="V295" s="179" t="n"/>
      <c r="W295" s="12" t="n"/>
      <c r="X295" s="12" t="n"/>
      <c r="Y295" s="12" t="n"/>
      <c r="Z295" s="12" t="n"/>
    </row>
    <row r="296" ht="45.75" customHeight="1" s="21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84" t="n"/>
      <c r="P296" s="184" t="n"/>
      <c r="Q296" s="184" t="n"/>
      <c r="R296" s="184" t="n"/>
      <c r="S296" s="184" t="n"/>
      <c r="T296" s="165" t="n"/>
      <c r="U296" s="179" t="n"/>
      <c r="V296" s="179" t="n"/>
      <c r="W296" s="12" t="n"/>
      <c r="X296" s="12" t="n"/>
      <c r="Y296" s="12" t="n"/>
      <c r="Z296" s="12" t="n"/>
    </row>
    <row r="297" ht="45.75" customHeight="1" s="21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84" t="n"/>
      <c r="P297" s="184" t="n"/>
      <c r="Q297" s="184" t="n"/>
      <c r="R297" s="184" t="n"/>
      <c r="S297" s="184" t="n"/>
      <c r="T297" s="165" t="n"/>
      <c r="U297" s="179" t="n"/>
      <c r="V297" s="179" t="n"/>
      <c r="W297" s="12" t="n"/>
      <c r="X297" s="12" t="n"/>
      <c r="Y297" s="12" t="n"/>
      <c r="Z297" s="12" t="n"/>
    </row>
    <row r="298" ht="45.75" customHeight="1" s="21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84" t="n"/>
      <c r="P298" s="184" t="n"/>
      <c r="Q298" s="184" t="n"/>
      <c r="R298" s="184" t="n"/>
      <c r="S298" s="184" t="n"/>
      <c r="T298" s="165" t="n"/>
      <c r="U298" s="179" t="n"/>
      <c r="V298" s="179" t="n"/>
      <c r="W298" s="12" t="n"/>
      <c r="X298" s="12" t="n"/>
      <c r="Y298" s="12" t="n"/>
      <c r="Z298" s="12" t="n"/>
    </row>
    <row r="299" ht="45.75" customHeight="1" s="21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84" t="n"/>
      <c r="P299" s="184" t="n"/>
      <c r="Q299" s="184" t="n"/>
      <c r="R299" s="184" t="n"/>
      <c r="S299" s="184" t="n"/>
      <c r="T299" s="165" t="n"/>
      <c r="U299" s="179" t="n"/>
      <c r="V299" s="179" t="n"/>
      <c r="W299" s="12" t="n"/>
      <c r="X299" s="12" t="n"/>
      <c r="Y299" s="12" t="n"/>
      <c r="Z299" s="12" t="n"/>
    </row>
    <row r="300" ht="45.75" customHeight="1" s="21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84" t="n"/>
      <c r="P300" s="184" t="n"/>
      <c r="Q300" s="184" t="n"/>
      <c r="R300" s="184" t="n"/>
      <c r="S300" s="184" t="n"/>
      <c r="T300" s="165" t="n"/>
      <c r="U300" s="179" t="n"/>
      <c r="V300" s="179" t="n"/>
      <c r="W300" s="12" t="n"/>
      <c r="X300" s="12" t="n"/>
      <c r="Y300" s="12" t="n"/>
      <c r="Z300" s="12" t="n"/>
    </row>
    <row r="301" ht="45.75" customHeight="1" s="21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84" t="n"/>
      <c r="P301" s="184" t="n"/>
      <c r="Q301" s="184" t="n"/>
      <c r="R301" s="184" t="n"/>
      <c r="S301" s="184" t="n"/>
      <c r="T301" s="165" t="n"/>
      <c r="U301" s="179" t="n"/>
      <c r="V301" s="179" t="n"/>
      <c r="W301" s="12" t="n"/>
      <c r="X301" s="12" t="n"/>
      <c r="Y301" s="12" t="n"/>
      <c r="Z301" s="12" t="n"/>
    </row>
    <row r="302" ht="45.75" customHeight="1" s="21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84" t="n"/>
      <c r="P302" s="184" t="n"/>
      <c r="Q302" s="184" t="n"/>
      <c r="R302" s="184" t="n"/>
      <c r="S302" s="184" t="n"/>
      <c r="T302" s="165" t="n"/>
      <c r="U302" s="179" t="n"/>
      <c r="V302" s="179" t="n"/>
      <c r="W302" s="12" t="n"/>
      <c r="X302" s="12" t="n"/>
      <c r="Y302" s="12" t="n"/>
      <c r="Z302" s="12" t="n"/>
    </row>
    <row r="303" ht="45.75" customHeight="1" s="21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84" t="n"/>
      <c r="P303" s="184" t="n"/>
      <c r="Q303" s="184" t="n"/>
      <c r="R303" s="184" t="n"/>
      <c r="S303" s="184" t="n"/>
      <c r="T303" s="165" t="n"/>
      <c r="U303" s="179" t="n"/>
      <c r="V303" s="179" t="n"/>
      <c r="W303" s="12" t="n"/>
      <c r="X303" s="12" t="n"/>
      <c r="Y303" s="12" t="n"/>
      <c r="Z303" s="12" t="n"/>
    </row>
    <row r="304" ht="45.75" customHeight="1" s="21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84" t="n"/>
      <c r="P304" s="184" t="n"/>
      <c r="Q304" s="184" t="n"/>
      <c r="R304" s="184" t="n"/>
      <c r="S304" s="184" t="n"/>
      <c r="T304" s="165" t="n"/>
      <c r="U304" s="179" t="n"/>
      <c r="V304" s="179" t="n"/>
      <c r="W304" s="12" t="n"/>
      <c r="X304" s="12" t="n"/>
      <c r="Y304" s="12" t="n"/>
      <c r="Z304" s="12" t="n"/>
    </row>
    <row r="305" ht="45.75" customHeight="1" s="21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84" t="n"/>
      <c r="P305" s="184" t="n"/>
      <c r="Q305" s="184" t="n"/>
      <c r="R305" s="184" t="n"/>
      <c r="S305" s="184" t="n"/>
      <c r="T305" s="165" t="n"/>
      <c r="U305" s="179" t="n"/>
      <c r="V305" s="179" t="n"/>
      <c r="W305" s="12" t="n"/>
      <c r="X305" s="12" t="n"/>
      <c r="Y305" s="12" t="n"/>
      <c r="Z305" s="12" t="n"/>
    </row>
    <row r="306" ht="45.75" customHeight="1" s="21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84" t="n"/>
      <c r="P306" s="184" t="n"/>
      <c r="Q306" s="184" t="n"/>
      <c r="R306" s="184" t="n"/>
      <c r="S306" s="184" t="n"/>
      <c r="T306" s="165" t="n"/>
      <c r="U306" s="179" t="n"/>
      <c r="V306" s="179" t="n"/>
      <c r="W306" s="12" t="n"/>
      <c r="X306" s="12" t="n"/>
      <c r="Y306" s="12" t="n"/>
      <c r="Z306" s="12" t="n"/>
    </row>
    <row r="307" ht="45.75" customHeight="1" s="21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84" t="n"/>
      <c r="P307" s="184" t="n"/>
      <c r="Q307" s="184" t="n"/>
      <c r="R307" s="184" t="n"/>
      <c r="S307" s="184" t="n"/>
      <c r="T307" s="165" t="n"/>
      <c r="U307" s="179" t="n"/>
      <c r="V307" s="179" t="n"/>
      <c r="W307" s="12" t="n"/>
      <c r="X307" s="12" t="n"/>
      <c r="Y307" s="12" t="n"/>
      <c r="Z307" s="12" t="n"/>
    </row>
    <row r="308" ht="45.75" customHeight="1" s="21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84" t="n"/>
      <c r="P308" s="184" t="n"/>
      <c r="Q308" s="184" t="n"/>
      <c r="R308" s="184" t="n"/>
      <c r="S308" s="184" t="n"/>
      <c r="T308" s="165" t="n"/>
      <c r="U308" s="179" t="n"/>
      <c r="V308" s="179" t="n"/>
      <c r="W308" s="12" t="n"/>
      <c r="X308" s="12" t="n"/>
      <c r="Y308" s="12" t="n"/>
      <c r="Z308" s="12" t="n"/>
    </row>
    <row r="309" ht="45.75" customHeight="1" s="21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84" t="n"/>
      <c r="P309" s="184" t="n"/>
      <c r="Q309" s="184" t="n"/>
      <c r="R309" s="184" t="n"/>
      <c r="S309" s="184" t="n"/>
      <c r="T309" s="165" t="n"/>
      <c r="U309" s="179" t="n"/>
      <c r="V309" s="179" t="n"/>
      <c r="W309" s="12" t="n"/>
      <c r="X309" s="12" t="n"/>
      <c r="Y309" s="12" t="n"/>
      <c r="Z309" s="12" t="n"/>
    </row>
    <row r="310" ht="45.75" customHeight="1" s="21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84" t="n"/>
      <c r="P310" s="184" t="n"/>
      <c r="Q310" s="184" t="n"/>
      <c r="R310" s="184" t="n"/>
      <c r="S310" s="184" t="n"/>
      <c r="T310" s="165" t="n"/>
      <c r="U310" s="179" t="n"/>
      <c r="V310" s="179" t="n"/>
      <c r="W310" s="12" t="n"/>
      <c r="X310" s="12" t="n"/>
      <c r="Y310" s="12" t="n"/>
      <c r="Z310" s="12" t="n"/>
    </row>
    <row r="311" ht="45.75" customHeight="1" s="2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84" t="n"/>
      <c r="P311" s="184" t="n"/>
      <c r="Q311" s="184" t="n"/>
      <c r="R311" s="184" t="n"/>
      <c r="S311" s="184" t="n"/>
      <c r="T311" s="165" t="n"/>
      <c r="U311" s="179" t="n"/>
      <c r="V311" s="179" t="n"/>
      <c r="W311" s="12" t="n"/>
      <c r="X311" s="12" t="n"/>
      <c r="Y311" s="12" t="n"/>
      <c r="Z311" s="12" t="n"/>
    </row>
    <row r="312" ht="45.75" customHeight="1" s="21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84" t="n"/>
      <c r="P312" s="184" t="n"/>
      <c r="Q312" s="184" t="n"/>
      <c r="R312" s="184" t="n"/>
      <c r="S312" s="184" t="n"/>
      <c r="T312" s="165" t="n"/>
      <c r="U312" s="179" t="n"/>
      <c r="V312" s="179" t="n"/>
      <c r="W312" s="12" t="n"/>
      <c r="X312" s="12" t="n"/>
      <c r="Y312" s="12" t="n"/>
      <c r="Z312" s="12" t="n"/>
    </row>
    <row r="313" ht="45.75" customHeight="1" s="21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84" t="n"/>
      <c r="P313" s="184" t="n"/>
      <c r="Q313" s="184" t="n"/>
      <c r="R313" s="184" t="n"/>
      <c r="S313" s="184" t="n"/>
      <c r="T313" s="165" t="n"/>
      <c r="U313" s="179" t="n"/>
      <c r="V313" s="179" t="n"/>
      <c r="W313" s="12" t="n"/>
      <c r="X313" s="12" t="n"/>
      <c r="Y313" s="12" t="n"/>
      <c r="Z313" s="12" t="n"/>
    </row>
    <row r="314" ht="45.75" customHeight="1" s="21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84" t="n"/>
      <c r="P314" s="184" t="n"/>
      <c r="Q314" s="184" t="n"/>
      <c r="R314" s="184" t="n"/>
      <c r="S314" s="184" t="n"/>
      <c r="T314" s="165" t="n"/>
      <c r="U314" s="179" t="n"/>
      <c r="V314" s="179" t="n"/>
      <c r="W314" s="12" t="n"/>
      <c r="X314" s="12" t="n"/>
      <c r="Y314" s="12" t="n"/>
      <c r="Z314" s="12" t="n"/>
    </row>
    <row r="315" ht="45.75" customHeight="1" s="21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84" t="n"/>
      <c r="P315" s="184" t="n"/>
      <c r="Q315" s="184" t="n"/>
      <c r="R315" s="184" t="n"/>
      <c r="S315" s="184" t="n"/>
      <c r="T315" s="165" t="n"/>
      <c r="U315" s="179" t="n"/>
      <c r="V315" s="179" t="n"/>
      <c r="W315" s="12" t="n"/>
      <c r="X315" s="12" t="n"/>
      <c r="Y315" s="12" t="n"/>
      <c r="Z315" s="12" t="n"/>
    </row>
    <row r="316" ht="45.75" customHeight="1" s="21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84" t="n"/>
      <c r="P316" s="184" t="n"/>
      <c r="Q316" s="184" t="n"/>
      <c r="R316" s="184" t="n"/>
      <c r="S316" s="184" t="n"/>
      <c r="T316" s="165" t="n"/>
      <c r="U316" s="179" t="n"/>
      <c r="V316" s="179" t="n"/>
      <c r="W316" s="12" t="n"/>
      <c r="X316" s="12" t="n"/>
      <c r="Y316" s="12" t="n"/>
      <c r="Z316" s="12" t="n"/>
    </row>
    <row r="317" ht="45.75" customHeight="1" s="21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84" t="n"/>
      <c r="P317" s="184" t="n"/>
      <c r="Q317" s="184" t="n"/>
      <c r="R317" s="184" t="n"/>
      <c r="S317" s="184" t="n"/>
      <c r="T317" s="165" t="n"/>
      <c r="U317" s="179" t="n"/>
      <c r="V317" s="179" t="n"/>
      <c r="W317" s="12" t="n"/>
      <c r="X317" s="12" t="n"/>
      <c r="Y317" s="12" t="n"/>
      <c r="Z317" s="12" t="n"/>
    </row>
    <row r="318" ht="45.75" customHeight="1" s="21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84" t="n"/>
      <c r="P318" s="184" t="n"/>
      <c r="Q318" s="184" t="n"/>
      <c r="R318" s="184" t="n"/>
      <c r="S318" s="184" t="n"/>
      <c r="T318" s="165" t="n"/>
      <c r="U318" s="179" t="n"/>
      <c r="V318" s="179" t="n"/>
      <c r="W318" s="12" t="n"/>
      <c r="X318" s="12" t="n"/>
      <c r="Y318" s="12" t="n"/>
      <c r="Z318" s="12" t="n"/>
    </row>
    <row r="319" ht="45.75" customHeight="1" s="21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84" t="n"/>
      <c r="P319" s="184" t="n"/>
      <c r="Q319" s="184" t="n"/>
      <c r="R319" s="184" t="n"/>
      <c r="S319" s="184" t="n"/>
      <c r="T319" s="165" t="n"/>
      <c r="U319" s="179" t="n"/>
      <c r="V319" s="179" t="n"/>
      <c r="W319" s="12" t="n"/>
      <c r="X319" s="12" t="n"/>
      <c r="Y319" s="12" t="n"/>
      <c r="Z319" s="12" t="n"/>
    </row>
    <row r="320" ht="45.75" customHeight="1" s="21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84" t="n"/>
      <c r="P320" s="184" t="n"/>
      <c r="Q320" s="184" t="n"/>
      <c r="R320" s="184" t="n"/>
      <c r="S320" s="184" t="n"/>
      <c r="T320" s="165" t="n"/>
      <c r="U320" s="179" t="n"/>
      <c r="V320" s="179" t="n"/>
      <c r="W320" s="12" t="n"/>
      <c r="X320" s="12" t="n"/>
      <c r="Y320" s="12" t="n"/>
      <c r="Z320" s="12" t="n"/>
    </row>
    <row r="321" ht="45.75" customHeight="1" s="21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84" t="n"/>
      <c r="P321" s="184" t="n"/>
      <c r="Q321" s="184" t="n"/>
      <c r="R321" s="184" t="n"/>
      <c r="S321" s="184" t="n"/>
      <c r="T321" s="165" t="n"/>
      <c r="U321" s="179" t="n"/>
      <c r="V321" s="179" t="n"/>
      <c r="W321" s="12" t="n"/>
      <c r="X321" s="12" t="n"/>
      <c r="Y321" s="12" t="n"/>
      <c r="Z321" s="12" t="n"/>
    </row>
    <row r="322" ht="45.75" customHeight="1" s="21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84" t="n"/>
      <c r="P322" s="184" t="n"/>
      <c r="Q322" s="184" t="n"/>
      <c r="R322" s="184" t="n"/>
      <c r="S322" s="184" t="n"/>
      <c r="T322" s="165" t="n"/>
      <c r="U322" s="179" t="n"/>
      <c r="V322" s="179" t="n"/>
      <c r="W322" s="12" t="n"/>
      <c r="X322" s="12" t="n"/>
      <c r="Y322" s="12" t="n"/>
      <c r="Z322" s="12" t="n"/>
    </row>
    <row r="323" ht="45.75" customHeight="1" s="21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84" t="n"/>
      <c r="P323" s="184" t="n"/>
      <c r="Q323" s="184" t="n"/>
      <c r="R323" s="184" t="n"/>
      <c r="S323" s="184" t="n"/>
      <c r="T323" s="165" t="n"/>
      <c r="U323" s="179" t="n"/>
      <c r="V323" s="179" t="n"/>
      <c r="W323" s="12" t="n"/>
      <c r="X323" s="12" t="n"/>
      <c r="Y323" s="12" t="n"/>
      <c r="Z323" s="12" t="n"/>
    </row>
    <row r="324" ht="45.75" customHeight="1" s="21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84" t="n"/>
      <c r="P324" s="184" t="n"/>
      <c r="Q324" s="184" t="n"/>
      <c r="R324" s="184" t="n"/>
      <c r="S324" s="184" t="n"/>
      <c r="T324" s="165" t="n"/>
      <c r="U324" s="179" t="n"/>
      <c r="V324" s="179" t="n"/>
      <c r="W324" s="12" t="n"/>
      <c r="X324" s="12" t="n"/>
      <c r="Y324" s="12" t="n"/>
      <c r="Z324" s="12" t="n"/>
    </row>
    <row r="325" ht="45.75" customHeight="1" s="21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84" t="n"/>
      <c r="P325" s="184" t="n"/>
      <c r="Q325" s="184" t="n"/>
      <c r="R325" s="184" t="n"/>
      <c r="S325" s="184" t="n"/>
      <c r="T325" s="165" t="n"/>
      <c r="U325" s="179" t="n"/>
      <c r="V325" s="179" t="n"/>
      <c r="W325" s="12" t="n"/>
      <c r="X325" s="12" t="n"/>
      <c r="Y325" s="12" t="n"/>
      <c r="Z325" s="12" t="n"/>
    </row>
    <row r="326" ht="45.75" customHeight="1" s="21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84" t="n"/>
      <c r="P326" s="184" t="n"/>
      <c r="Q326" s="184" t="n"/>
      <c r="R326" s="184" t="n"/>
      <c r="S326" s="184" t="n"/>
      <c r="T326" s="165" t="n"/>
      <c r="U326" s="179" t="n"/>
      <c r="V326" s="179" t="n"/>
      <c r="W326" s="12" t="n"/>
      <c r="X326" s="12" t="n"/>
      <c r="Y326" s="12" t="n"/>
      <c r="Z326" s="12" t="n"/>
    </row>
    <row r="327" ht="45.75" customHeight="1" s="21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84" t="n"/>
      <c r="P327" s="184" t="n"/>
      <c r="Q327" s="184" t="n"/>
      <c r="R327" s="184" t="n"/>
      <c r="S327" s="184" t="n"/>
      <c r="T327" s="165" t="n"/>
      <c r="U327" s="179" t="n"/>
      <c r="V327" s="179" t="n"/>
      <c r="W327" s="12" t="n"/>
      <c r="X327" s="12" t="n"/>
      <c r="Y327" s="12" t="n"/>
      <c r="Z327" s="12" t="n"/>
    </row>
    <row r="328" ht="45.75" customHeight="1" s="21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84" t="n"/>
      <c r="P328" s="184" t="n"/>
      <c r="Q328" s="184" t="n"/>
      <c r="R328" s="184" t="n"/>
      <c r="S328" s="184" t="n"/>
      <c r="T328" s="165" t="n"/>
      <c r="U328" s="179" t="n"/>
      <c r="V328" s="179" t="n"/>
      <c r="W328" s="12" t="n"/>
      <c r="X328" s="12" t="n"/>
      <c r="Y328" s="12" t="n"/>
      <c r="Z328" s="12" t="n"/>
    </row>
    <row r="329" ht="45.75" customHeight="1" s="21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84" t="n"/>
      <c r="P329" s="184" t="n"/>
      <c r="Q329" s="184" t="n"/>
      <c r="R329" s="184" t="n"/>
      <c r="S329" s="184" t="n"/>
      <c r="T329" s="165" t="n"/>
      <c r="U329" s="179" t="n"/>
      <c r="V329" s="179" t="n"/>
      <c r="W329" s="12" t="n"/>
      <c r="X329" s="12" t="n"/>
      <c r="Y329" s="12" t="n"/>
      <c r="Z329" s="12" t="n"/>
    </row>
    <row r="330" ht="45.75" customHeight="1" s="21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84" t="n"/>
      <c r="P330" s="184" t="n"/>
      <c r="Q330" s="184" t="n"/>
      <c r="R330" s="184" t="n"/>
      <c r="S330" s="184" t="n"/>
      <c r="T330" s="165" t="n"/>
      <c r="U330" s="179" t="n"/>
      <c r="V330" s="179" t="n"/>
      <c r="W330" s="12" t="n"/>
      <c r="X330" s="12" t="n"/>
      <c r="Y330" s="12" t="n"/>
      <c r="Z330" s="12" t="n"/>
    </row>
    <row r="331" ht="45.75" customHeight="1" s="21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84" t="n"/>
      <c r="P331" s="184" t="n"/>
      <c r="Q331" s="184" t="n"/>
      <c r="R331" s="184" t="n"/>
      <c r="S331" s="184" t="n"/>
      <c r="T331" s="165" t="n"/>
      <c r="U331" s="179" t="n"/>
      <c r="V331" s="179" t="n"/>
      <c r="W331" s="12" t="n"/>
      <c r="X331" s="12" t="n"/>
      <c r="Y331" s="12" t="n"/>
      <c r="Z331" s="12" t="n"/>
    </row>
    <row r="332" ht="45.75" customHeight="1" s="21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84" t="n"/>
      <c r="P332" s="184" t="n"/>
      <c r="Q332" s="184" t="n"/>
      <c r="R332" s="184" t="n"/>
      <c r="S332" s="184" t="n"/>
      <c r="T332" s="165" t="n"/>
      <c r="U332" s="179" t="n"/>
      <c r="V332" s="179" t="n"/>
      <c r="W332" s="12" t="n"/>
      <c r="X332" s="12" t="n"/>
      <c r="Y332" s="12" t="n"/>
      <c r="Z332" s="12" t="n"/>
    </row>
    <row r="333" ht="45.75" customHeight="1" s="21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84" t="n"/>
      <c r="P333" s="184" t="n"/>
      <c r="Q333" s="184" t="n"/>
      <c r="R333" s="184" t="n"/>
      <c r="S333" s="184" t="n"/>
      <c r="T333" s="165" t="n"/>
      <c r="U333" s="179" t="n"/>
      <c r="V333" s="179" t="n"/>
      <c r="W333" s="12" t="n"/>
      <c r="X333" s="12" t="n"/>
      <c r="Y333" s="12" t="n"/>
      <c r="Z333" s="12" t="n"/>
    </row>
    <row r="334" ht="45.75" customHeight="1" s="21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84" t="n"/>
      <c r="P334" s="184" t="n"/>
      <c r="Q334" s="184" t="n"/>
      <c r="R334" s="184" t="n"/>
      <c r="S334" s="184" t="n"/>
      <c r="T334" s="165" t="n"/>
      <c r="U334" s="179" t="n"/>
      <c r="V334" s="179" t="n"/>
      <c r="W334" s="12" t="n"/>
      <c r="X334" s="12" t="n"/>
      <c r="Y334" s="12" t="n"/>
      <c r="Z334" s="12" t="n"/>
    </row>
    <row r="335" ht="45.75" customHeight="1" s="21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84" t="n"/>
      <c r="P335" s="184" t="n"/>
      <c r="Q335" s="184" t="n"/>
      <c r="R335" s="184" t="n"/>
      <c r="S335" s="184" t="n"/>
      <c r="T335" s="165" t="n"/>
      <c r="U335" s="179" t="n"/>
      <c r="V335" s="179" t="n"/>
      <c r="W335" s="12" t="n"/>
      <c r="X335" s="12" t="n"/>
      <c r="Y335" s="12" t="n"/>
      <c r="Z335" s="12" t="n"/>
    </row>
    <row r="336" ht="45.75" customHeight="1" s="21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84" t="n"/>
      <c r="P336" s="184" t="n"/>
      <c r="Q336" s="184" t="n"/>
      <c r="R336" s="184" t="n"/>
      <c r="S336" s="184" t="n"/>
      <c r="T336" s="165" t="n"/>
      <c r="U336" s="179" t="n"/>
      <c r="V336" s="179" t="n"/>
      <c r="W336" s="12" t="n"/>
      <c r="X336" s="12" t="n"/>
      <c r="Y336" s="12" t="n"/>
      <c r="Z336" s="12" t="n"/>
    </row>
    <row r="337" ht="45.75" customHeight="1" s="21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84" t="n"/>
      <c r="P337" s="184" t="n"/>
      <c r="Q337" s="184" t="n"/>
      <c r="R337" s="184" t="n"/>
      <c r="S337" s="184" t="n"/>
      <c r="T337" s="165" t="n"/>
      <c r="U337" s="179" t="n"/>
      <c r="V337" s="179" t="n"/>
      <c r="W337" s="12" t="n"/>
      <c r="X337" s="12" t="n"/>
      <c r="Y337" s="12" t="n"/>
      <c r="Z337" s="12" t="n"/>
    </row>
    <row r="338" ht="45.75" customHeight="1" s="21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84" t="n"/>
      <c r="P338" s="184" t="n"/>
      <c r="Q338" s="184" t="n"/>
      <c r="R338" s="184" t="n"/>
      <c r="S338" s="184" t="n"/>
      <c r="T338" s="165" t="n"/>
      <c r="U338" s="179" t="n"/>
      <c r="V338" s="179" t="n"/>
      <c r="W338" s="12" t="n"/>
      <c r="X338" s="12" t="n"/>
      <c r="Y338" s="12" t="n"/>
      <c r="Z338" s="12" t="n"/>
    </row>
    <row r="339" ht="45.75" customHeight="1" s="21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84" t="n"/>
      <c r="P339" s="184" t="n"/>
      <c r="Q339" s="184" t="n"/>
      <c r="R339" s="184" t="n"/>
      <c r="S339" s="184" t="n"/>
      <c r="T339" s="165" t="n"/>
      <c r="U339" s="179" t="n"/>
      <c r="V339" s="179" t="n"/>
      <c r="W339" s="12" t="n"/>
      <c r="X339" s="12" t="n"/>
      <c r="Y339" s="12" t="n"/>
      <c r="Z339" s="12" t="n"/>
    </row>
    <row r="340" ht="45.75" customHeight="1" s="21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84" t="n"/>
      <c r="P340" s="184" t="n"/>
      <c r="Q340" s="184" t="n"/>
      <c r="R340" s="184" t="n"/>
      <c r="S340" s="184" t="n"/>
      <c r="T340" s="165" t="n"/>
      <c r="U340" s="179" t="n"/>
      <c r="V340" s="179" t="n"/>
      <c r="W340" s="12" t="n"/>
      <c r="X340" s="12" t="n"/>
      <c r="Y340" s="12" t="n"/>
      <c r="Z340" s="12" t="n"/>
    </row>
    <row r="341" ht="45.75" customHeight="1" s="21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84" t="n"/>
      <c r="P341" s="184" t="n"/>
      <c r="Q341" s="184" t="n"/>
      <c r="R341" s="184" t="n"/>
      <c r="S341" s="184" t="n"/>
      <c r="T341" s="165" t="n"/>
      <c r="U341" s="179" t="n"/>
      <c r="V341" s="179" t="n"/>
      <c r="W341" s="12" t="n"/>
      <c r="X341" s="12" t="n"/>
      <c r="Y341" s="12" t="n"/>
      <c r="Z341" s="12" t="n"/>
    </row>
    <row r="342" ht="45.75" customHeight="1" s="21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84" t="n"/>
      <c r="P342" s="184" t="n"/>
      <c r="Q342" s="184" t="n"/>
      <c r="R342" s="184" t="n"/>
      <c r="S342" s="184" t="n"/>
      <c r="T342" s="165" t="n"/>
      <c r="U342" s="179" t="n"/>
      <c r="V342" s="179" t="n"/>
      <c r="W342" s="12" t="n"/>
      <c r="X342" s="12" t="n"/>
      <c r="Y342" s="12" t="n"/>
      <c r="Z342" s="12" t="n"/>
    </row>
    <row r="343" ht="45.75" customHeight="1" s="21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84" t="n"/>
      <c r="P343" s="184" t="n"/>
      <c r="Q343" s="184" t="n"/>
      <c r="R343" s="184" t="n"/>
      <c r="S343" s="184" t="n"/>
      <c r="T343" s="165" t="n"/>
      <c r="U343" s="179" t="n"/>
      <c r="V343" s="179" t="n"/>
      <c r="W343" s="12" t="n"/>
      <c r="X343" s="12" t="n"/>
      <c r="Y343" s="12" t="n"/>
      <c r="Z343" s="12" t="n"/>
    </row>
    <row r="344" ht="45.75" customHeight="1" s="21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84" t="n"/>
      <c r="P344" s="184" t="n"/>
      <c r="Q344" s="184" t="n"/>
      <c r="R344" s="184" t="n"/>
      <c r="S344" s="184" t="n"/>
      <c r="T344" s="165" t="n"/>
      <c r="U344" s="179" t="n"/>
      <c r="V344" s="179" t="n"/>
      <c r="W344" s="12" t="n"/>
      <c r="X344" s="12" t="n"/>
      <c r="Y344" s="12" t="n"/>
      <c r="Z344" s="12" t="n"/>
    </row>
    <row r="345" ht="45.75" customHeight="1" s="21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84" t="n"/>
      <c r="P345" s="184" t="n"/>
      <c r="Q345" s="184" t="n"/>
      <c r="R345" s="184" t="n"/>
      <c r="S345" s="184" t="n"/>
      <c r="T345" s="165" t="n"/>
      <c r="U345" s="179" t="n"/>
      <c r="V345" s="179" t="n"/>
      <c r="W345" s="12" t="n"/>
      <c r="X345" s="12" t="n"/>
      <c r="Y345" s="12" t="n"/>
      <c r="Z345" s="12" t="n"/>
    </row>
    <row r="346" ht="45.75" customHeight="1" s="21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84" t="n"/>
      <c r="P346" s="184" t="n"/>
      <c r="Q346" s="184" t="n"/>
      <c r="R346" s="184" t="n"/>
      <c r="S346" s="184" t="n"/>
      <c r="T346" s="165" t="n"/>
      <c r="U346" s="179" t="n"/>
      <c r="V346" s="179" t="n"/>
      <c r="W346" s="12" t="n"/>
      <c r="X346" s="12" t="n"/>
      <c r="Y346" s="12" t="n"/>
      <c r="Z346" s="12" t="n"/>
    </row>
    <row r="347" ht="45.75" customHeight="1" s="21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84" t="n"/>
      <c r="P347" s="184" t="n"/>
      <c r="Q347" s="184" t="n"/>
      <c r="R347" s="184" t="n"/>
      <c r="S347" s="184" t="n"/>
      <c r="T347" s="165" t="n"/>
      <c r="U347" s="179" t="n"/>
      <c r="V347" s="179" t="n"/>
      <c r="W347" s="12" t="n"/>
      <c r="X347" s="12" t="n"/>
      <c r="Y347" s="12" t="n"/>
      <c r="Z347" s="12" t="n"/>
    </row>
    <row r="348" ht="45.75" customHeight="1" s="21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84" t="n"/>
      <c r="P348" s="184" t="n"/>
      <c r="Q348" s="184" t="n"/>
      <c r="R348" s="184" t="n"/>
      <c r="S348" s="184" t="n"/>
      <c r="T348" s="165" t="n"/>
      <c r="U348" s="179" t="n"/>
      <c r="V348" s="179" t="n"/>
      <c r="W348" s="12" t="n"/>
      <c r="X348" s="12" t="n"/>
      <c r="Y348" s="12" t="n"/>
      <c r="Z348" s="12" t="n"/>
    </row>
    <row r="349" ht="45.75" customHeight="1" s="21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84" t="n"/>
      <c r="P349" s="184" t="n"/>
      <c r="Q349" s="184" t="n"/>
      <c r="R349" s="184" t="n"/>
      <c r="S349" s="184" t="n"/>
      <c r="T349" s="165" t="n"/>
      <c r="U349" s="179" t="n"/>
      <c r="V349" s="179" t="n"/>
      <c r="W349" s="12" t="n"/>
      <c r="X349" s="12" t="n"/>
      <c r="Y349" s="12" t="n"/>
      <c r="Z349" s="12" t="n"/>
    </row>
    <row r="350" ht="45.75" customHeight="1" s="21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84" t="n"/>
      <c r="P350" s="184" t="n"/>
      <c r="Q350" s="184" t="n"/>
      <c r="R350" s="184" t="n"/>
      <c r="S350" s="184" t="n"/>
      <c r="T350" s="165" t="n"/>
      <c r="U350" s="179" t="n"/>
      <c r="V350" s="179" t="n"/>
      <c r="W350" s="12" t="n"/>
      <c r="X350" s="12" t="n"/>
      <c r="Y350" s="12" t="n"/>
      <c r="Z350" s="12" t="n"/>
    </row>
    <row r="351" ht="45.75" customHeight="1" s="21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84" t="n"/>
      <c r="P351" s="184" t="n"/>
      <c r="Q351" s="184" t="n"/>
      <c r="R351" s="184" t="n"/>
      <c r="S351" s="184" t="n"/>
      <c r="T351" s="165" t="n"/>
      <c r="U351" s="179" t="n"/>
      <c r="V351" s="179" t="n"/>
      <c r="W351" s="12" t="n"/>
      <c r="X351" s="12" t="n"/>
      <c r="Y351" s="12" t="n"/>
      <c r="Z351" s="12" t="n"/>
    </row>
    <row r="352" ht="45.75" customHeight="1" s="21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84" t="n"/>
      <c r="P352" s="184" t="n"/>
      <c r="Q352" s="184" t="n"/>
      <c r="R352" s="184" t="n"/>
      <c r="S352" s="184" t="n"/>
      <c r="T352" s="165" t="n"/>
      <c r="U352" s="179" t="n"/>
      <c r="V352" s="179" t="n"/>
      <c r="W352" s="12" t="n"/>
      <c r="X352" s="12" t="n"/>
      <c r="Y352" s="12" t="n"/>
      <c r="Z352" s="12" t="n"/>
    </row>
    <row r="353" ht="45.75" customHeight="1" s="21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84" t="n"/>
      <c r="P353" s="184" t="n"/>
      <c r="Q353" s="184" t="n"/>
      <c r="R353" s="184" t="n"/>
      <c r="S353" s="184" t="n"/>
      <c r="T353" s="165" t="n"/>
      <c r="U353" s="179" t="n"/>
      <c r="V353" s="179" t="n"/>
      <c r="W353" s="12" t="n"/>
      <c r="X353" s="12" t="n"/>
      <c r="Y353" s="12" t="n"/>
      <c r="Z353" s="12" t="n"/>
    </row>
    <row r="354" ht="45.75" customHeight="1" s="21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84" t="n"/>
      <c r="P354" s="184" t="n"/>
      <c r="Q354" s="184" t="n"/>
      <c r="R354" s="184" t="n"/>
      <c r="S354" s="184" t="n"/>
      <c r="T354" s="165" t="n"/>
      <c r="U354" s="179" t="n"/>
      <c r="V354" s="179" t="n"/>
      <c r="W354" s="12" t="n"/>
      <c r="X354" s="12" t="n"/>
      <c r="Y354" s="12" t="n"/>
      <c r="Z354" s="12" t="n"/>
    </row>
    <row r="355" ht="45.75" customHeight="1" s="21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84" t="n"/>
      <c r="P355" s="184" t="n"/>
      <c r="Q355" s="184" t="n"/>
      <c r="R355" s="184" t="n"/>
      <c r="S355" s="184" t="n"/>
      <c r="T355" s="165" t="n"/>
      <c r="U355" s="179" t="n"/>
      <c r="V355" s="179" t="n"/>
      <c r="W355" s="12" t="n"/>
      <c r="X355" s="12" t="n"/>
      <c r="Y355" s="12" t="n"/>
      <c r="Z355" s="12" t="n"/>
    </row>
    <row r="356" ht="45.75" customHeight="1" s="21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84" t="n"/>
      <c r="P356" s="184" t="n"/>
      <c r="Q356" s="184" t="n"/>
      <c r="R356" s="184" t="n"/>
      <c r="S356" s="184" t="n"/>
      <c r="T356" s="165" t="n"/>
      <c r="U356" s="179" t="n"/>
      <c r="V356" s="179" t="n"/>
      <c r="W356" s="12" t="n"/>
      <c r="X356" s="12" t="n"/>
      <c r="Y356" s="12" t="n"/>
      <c r="Z356" s="12" t="n"/>
    </row>
    <row r="357" ht="45.75" customHeight="1" s="21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84" t="n"/>
      <c r="P357" s="184" t="n"/>
      <c r="Q357" s="184" t="n"/>
      <c r="R357" s="184" t="n"/>
      <c r="S357" s="184" t="n"/>
      <c r="T357" s="165" t="n"/>
      <c r="U357" s="179" t="n"/>
      <c r="V357" s="179" t="n"/>
      <c r="W357" s="12" t="n"/>
      <c r="X357" s="12" t="n"/>
      <c r="Y357" s="12" t="n"/>
      <c r="Z357" s="12" t="n"/>
    </row>
    <row r="358" ht="45.75" customHeight="1" s="21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84" t="n"/>
      <c r="P358" s="184" t="n"/>
      <c r="Q358" s="184" t="n"/>
      <c r="R358" s="184" t="n"/>
      <c r="S358" s="184" t="n"/>
      <c r="T358" s="165" t="n"/>
      <c r="U358" s="179" t="n"/>
      <c r="V358" s="179" t="n"/>
      <c r="W358" s="12" t="n"/>
      <c r="X358" s="12" t="n"/>
      <c r="Y358" s="12" t="n"/>
      <c r="Z358" s="12" t="n"/>
    </row>
    <row r="359" ht="45.75" customHeight="1" s="21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84" t="n"/>
      <c r="P359" s="184" t="n"/>
      <c r="Q359" s="184" t="n"/>
      <c r="R359" s="184" t="n"/>
      <c r="S359" s="184" t="n"/>
      <c r="T359" s="165" t="n"/>
      <c r="U359" s="179" t="n"/>
      <c r="V359" s="179" t="n"/>
      <c r="W359" s="12" t="n"/>
      <c r="X359" s="12" t="n"/>
      <c r="Y359" s="12" t="n"/>
      <c r="Z359" s="12" t="n"/>
    </row>
    <row r="360" ht="45.75" customHeight="1" s="21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84" t="n"/>
      <c r="P360" s="184" t="n"/>
      <c r="Q360" s="184" t="n"/>
      <c r="R360" s="184" t="n"/>
      <c r="S360" s="184" t="n"/>
      <c r="T360" s="165" t="n"/>
      <c r="U360" s="179" t="n"/>
      <c r="V360" s="179" t="n"/>
      <c r="W360" s="12" t="n"/>
      <c r="X360" s="12" t="n"/>
      <c r="Y360" s="12" t="n"/>
      <c r="Z360" s="12" t="n"/>
    </row>
    <row r="361" ht="45.75" customHeight="1" s="21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84" t="n"/>
      <c r="P361" s="184" t="n"/>
      <c r="Q361" s="184" t="n"/>
      <c r="R361" s="184" t="n"/>
      <c r="S361" s="184" t="n"/>
      <c r="T361" s="165" t="n"/>
      <c r="U361" s="179" t="n"/>
      <c r="V361" s="179" t="n"/>
      <c r="W361" s="12" t="n"/>
      <c r="X361" s="12" t="n"/>
      <c r="Y361" s="12" t="n"/>
      <c r="Z361" s="12" t="n"/>
    </row>
    <row r="362" ht="45.75" customHeight="1" s="21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84" t="n"/>
      <c r="P362" s="184" t="n"/>
      <c r="Q362" s="184" t="n"/>
      <c r="R362" s="184" t="n"/>
      <c r="S362" s="184" t="n"/>
      <c r="T362" s="165" t="n"/>
      <c r="U362" s="179" t="n"/>
      <c r="V362" s="179" t="n"/>
      <c r="W362" s="12" t="n"/>
      <c r="X362" s="12" t="n"/>
      <c r="Y362" s="12" t="n"/>
      <c r="Z362" s="12" t="n"/>
    </row>
    <row r="363" ht="45.75" customHeight="1" s="21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84" t="n"/>
      <c r="P363" s="184" t="n"/>
      <c r="Q363" s="184" t="n"/>
      <c r="R363" s="184" t="n"/>
      <c r="S363" s="184" t="n"/>
      <c r="T363" s="165" t="n"/>
      <c r="U363" s="179" t="n"/>
      <c r="V363" s="179" t="n"/>
      <c r="W363" s="12" t="n"/>
      <c r="X363" s="12" t="n"/>
      <c r="Y363" s="12" t="n"/>
      <c r="Z363" s="12" t="n"/>
    </row>
    <row r="364" ht="45.75" customHeight="1" s="21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84" t="n"/>
      <c r="P364" s="184" t="n"/>
      <c r="Q364" s="184" t="n"/>
      <c r="R364" s="184" t="n"/>
      <c r="S364" s="184" t="n"/>
      <c r="T364" s="165" t="n"/>
      <c r="U364" s="179" t="n"/>
      <c r="V364" s="179" t="n"/>
      <c r="W364" s="12" t="n"/>
      <c r="X364" s="12" t="n"/>
      <c r="Y364" s="12" t="n"/>
      <c r="Z364" s="12" t="n"/>
    </row>
    <row r="365" ht="45.75" customHeight="1" s="21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84" t="n"/>
      <c r="P365" s="184" t="n"/>
      <c r="Q365" s="184" t="n"/>
      <c r="R365" s="184" t="n"/>
      <c r="S365" s="184" t="n"/>
      <c r="T365" s="165" t="n"/>
      <c r="U365" s="179" t="n"/>
      <c r="V365" s="179" t="n"/>
      <c r="W365" s="12" t="n"/>
      <c r="X365" s="12" t="n"/>
      <c r="Y365" s="12" t="n"/>
      <c r="Z365" s="12" t="n"/>
    </row>
    <row r="366" ht="45.75" customHeight="1" s="21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84" t="n"/>
      <c r="P366" s="184" t="n"/>
      <c r="Q366" s="184" t="n"/>
      <c r="R366" s="184" t="n"/>
      <c r="S366" s="184" t="n"/>
      <c r="T366" s="165" t="n"/>
      <c r="U366" s="179" t="n"/>
      <c r="V366" s="179" t="n"/>
      <c r="W366" s="12" t="n"/>
      <c r="X366" s="12" t="n"/>
      <c r="Y366" s="12" t="n"/>
      <c r="Z366" s="12" t="n"/>
    </row>
    <row r="367" ht="45.75" customHeight="1" s="21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84" t="n"/>
      <c r="P367" s="184" t="n"/>
      <c r="Q367" s="184" t="n"/>
      <c r="R367" s="184" t="n"/>
      <c r="S367" s="184" t="n"/>
      <c r="T367" s="165" t="n"/>
      <c r="U367" s="179" t="n"/>
      <c r="V367" s="179" t="n"/>
      <c r="W367" s="12" t="n"/>
      <c r="X367" s="12" t="n"/>
      <c r="Y367" s="12" t="n"/>
      <c r="Z367" s="12" t="n"/>
    </row>
    <row r="368" ht="45.75" customHeight="1" s="21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84" t="n"/>
      <c r="P368" s="184" t="n"/>
      <c r="Q368" s="184" t="n"/>
      <c r="R368" s="184" t="n"/>
      <c r="S368" s="184" t="n"/>
      <c r="T368" s="165" t="n"/>
      <c r="U368" s="179" t="n"/>
      <c r="V368" s="179" t="n"/>
      <c r="W368" s="12" t="n"/>
      <c r="X368" s="12" t="n"/>
      <c r="Y368" s="12" t="n"/>
      <c r="Z368" s="12" t="n"/>
    </row>
    <row r="369" ht="45.75" customHeight="1" s="21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84" t="n"/>
      <c r="P369" s="184" t="n"/>
      <c r="Q369" s="184" t="n"/>
      <c r="R369" s="184" t="n"/>
      <c r="S369" s="184" t="n"/>
      <c r="T369" s="165" t="n"/>
      <c r="U369" s="179" t="n"/>
      <c r="V369" s="179" t="n"/>
      <c r="W369" s="12" t="n"/>
      <c r="X369" s="12" t="n"/>
      <c r="Y369" s="12" t="n"/>
      <c r="Z369" s="12" t="n"/>
    </row>
    <row r="370" ht="45.75" customHeight="1" s="21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84" t="n"/>
      <c r="P370" s="184" t="n"/>
      <c r="Q370" s="184" t="n"/>
      <c r="R370" s="184" t="n"/>
      <c r="S370" s="184" t="n"/>
      <c r="T370" s="165" t="n"/>
      <c r="U370" s="179" t="n"/>
      <c r="V370" s="179" t="n"/>
      <c r="W370" s="12" t="n"/>
      <c r="X370" s="12" t="n"/>
      <c r="Y370" s="12" t="n"/>
      <c r="Z370" s="12" t="n"/>
    </row>
    <row r="371" ht="45.75" customHeight="1" s="21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84" t="n"/>
      <c r="P371" s="184" t="n"/>
      <c r="Q371" s="184" t="n"/>
      <c r="R371" s="184" t="n"/>
      <c r="S371" s="184" t="n"/>
      <c r="T371" s="165" t="n"/>
      <c r="U371" s="179" t="n"/>
      <c r="V371" s="179" t="n"/>
      <c r="W371" s="12" t="n"/>
      <c r="X371" s="12" t="n"/>
      <c r="Y371" s="12" t="n"/>
      <c r="Z371" s="12" t="n"/>
    </row>
    <row r="372" ht="45.75" customHeight="1" s="21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84" t="n"/>
      <c r="P372" s="184" t="n"/>
      <c r="Q372" s="184" t="n"/>
      <c r="R372" s="184" t="n"/>
      <c r="S372" s="184" t="n"/>
      <c r="T372" s="165" t="n"/>
      <c r="U372" s="179" t="n"/>
      <c r="V372" s="179" t="n"/>
      <c r="W372" s="12" t="n"/>
      <c r="X372" s="12" t="n"/>
      <c r="Y372" s="12" t="n"/>
      <c r="Z372" s="12" t="n"/>
    </row>
    <row r="373" ht="45.75" customHeight="1" s="21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84" t="n"/>
      <c r="P373" s="184" t="n"/>
      <c r="Q373" s="184" t="n"/>
      <c r="R373" s="184" t="n"/>
      <c r="S373" s="184" t="n"/>
      <c r="T373" s="165" t="n"/>
      <c r="U373" s="179" t="n"/>
      <c r="V373" s="179" t="n"/>
      <c r="W373" s="12" t="n"/>
      <c r="X373" s="12" t="n"/>
      <c r="Y373" s="12" t="n"/>
      <c r="Z373" s="12" t="n"/>
    </row>
    <row r="374" ht="45.75" customHeight="1" s="21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84" t="n"/>
      <c r="P374" s="184" t="n"/>
      <c r="Q374" s="184" t="n"/>
      <c r="R374" s="184" t="n"/>
      <c r="S374" s="184" t="n"/>
      <c r="T374" s="165" t="n"/>
      <c r="U374" s="179" t="n"/>
      <c r="V374" s="179" t="n"/>
      <c r="W374" s="12" t="n"/>
      <c r="X374" s="12" t="n"/>
      <c r="Y374" s="12" t="n"/>
      <c r="Z374" s="12" t="n"/>
    </row>
    <row r="375" ht="45.75" customHeight="1" s="21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84" t="n"/>
      <c r="P375" s="184" t="n"/>
      <c r="Q375" s="184" t="n"/>
      <c r="R375" s="184" t="n"/>
      <c r="S375" s="184" t="n"/>
      <c r="T375" s="165" t="n"/>
      <c r="U375" s="179" t="n"/>
      <c r="V375" s="179" t="n"/>
      <c r="W375" s="12" t="n"/>
      <c r="X375" s="12" t="n"/>
      <c r="Y375" s="12" t="n"/>
      <c r="Z375" s="12" t="n"/>
    </row>
    <row r="376" ht="45.75" customHeight="1" s="21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84" t="n"/>
      <c r="P376" s="184" t="n"/>
      <c r="Q376" s="184" t="n"/>
      <c r="R376" s="184" t="n"/>
      <c r="S376" s="184" t="n"/>
      <c r="T376" s="165" t="n"/>
      <c r="U376" s="179" t="n"/>
      <c r="V376" s="179" t="n"/>
      <c r="W376" s="12" t="n"/>
      <c r="X376" s="12" t="n"/>
      <c r="Y376" s="12" t="n"/>
      <c r="Z376" s="12" t="n"/>
    </row>
    <row r="377" ht="45.75" customHeight="1" s="21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84" t="n"/>
      <c r="P377" s="184" t="n"/>
      <c r="Q377" s="184" t="n"/>
      <c r="R377" s="184" t="n"/>
      <c r="S377" s="184" t="n"/>
      <c r="T377" s="165" t="n"/>
      <c r="U377" s="179" t="n"/>
      <c r="V377" s="179" t="n"/>
      <c r="W377" s="12" t="n"/>
      <c r="X377" s="12" t="n"/>
      <c r="Y377" s="12" t="n"/>
      <c r="Z377" s="12" t="n"/>
    </row>
    <row r="378" ht="45.75" customHeight="1" s="21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84" t="n"/>
      <c r="P378" s="184" t="n"/>
      <c r="Q378" s="184" t="n"/>
      <c r="R378" s="184" t="n"/>
      <c r="S378" s="184" t="n"/>
      <c r="T378" s="165" t="n"/>
      <c r="U378" s="179" t="n"/>
      <c r="V378" s="179" t="n"/>
      <c r="W378" s="12" t="n"/>
      <c r="X378" s="12" t="n"/>
      <c r="Y378" s="12" t="n"/>
      <c r="Z378" s="12" t="n"/>
    </row>
    <row r="379" ht="45.75" customHeight="1" s="21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84" t="n"/>
      <c r="P379" s="184" t="n"/>
      <c r="Q379" s="184" t="n"/>
      <c r="R379" s="184" t="n"/>
      <c r="S379" s="184" t="n"/>
      <c r="T379" s="165" t="n"/>
      <c r="U379" s="179" t="n"/>
      <c r="V379" s="179" t="n"/>
      <c r="W379" s="12" t="n"/>
      <c r="X379" s="12" t="n"/>
      <c r="Y379" s="12" t="n"/>
      <c r="Z379" s="12" t="n"/>
    </row>
    <row r="380" ht="45.75" customHeight="1" s="21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84" t="n"/>
      <c r="P380" s="184" t="n"/>
      <c r="Q380" s="184" t="n"/>
      <c r="R380" s="184" t="n"/>
      <c r="S380" s="184" t="n"/>
      <c r="T380" s="165" t="n"/>
      <c r="U380" s="179" t="n"/>
      <c r="V380" s="179" t="n"/>
      <c r="W380" s="12" t="n"/>
      <c r="X380" s="12" t="n"/>
      <c r="Y380" s="12" t="n"/>
      <c r="Z380" s="12" t="n"/>
    </row>
    <row r="381" ht="45.75" customHeight="1" s="21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84" t="n"/>
      <c r="P381" s="184" t="n"/>
      <c r="Q381" s="184" t="n"/>
      <c r="R381" s="184" t="n"/>
      <c r="S381" s="184" t="n"/>
      <c r="T381" s="165" t="n"/>
      <c r="U381" s="179" t="n"/>
      <c r="V381" s="179" t="n"/>
      <c r="W381" s="12" t="n"/>
      <c r="X381" s="12" t="n"/>
      <c r="Y381" s="12" t="n"/>
      <c r="Z381" s="12" t="n"/>
    </row>
    <row r="382" ht="45.75" customHeight="1" s="21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84" t="n"/>
      <c r="P382" s="184" t="n"/>
      <c r="Q382" s="184" t="n"/>
      <c r="R382" s="184" t="n"/>
      <c r="S382" s="184" t="n"/>
      <c r="T382" s="165" t="n"/>
      <c r="U382" s="179" t="n"/>
      <c r="V382" s="179" t="n"/>
      <c r="W382" s="12" t="n"/>
      <c r="X382" s="12" t="n"/>
      <c r="Y382" s="12" t="n"/>
      <c r="Z382" s="12" t="n"/>
    </row>
    <row r="383" ht="45.75" customHeight="1" s="21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84" t="n"/>
      <c r="P383" s="184" t="n"/>
      <c r="Q383" s="184" t="n"/>
      <c r="R383" s="184" t="n"/>
      <c r="S383" s="184" t="n"/>
      <c r="T383" s="165" t="n"/>
      <c r="U383" s="179" t="n"/>
      <c r="V383" s="179" t="n"/>
      <c r="W383" s="12" t="n"/>
      <c r="X383" s="12" t="n"/>
      <c r="Y383" s="12" t="n"/>
      <c r="Z383" s="12" t="n"/>
    </row>
    <row r="384" ht="45.75" customHeight="1" s="21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84" t="n"/>
      <c r="P384" s="184" t="n"/>
      <c r="Q384" s="184" t="n"/>
      <c r="R384" s="184" t="n"/>
      <c r="S384" s="184" t="n"/>
      <c r="T384" s="165" t="n"/>
      <c r="U384" s="179" t="n"/>
      <c r="V384" s="179" t="n"/>
      <c r="W384" s="12" t="n"/>
      <c r="X384" s="12" t="n"/>
      <c r="Y384" s="12" t="n"/>
      <c r="Z384" s="12" t="n"/>
    </row>
    <row r="385" ht="45.75" customHeight="1" s="21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84" t="n"/>
      <c r="P385" s="184" t="n"/>
      <c r="Q385" s="184" t="n"/>
      <c r="R385" s="184" t="n"/>
      <c r="S385" s="184" t="n"/>
      <c r="T385" s="165" t="n"/>
      <c r="U385" s="179" t="n"/>
      <c r="V385" s="179" t="n"/>
      <c r="W385" s="12" t="n"/>
      <c r="X385" s="12" t="n"/>
      <c r="Y385" s="12" t="n"/>
      <c r="Z385" s="12" t="n"/>
    </row>
    <row r="386" ht="45.75" customHeight="1" s="21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84" t="n"/>
      <c r="P386" s="184" t="n"/>
      <c r="Q386" s="184" t="n"/>
      <c r="R386" s="184" t="n"/>
      <c r="S386" s="184" t="n"/>
      <c r="T386" s="165" t="n"/>
      <c r="U386" s="179" t="n"/>
      <c r="V386" s="179" t="n"/>
      <c r="W386" s="12" t="n"/>
      <c r="X386" s="12" t="n"/>
      <c r="Y386" s="12" t="n"/>
      <c r="Z386" s="12" t="n"/>
    </row>
    <row r="387" ht="45.75" customHeight="1" s="21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84" t="n"/>
      <c r="P387" s="184" t="n"/>
      <c r="Q387" s="184" t="n"/>
      <c r="R387" s="184" t="n"/>
      <c r="S387" s="184" t="n"/>
      <c r="T387" s="165" t="n"/>
      <c r="U387" s="179" t="n"/>
      <c r="V387" s="179" t="n"/>
      <c r="W387" s="12" t="n"/>
      <c r="X387" s="12" t="n"/>
      <c r="Y387" s="12" t="n"/>
      <c r="Z387" s="12" t="n"/>
    </row>
    <row r="388" ht="45.75" customHeight="1" s="21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84" t="n"/>
      <c r="P388" s="184" t="n"/>
      <c r="Q388" s="184" t="n"/>
      <c r="R388" s="184" t="n"/>
      <c r="S388" s="184" t="n"/>
      <c r="T388" s="165" t="n"/>
      <c r="U388" s="179" t="n"/>
      <c r="V388" s="179" t="n"/>
      <c r="W388" s="12" t="n"/>
      <c r="X388" s="12" t="n"/>
      <c r="Y388" s="12" t="n"/>
      <c r="Z388" s="12" t="n"/>
    </row>
    <row r="389" ht="45.75" customHeight="1" s="21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84" t="n"/>
      <c r="P389" s="184" t="n"/>
      <c r="Q389" s="184" t="n"/>
      <c r="R389" s="184" t="n"/>
      <c r="S389" s="184" t="n"/>
      <c r="T389" s="165" t="n"/>
      <c r="U389" s="179" t="n"/>
      <c r="V389" s="179" t="n"/>
      <c r="W389" s="12" t="n"/>
      <c r="X389" s="12" t="n"/>
      <c r="Y389" s="12" t="n"/>
      <c r="Z389" s="12" t="n"/>
    </row>
    <row r="390" ht="45.75" customHeight="1" s="21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84" t="n"/>
      <c r="P390" s="184" t="n"/>
      <c r="Q390" s="184" t="n"/>
      <c r="R390" s="184" t="n"/>
      <c r="S390" s="184" t="n"/>
      <c r="T390" s="165" t="n"/>
      <c r="U390" s="179" t="n"/>
      <c r="V390" s="179" t="n"/>
      <c r="W390" s="12" t="n"/>
      <c r="X390" s="12" t="n"/>
      <c r="Y390" s="12" t="n"/>
      <c r="Z390" s="12" t="n"/>
    </row>
    <row r="391" ht="45.75" customHeight="1" s="21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84" t="n"/>
      <c r="P391" s="184" t="n"/>
      <c r="Q391" s="184" t="n"/>
      <c r="R391" s="184" t="n"/>
      <c r="S391" s="184" t="n"/>
      <c r="T391" s="165" t="n"/>
      <c r="U391" s="179" t="n"/>
      <c r="V391" s="179" t="n"/>
      <c r="W391" s="12" t="n"/>
      <c r="X391" s="12" t="n"/>
      <c r="Y391" s="12" t="n"/>
      <c r="Z391" s="12" t="n"/>
    </row>
    <row r="392" ht="45.75" customHeight="1" s="21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84" t="n"/>
      <c r="P392" s="184" t="n"/>
      <c r="Q392" s="184" t="n"/>
      <c r="R392" s="184" t="n"/>
      <c r="S392" s="184" t="n"/>
      <c r="T392" s="165" t="n"/>
      <c r="U392" s="179" t="n"/>
      <c r="V392" s="179" t="n"/>
      <c r="W392" s="12" t="n"/>
      <c r="X392" s="12" t="n"/>
      <c r="Y392" s="12" t="n"/>
      <c r="Z392" s="12" t="n"/>
    </row>
    <row r="393" ht="45.75" customHeight="1" s="21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84" t="n"/>
      <c r="P393" s="184" t="n"/>
      <c r="Q393" s="184" t="n"/>
      <c r="R393" s="184" t="n"/>
      <c r="S393" s="184" t="n"/>
      <c r="T393" s="165" t="n"/>
      <c r="U393" s="179" t="n"/>
      <c r="V393" s="179" t="n"/>
      <c r="W393" s="12" t="n"/>
      <c r="X393" s="12" t="n"/>
      <c r="Y393" s="12" t="n"/>
      <c r="Z393" s="12" t="n"/>
    </row>
    <row r="394" ht="45.75" customHeight="1" s="21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84" t="n"/>
      <c r="P394" s="184" t="n"/>
      <c r="Q394" s="184" t="n"/>
      <c r="R394" s="184" t="n"/>
      <c r="S394" s="184" t="n"/>
      <c r="T394" s="165" t="n"/>
      <c r="U394" s="179" t="n"/>
      <c r="V394" s="179" t="n"/>
      <c r="W394" s="12" t="n"/>
      <c r="X394" s="12" t="n"/>
      <c r="Y394" s="12" t="n"/>
      <c r="Z394" s="12" t="n"/>
    </row>
    <row r="395" ht="45.75" customHeight="1" s="21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84" t="n"/>
      <c r="P395" s="184" t="n"/>
      <c r="Q395" s="184" t="n"/>
      <c r="R395" s="184" t="n"/>
      <c r="S395" s="184" t="n"/>
      <c r="T395" s="165" t="n"/>
      <c r="U395" s="179" t="n"/>
      <c r="V395" s="179" t="n"/>
      <c r="W395" s="12" t="n"/>
      <c r="X395" s="12" t="n"/>
      <c r="Y395" s="12" t="n"/>
      <c r="Z395" s="12" t="n"/>
    </row>
    <row r="396" ht="45.75" customHeight="1" s="21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84" t="n"/>
      <c r="P396" s="184" t="n"/>
      <c r="Q396" s="184" t="n"/>
      <c r="R396" s="184" t="n"/>
      <c r="S396" s="184" t="n"/>
      <c r="T396" s="165" t="n"/>
      <c r="U396" s="179" t="n"/>
      <c r="V396" s="179" t="n"/>
      <c r="W396" s="12" t="n"/>
      <c r="X396" s="12" t="n"/>
      <c r="Y396" s="12" t="n"/>
      <c r="Z396" s="12" t="n"/>
    </row>
    <row r="397" ht="45.75" customHeight="1" s="21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84" t="n"/>
      <c r="P397" s="184" t="n"/>
      <c r="Q397" s="184" t="n"/>
      <c r="R397" s="184" t="n"/>
      <c r="S397" s="184" t="n"/>
      <c r="T397" s="165" t="n"/>
      <c r="U397" s="179" t="n"/>
      <c r="V397" s="179" t="n"/>
      <c r="W397" s="12" t="n"/>
      <c r="X397" s="12" t="n"/>
      <c r="Y397" s="12" t="n"/>
      <c r="Z397" s="12" t="n"/>
    </row>
    <row r="398" ht="45.75" customHeight="1" s="21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84" t="n"/>
      <c r="P398" s="184" t="n"/>
      <c r="Q398" s="184" t="n"/>
      <c r="R398" s="184" t="n"/>
      <c r="S398" s="184" t="n"/>
      <c r="T398" s="165" t="n"/>
      <c r="U398" s="179" t="n"/>
      <c r="V398" s="179" t="n"/>
      <c r="W398" s="12" t="n"/>
      <c r="X398" s="12" t="n"/>
      <c r="Y398" s="12" t="n"/>
      <c r="Z398" s="12" t="n"/>
    </row>
    <row r="399" ht="45.75" customHeight="1" s="21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84" t="n"/>
      <c r="P399" s="184" t="n"/>
      <c r="Q399" s="184" t="n"/>
      <c r="R399" s="184" t="n"/>
      <c r="S399" s="184" t="n"/>
      <c r="T399" s="165" t="n"/>
      <c r="U399" s="179" t="n"/>
      <c r="V399" s="179" t="n"/>
      <c r="W399" s="12" t="n"/>
      <c r="X399" s="12" t="n"/>
      <c r="Y399" s="12" t="n"/>
      <c r="Z399" s="12" t="n"/>
    </row>
    <row r="400" ht="45.75" customHeight="1" s="21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84" t="n"/>
      <c r="P400" s="184" t="n"/>
      <c r="Q400" s="184" t="n"/>
      <c r="R400" s="184" t="n"/>
      <c r="S400" s="184" t="n"/>
      <c r="T400" s="165" t="n"/>
      <c r="U400" s="179" t="n"/>
      <c r="V400" s="179" t="n"/>
      <c r="W400" s="12" t="n"/>
      <c r="X400" s="12" t="n"/>
      <c r="Y400" s="12" t="n"/>
      <c r="Z400" s="12" t="n"/>
    </row>
    <row r="401" ht="45.75" customHeight="1" s="21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84" t="n"/>
      <c r="P401" s="184" t="n"/>
      <c r="Q401" s="184" t="n"/>
      <c r="R401" s="184" t="n"/>
      <c r="S401" s="184" t="n"/>
      <c r="T401" s="165" t="n"/>
      <c r="U401" s="179" t="n"/>
      <c r="V401" s="179" t="n"/>
      <c r="W401" s="12" t="n"/>
      <c r="X401" s="12" t="n"/>
      <c r="Y401" s="12" t="n"/>
      <c r="Z401" s="12" t="n"/>
    </row>
    <row r="402" ht="45.75" customHeight="1" s="21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84" t="n"/>
      <c r="P402" s="184" t="n"/>
      <c r="Q402" s="184" t="n"/>
      <c r="R402" s="184" t="n"/>
      <c r="S402" s="184" t="n"/>
      <c r="T402" s="165" t="n"/>
      <c r="U402" s="179" t="n"/>
      <c r="V402" s="179" t="n"/>
      <c r="W402" s="12" t="n"/>
      <c r="X402" s="12" t="n"/>
      <c r="Y402" s="12" t="n"/>
      <c r="Z402" s="12" t="n"/>
    </row>
    <row r="403" ht="45.75" customHeight="1" s="21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84" t="n"/>
      <c r="P403" s="184" t="n"/>
      <c r="Q403" s="184" t="n"/>
      <c r="R403" s="184" t="n"/>
      <c r="S403" s="184" t="n"/>
      <c r="T403" s="165" t="n"/>
      <c r="U403" s="179" t="n"/>
      <c r="V403" s="179" t="n"/>
      <c r="W403" s="12" t="n"/>
      <c r="X403" s="12" t="n"/>
      <c r="Y403" s="12" t="n"/>
      <c r="Z403" s="12" t="n"/>
    </row>
    <row r="404" ht="45.75" customHeight="1" s="21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84" t="n"/>
      <c r="P404" s="184" t="n"/>
      <c r="Q404" s="184" t="n"/>
      <c r="R404" s="184" t="n"/>
      <c r="S404" s="184" t="n"/>
      <c r="T404" s="165" t="n"/>
      <c r="U404" s="179" t="n"/>
      <c r="V404" s="179" t="n"/>
      <c r="W404" s="12" t="n"/>
      <c r="X404" s="12" t="n"/>
      <c r="Y404" s="12" t="n"/>
      <c r="Z404" s="12" t="n"/>
    </row>
    <row r="405" ht="45.75" customHeight="1" s="21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84" t="n"/>
      <c r="P405" s="184" t="n"/>
      <c r="Q405" s="184" t="n"/>
      <c r="R405" s="184" t="n"/>
      <c r="S405" s="184" t="n"/>
      <c r="T405" s="165" t="n"/>
      <c r="U405" s="179" t="n"/>
      <c r="V405" s="179" t="n"/>
      <c r="W405" s="12" t="n"/>
      <c r="X405" s="12" t="n"/>
      <c r="Y405" s="12" t="n"/>
      <c r="Z405" s="12" t="n"/>
    </row>
    <row r="406" ht="45.75" customHeight="1" s="21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84" t="n"/>
      <c r="P406" s="184" t="n"/>
      <c r="Q406" s="184" t="n"/>
      <c r="R406" s="184" t="n"/>
      <c r="S406" s="184" t="n"/>
      <c r="T406" s="165" t="n"/>
      <c r="U406" s="179" t="n"/>
      <c r="V406" s="179" t="n"/>
      <c r="W406" s="12" t="n"/>
      <c r="X406" s="12" t="n"/>
      <c r="Y406" s="12" t="n"/>
      <c r="Z406" s="12" t="n"/>
    </row>
    <row r="407" ht="45.75" customHeight="1" s="21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84" t="n"/>
      <c r="P407" s="184" t="n"/>
      <c r="Q407" s="184" t="n"/>
      <c r="R407" s="184" t="n"/>
      <c r="S407" s="184" t="n"/>
      <c r="T407" s="165" t="n"/>
      <c r="U407" s="179" t="n"/>
      <c r="V407" s="179" t="n"/>
      <c r="W407" s="12" t="n"/>
      <c r="X407" s="12" t="n"/>
      <c r="Y407" s="12" t="n"/>
      <c r="Z407" s="12" t="n"/>
    </row>
    <row r="408" ht="45.75" customHeight="1" s="21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84" t="n"/>
      <c r="P408" s="184" t="n"/>
      <c r="Q408" s="184" t="n"/>
      <c r="R408" s="184" t="n"/>
      <c r="S408" s="184" t="n"/>
      <c r="T408" s="165" t="n"/>
      <c r="U408" s="179" t="n"/>
      <c r="V408" s="179" t="n"/>
      <c r="W408" s="12" t="n"/>
      <c r="X408" s="12" t="n"/>
      <c r="Y408" s="12" t="n"/>
      <c r="Z408" s="12" t="n"/>
    </row>
    <row r="409" ht="45.75" customHeight="1" s="21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84" t="n"/>
      <c r="P409" s="184" t="n"/>
      <c r="Q409" s="184" t="n"/>
      <c r="R409" s="184" t="n"/>
      <c r="S409" s="184" t="n"/>
      <c r="T409" s="165" t="n"/>
      <c r="U409" s="179" t="n"/>
      <c r="V409" s="179" t="n"/>
      <c r="W409" s="12" t="n"/>
      <c r="X409" s="12" t="n"/>
      <c r="Y409" s="12" t="n"/>
      <c r="Z409" s="12" t="n"/>
    </row>
    <row r="410" ht="45.75" customHeight="1" s="21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84" t="n"/>
      <c r="P410" s="184" t="n"/>
      <c r="Q410" s="184" t="n"/>
      <c r="R410" s="184" t="n"/>
      <c r="S410" s="184" t="n"/>
      <c r="T410" s="165" t="n"/>
      <c r="U410" s="179" t="n"/>
      <c r="V410" s="179" t="n"/>
      <c r="W410" s="12" t="n"/>
      <c r="X410" s="12" t="n"/>
      <c r="Y410" s="12" t="n"/>
      <c r="Z410" s="12" t="n"/>
    </row>
    <row r="411" ht="45.75" customHeight="1" s="2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84" t="n"/>
      <c r="P411" s="184" t="n"/>
      <c r="Q411" s="184" t="n"/>
      <c r="R411" s="184" t="n"/>
      <c r="S411" s="184" t="n"/>
      <c r="T411" s="165" t="n"/>
      <c r="U411" s="179" t="n"/>
      <c r="V411" s="179" t="n"/>
      <c r="W411" s="12" t="n"/>
      <c r="X411" s="12" t="n"/>
      <c r="Y411" s="12" t="n"/>
      <c r="Z411" s="12" t="n"/>
    </row>
    <row r="412" ht="45.75" customHeight="1" s="21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84" t="n"/>
      <c r="P412" s="184" t="n"/>
      <c r="Q412" s="184" t="n"/>
      <c r="R412" s="184" t="n"/>
      <c r="S412" s="184" t="n"/>
      <c r="T412" s="165" t="n"/>
      <c r="U412" s="179" t="n"/>
      <c r="V412" s="179" t="n"/>
      <c r="W412" s="12" t="n"/>
      <c r="X412" s="12" t="n"/>
      <c r="Y412" s="12" t="n"/>
      <c r="Z412" s="12" t="n"/>
    </row>
    <row r="413" ht="45.75" customHeight="1" s="21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84" t="n"/>
      <c r="P413" s="184" t="n"/>
      <c r="Q413" s="184" t="n"/>
      <c r="R413" s="184" t="n"/>
      <c r="S413" s="184" t="n"/>
      <c r="T413" s="165" t="n"/>
      <c r="U413" s="179" t="n"/>
      <c r="V413" s="179" t="n"/>
      <c r="W413" s="12" t="n"/>
      <c r="X413" s="12" t="n"/>
      <c r="Y413" s="12" t="n"/>
      <c r="Z413" s="12" t="n"/>
    </row>
    <row r="414" ht="45.75" customHeight="1" s="21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84" t="n"/>
      <c r="P414" s="184" t="n"/>
      <c r="Q414" s="184" t="n"/>
      <c r="R414" s="184" t="n"/>
      <c r="S414" s="184" t="n"/>
      <c r="T414" s="165" t="n"/>
      <c r="U414" s="179" t="n"/>
      <c r="V414" s="179" t="n"/>
      <c r="W414" s="12" t="n"/>
      <c r="X414" s="12" t="n"/>
      <c r="Y414" s="12" t="n"/>
      <c r="Z414" s="12" t="n"/>
    </row>
    <row r="415" ht="45.75" customHeight="1" s="21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84" t="n"/>
      <c r="P415" s="184" t="n"/>
      <c r="Q415" s="184" t="n"/>
      <c r="R415" s="184" t="n"/>
      <c r="S415" s="184" t="n"/>
      <c r="T415" s="165" t="n"/>
      <c r="U415" s="179" t="n"/>
      <c r="V415" s="179" t="n"/>
      <c r="W415" s="12" t="n"/>
      <c r="X415" s="12" t="n"/>
      <c r="Y415" s="12" t="n"/>
      <c r="Z415" s="12" t="n"/>
    </row>
    <row r="416" ht="45.75" customHeight="1" s="21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84" t="n"/>
      <c r="P416" s="184" t="n"/>
      <c r="Q416" s="184" t="n"/>
      <c r="R416" s="184" t="n"/>
      <c r="S416" s="184" t="n"/>
      <c r="T416" s="165" t="n"/>
      <c r="U416" s="179" t="n"/>
      <c r="V416" s="179" t="n"/>
      <c r="W416" s="12" t="n"/>
      <c r="X416" s="12" t="n"/>
      <c r="Y416" s="12" t="n"/>
      <c r="Z416" s="12" t="n"/>
    </row>
    <row r="417" ht="45.75" customHeight="1" s="21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84" t="n"/>
      <c r="P417" s="184" t="n"/>
      <c r="Q417" s="184" t="n"/>
      <c r="R417" s="184" t="n"/>
      <c r="S417" s="184" t="n"/>
      <c r="T417" s="165" t="n"/>
      <c r="U417" s="179" t="n"/>
      <c r="V417" s="179" t="n"/>
      <c r="W417" s="12" t="n"/>
      <c r="X417" s="12" t="n"/>
      <c r="Y417" s="12" t="n"/>
      <c r="Z417" s="12" t="n"/>
    </row>
    <row r="418" ht="45.75" customHeight="1" s="21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84" t="n"/>
      <c r="P418" s="184" t="n"/>
      <c r="Q418" s="184" t="n"/>
      <c r="R418" s="184" t="n"/>
      <c r="S418" s="184" t="n"/>
      <c r="T418" s="165" t="n"/>
      <c r="U418" s="179" t="n"/>
      <c r="V418" s="179" t="n"/>
      <c r="W418" s="12" t="n"/>
      <c r="X418" s="12" t="n"/>
      <c r="Y418" s="12" t="n"/>
      <c r="Z418" s="12" t="n"/>
    </row>
    <row r="419" ht="45.75" customHeight="1" s="21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84" t="n"/>
      <c r="P419" s="184" t="n"/>
      <c r="Q419" s="184" t="n"/>
      <c r="R419" s="184" t="n"/>
      <c r="S419" s="184" t="n"/>
      <c r="T419" s="165" t="n"/>
      <c r="U419" s="179" t="n"/>
      <c r="V419" s="179" t="n"/>
      <c r="W419" s="12" t="n"/>
      <c r="X419" s="12" t="n"/>
      <c r="Y419" s="12" t="n"/>
      <c r="Z419" s="12" t="n"/>
    </row>
    <row r="420" ht="45.75" customHeight="1" s="21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84" t="n"/>
      <c r="P420" s="184" t="n"/>
      <c r="Q420" s="184" t="n"/>
      <c r="R420" s="184" t="n"/>
      <c r="S420" s="184" t="n"/>
      <c r="T420" s="165" t="n"/>
      <c r="U420" s="179" t="n"/>
      <c r="V420" s="179" t="n"/>
      <c r="W420" s="12" t="n"/>
      <c r="X420" s="12" t="n"/>
      <c r="Y420" s="12" t="n"/>
      <c r="Z420" s="12" t="n"/>
    </row>
    <row r="421" ht="45.75" customHeight="1" s="21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84" t="n"/>
      <c r="P421" s="184" t="n"/>
      <c r="Q421" s="184" t="n"/>
      <c r="R421" s="184" t="n"/>
      <c r="S421" s="184" t="n"/>
      <c r="T421" s="165" t="n"/>
      <c r="U421" s="179" t="n"/>
      <c r="V421" s="179" t="n"/>
      <c r="W421" s="12" t="n"/>
      <c r="X421" s="12" t="n"/>
      <c r="Y421" s="12" t="n"/>
      <c r="Z421" s="12" t="n"/>
    </row>
    <row r="422" ht="45.75" customHeight="1" s="21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84" t="n"/>
      <c r="P422" s="184" t="n"/>
      <c r="Q422" s="184" t="n"/>
      <c r="R422" s="184" t="n"/>
      <c r="S422" s="184" t="n"/>
      <c r="T422" s="165" t="n"/>
      <c r="U422" s="179" t="n"/>
      <c r="V422" s="179" t="n"/>
      <c r="W422" s="12" t="n"/>
      <c r="X422" s="12" t="n"/>
      <c r="Y422" s="12" t="n"/>
      <c r="Z422" s="12" t="n"/>
    </row>
    <row r="423" ht="45.75" customHeight="1" s="21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84" t="n"/>
      <c r="P423" s="184" t="n"/>
      <c r="Q423" s="184" t="n"/>
      <c r="R423" s="184" t="n"/>
      <c r="S423" s="184" t="n"/>
      <c r="T423" s="165" t="n"/>
      <c r="U423" s="179" t="n"/>
      <c r="V423" s="179" t="n"/>
      <c r="W423" s="12" t="n"/>
      <c r="X423" s="12" t="n"/>
      <c r="Y423" s="12" t="n"/>
      <c r="Z423" s="12" t="n"/>
    </row>
    <row r="424" ht="45.75" customHeight="1" s="21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84" t="n"/>
      <c r="P424" s="184" t="n"/>
      <c r="Q424" s="184" t="n"/>
      <c r="R424" s="184" t="n"/>
      <c r="S424" s="184" t="n"/>
      <c r="T424" s="165" t="n"/>
      <c r="U424" s="179" t="n"/>
      <c r="V424" s="179" t="n"/>
      <c r="W424" s="12" t="n"/>
      <c r="X424" s="12" t="n"/>
      <c r="Y424" s="12" t="n"/>
      <c r="Z424" s="12" t="n"/>
    </row>
    <row r="425" ht="45.75" customHeight="1" s="21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84" t="n"/>
      <c r="P425" s="184" t="n"/>
      <c r="Q425" s="184" t="n"/>
      <c r="R425" s="184" t="n"/>
      <c r="S425" s="184" t="n"/>
      <c r="T425" s="165" t="n"/>
      <c r="U425" s="179" t="n"/>
      <c r="V425" s="179" t="n"/>
      <c r="W425" s="12" t="n"/>
      <c r="X425" s="12" t="n"/>
      <c r="Y425" s="12" t="n"/>
      <c r="Z425" s="12" t="n"/>
    </row>
    <row r="426" ht="45.75" customHeight="1" s="21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84" t="n"/>
      <c r="P426" s="184" t="n"/>
      <c r="Q426" s="184" t="n"/>
      <c r="R426" s="184" t="n"/>
      <c r="S426" s="184" t="n"/>
      <c r="T426" s="165" t="n"/>
      <c r="U426" s="179" t="n"/>
      <c r="V426" s="179" t="n"/>
      <c r="W426" s="12" t="n"/>
      <c r="X426" s="12" t="n"/>
      <c r="Y426" s="12" t="n"/>
      <c r="Z426" s="12" t="n"/>
    </row>
    <row r="427" ht="45.75" customHeight="1" s="21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84" t="n"/>
      <c r="P427" s="184" t="n"/>
      <c r="Q427" s="184" t="n"/>
      <c r="R427" s="184" t="n"/>
      <c r="S427" s="184" t="n"/>
      <c r="T427" s="165" t="n"/>
      <c r="U427" s="179" t="n"/>
      <c r="V427" s="179" t="n"/>
      <c r="W427" s="12" t="n"/>
      <c r="X427" s="12" t="n"/>
      <c r="Y427" s="12" t="n"/>
      <c r="Z427" s="12" t="n"/>
    </row>
    <row r="428" ht="45.75" customHeight="1" s="21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84" t="n"/>
      <c r="P428" s="184" t="n"/>
      <c r="Q428" s="184" t="n"/>
      <c r="R428" s="184" t="n"/>
      <c r="S428" s="184" t="n"/>
      <c r="T428" s="165" t="n"/>
      <c r="U428" s="179" t="n"/>
      <c r="V428" s="179" t="n"/>
      <c r="W428" s="12" t="n"/>
      <c r="X428" s="12" t="n"/>
      <c r="Y428" s="12" t="n"/>
      <c r="Z428" s="12" t="n"/>
    </row>
    <row r="429" ht="45.75" customHeight="1" s="21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84" t="n"/>
      <c r="P429" s="184" t="n"/>
      <c r="Q429" s="184" t="n"/>
      <c r="R429" s="184" t="n"/>
      <c r="S429" s="184" t="n"/>
      <c r="T429" s="165" t="n"/>
      <c r="U429" s="179" t="n"/>
      <c r="V429" s="179" t="n"/>
      <c r="W429" s="12" t="n"/>
      <c r="X429" s="12" t="n"/>
      <c r="Y429" s="12" t="n"/>
      <c r="Z429" s="12" t="n"/>
    </row>
    <row r="430" ht="45.75" customHeight="1" s="21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84" t="n"/>
      <c r="P430" s="184" t="n"/>
      <c r="Q430" s="184" t="n"/>
      <c r="R430" s="184" t="n"/>
      <c r="S430" s="184" t="n"/>
      <c r="T430" s="165" t="n"/>
      <c r="U430" s="179" t="n"/>
      <c r="V430" s="179" t="n"/>
      <c r="W430" s="12" t="n"/>
      <c r="X430" s="12" t="n"/>
      <c r="Y430" s="12" t="n"/>
      <c r="Z430" s="12" t="n"/>
    </row>
    <row r="431" ht="45.75" customHeight="1" s="21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84" t="n"/>
      <c r="P431" s="184" t="n"/>
      <c r="Q431" s="184" t="n"/>
      <c r="R431" s="184" t="n"/>
      <c r="S431" s="184" t="n"/>
      <c r="T431" s="165" t="n"/>
      <c r="U431" s="179" t="n"/>
      <c r="V431" s="179" t="n"/>
      <c r="W431" s="12" t="n"/>
      <c r="X431" s="12" t="n"/>
      <c r="Y431" s="12" t="n"/>
      <c r="Z431" s="12" t="n"/>
    </row>
    <row r="432" ht="45.75" customHeight="1" s="21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84" t="n"/>
      <c r="P432" s="184" t="n"/>
      <c r="Q432" s="184" t="n"/>
      <c r="R432" s="184" t="n"/>
      <c r="S432" s="184" t="n"/>
      <c r="T432" s="165" t="n"/>
      <c r="U432" s="179" t="n"/>
      <c r="V432" s="179" t="n"/>
      <c r="W432" s="12" t="n"/>
      <c r="X432" s="12" t="n"/>
      <c r="Y432" s="12" t="n"/>
      <c r="Z432" s="12" t="n"/>
    </row>
    <row r="433" ht="45.75" customHeight="1" s="21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84" t="n"/>
      <c r="P433" s="184" t="n"/>
      <c r="Q433" s="184" t="n"/>
      <c r="R433" s="184" t="n"/>
      <c r="S433" s="184" t="n"/>
      <c r="T433" s="165" t="n"/>
      <c r="U433" s="179" t="n"/>
      <c r="V433" s="179" t="n"/>
      <c r="W433" s="12" t="n"/>
      <c r="X433" s="12" t="n"/>
      <c r="Y433" s="12" t="n"/>
      <c r="Z433" s="12" t="n"/>
    </row>
    <row r="434" ht="45.75" customHeight="1" s="21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84" t="n"/>
      <c r="P434" s="184" t="n"/>
      <c r="Q434" s="184" t="n"/>
      <c r="R434" s="184" t="n"/>
      <c r="S434" s="184" t="n"/>
      <c r="T434" s="165" t="n"/>
      <c r="U434" s="179" t="n"/>
      <c r="V434" s="179" t="n"/>
      <c r="W434" s="12" t="n"/>
      <c r="X434" s="12" t="n"/>
      <c r="Y434" s="12" t="n"/>
      <c r="Z434" s="12" t="n"/>
    </row>
    <row r="435" ht="45.75" customHeight="1" s="21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84" t="n"/>
      <c r="P435" s="184" t="n"/>
      <c r="Q435" s="184" t="n"/>
      <c r="R435" s="184" t="n"/>
      <c r="S435" s="184" t="n"/>
      <c r="T435" s="165" t="n"/>
      <c r="U435" s="179" t="n"/>
      <c r="V435" s="179" t="n"/>
      <c r="W435" s="12" t="n"/>
      <c r="X435" s="12" t="n"/>
      <c r="Y435" s="12" t="n"/>
      <c r="Z435" s="12" t="n"/>
    </row>
    <row r="436" ht="45.75" customHeight="1" s="21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84" t="n"/>
      <c r="P436" s="184" t="n"/>
      <c r="Q436" s="184" t="n"/>
      <c r="R436" s="184" t="n"/>
      <c r="S436" s="184" t="n"/>
      <c r="T436" s="165" t="n"/>
      <c r="U436" s="179" t="n"/>
      <c r="V436" s="179" t="n"/>
      <c r="W436" s="12" t="n"/>
      <c r="X436" s="12" t="n"/>
      <c r="Y436" s="12" t="n"/>
      <c r="Z436" s="12" t="n"/>
    </row>
    <row r="437" ht="45.75" customHeight="1" s="21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84" t="n"/>
      <c r="P437" s="184" t="n"/>
      <c r="Q437" s="184" t="n"/>
      <c r="R437" s="184" t="n"/>
      <c r="S437" s="184" t="n"/>
      <c r="T437" s="165" t="n"/>
      <c r="U437" s="179" t="n"/>
      <c r="V437" s="179" t="n"/>
      <c r="W437" s="12" t="n"/>
      <c r="X437" s="12" t="n"/>
      <c r="Y437" s="12" t="n"/>
      <c r="Z437" s="12" t="n"/>
    </row>
    <row r="438" ht="45.75" customHeight="1" s="21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84" t="n"/>
      <c r="P438" s="184" t="n"/>
      <c r="Q438" s="184" t="n"/>
      <c r="R438" s="184" t="n"/>
      <c r="S438" s="184" t="n"/>
      <c r="T438" s="165" t="n"/>
      <c r="U438" s="179" t="n"/>
      <c r="V438" s="179" t="n"/>
      <c r="W438" s="12" t="n"/>
      <c r="X438" s="12" t="n"/>
      <c r="Y438" s="12" t="n"/>
      <c r="Z438" s="12" t="n"/>
    </row>
    <row r="439" ht="45.75" customHeight="1" s="21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84" t="n"/>
      <c r="P439" s="184" t="n"/>
      <c r="Q439" s="184" t="n"/>
      <c r="R439" s="184" t="n"/>
      <c r="S439" s="184" t="n"/>
      <c r="T439" s="165" t="n"/>
      <c r="U439" s="179" t="n"/>
      <c r="V439" s="179" t="n"/>
      <c r="W439" s="12" t="n"/>
      <c r="X439" s="12" t="n"/>
      <c r="Y439" s="12" t="n"/>
      <c r="Z439" s="12" t="n"/>
    </row>
    <row r="440" ht="45.75" customHeight="1" s="21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84" t="n"/>
      <c r="P440" s="184" t="n"/>
      <c r="Q440" s="184" t="n"/>
      <c r="R440" s="184" t="n"/>
      <c r="S440" s="184" t="n"/>
      <c r="T440" s="165" t="n"/>
      <c r="U440" s="179" t="n"/>
      <c r="V440" s="179" t="n"/>
      <c r="W440" s="12" t="n"/>
      <c r="X440" s="12" t="n"/>
      <c r="Y440" s="12" t="n"/>
      <c r="Z440" s="12" t="n"/>
    </row>
    <row r="441" ht="45.75" customHeight="1" s="21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84" t="n"/>
      <c r="P441" s="184" t="n"/>
      <c r="Q441" s="184" t="n"/>
      <c r="R441" s="184" t="n"/>
      <c r="S441" s="184" t="n"/>
      <c r="T441" s="165" t="n"/>
      <c r="U441" s="179" t="n"/>
      <c r="V441" s="179" t="n"/>
      <c r="W441" s="12" t="n"/>
      <c r="X441" s="12" t="n"/>
      <c r="Y441" s="12" t="n"/>
      <c r="Z441" s="12" t="n"/>
    </row>
    <row r="442" ht="45.75" customHeight="1" s="21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84" t="n"/>
      <c r="P442" s="184" t="n"/>
      <c r="Q442" s="184" t="n"/>
      <c r="R442" s="184" t="n"/>
      <c r="S442" s="184" t="n"/>
      <c r="T442" s="165" t="n"/>
      <c r="U442" s="179" t="n"/>
      <c r="V442" s="179" t="n"/>
      <c r="W442" s="12" t="n"/>
      <c r="X442" s="12" t="n"/>
      <c r="Y442" s="12" t="n"/>
      <c r="Z442" s="12" t="n"/>
    </row>
    <row r="443" ht="45.75" customHeight="1" s="21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84" t="n"/>
      <c r="P443" s="184" t="n"/>
      <c r="Q443" s="184" t="n"/>
      <c r="R443" s="184" t="n"/>
      <c r="S443" s="184" t="n"/>
      <c r="T443" s="165" t="n"/>
      <c r="U443" s="179" t="n"/>
      <c r="V443" s="179" t="n"/>
      <c r="W443" s="12" t="n"/>
      <c r="X443" s="12" t="n"/>
      <c r="Y443" s="12" t="n"/>
      <c r="Z443" s="12" t="n"/>
    </row>
    <row r="444" ht="45.75" customHeight="1" s="21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84" t="n"/>
      <c r="P444" s="184" t="n"/>
      <c r="Q444" s="184" t="n"/>
      <c r="R444" s="184" t="n"/>
      <c r="S444" s="184" t="n"/>
      <c r="T444" s="165" t="n"/>
      <c r="U444" s="179" t="n"/>
      <c r="V444" s="179" t="n"/>
      <c r="W444" s="12" t="n"/>
      <c r="X444" s="12" t="n"/>
      <c r="Y444" s="12" t="n"/>
      <c r="Z444" s="12" t="n"/>
    </row>
    <row r="445" ht="45.75" customHeight="1" s="21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84" t="n"/>
      <c r="P445" s="184" t="n"/>
      <c r="Q445" s="184" t="n"/>
      <c r="R445" s="184" t="n"/>
      <c r="S445" s="184" t="n"/>
      <c r="T445" s="165" t="n"/>
      <c r="U445" s="179" t="n"/>
      <c r="V445" s="179" t="n"/>
      <c r="W445" s="12" t="n"/>
      <c r="X445" s="12" t="n"/>
      <c r="Y445" s="12" t="n"/>
      <c r="Z445" s="12" t="n"/>
    </row>
    <row r="446" ht="45.75" customHeight="1" s="21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84" t="n"/>
      <c r="P446" s="184" t="n"/>
      <c r="Q446" s="184" t="n"/>
      <c r="R446" s="184" t="n"/>
      <c r="S446" s="184" t="n"/>
      <c r="T446" s="165" t="n"/>
      <c r="U446" s="179" t="n"/>
      <c r="V446" s="179" t="n"/>
      <c r="W446" s="12" t="n"/>
      <c r="X446" s="12" t="n"/>
      <c r="Y446" s="12" t="n"/>
      <c r="Z446" s="12" t="n"/>
    </row>
    <row r="447" ht="45.75" customHeight="1" s="21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84" t="n"/>
      <c r="P447" s="184" t="n"/>
      <c r="Q447" s="184" t="n"/>
      <c r="R447" s="184" t="n"/>
      <c r="S447" s="184" t="n"/>
      <c r="T447" s="165" t="n"/>
      <c r="U447" s="179" t="n"/>
      <c r="V447" s="179" t="n"/>
      <c r="W447" s="12" t="n"/>
      <c r="X447" s="12" t="n"/>
      <c r="Y447" s="12" t="n"/>
      <c r="Z447" s="12" t="n"/>
    </row>
    <row r="448" ht="45.75" customHeight="1" s="21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84" t="n"/>
      <c r="P448" s="184" t="n"/>
      <c r="Q448" s="184" t="n"/>
      <c r="R448" s="184" t="n"/>
      <c r="S448" s="184" t="n"/>
      <c r="T448" s="165" t="n"/>
      <c r="U448" s="179" t="n"/>
      <c r="V448" s="179" t="n"/>
      <c r="W448" s="12" t="n"/>
      <c r="X448" s="12" t="n"/>
      <c r="Y448" s="12" t="n"/>
      <c r="Z448" s="12" t="n"/>
    </row>
    <row r="449" ht="45.75" customHeight="1" s="21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84" t="n"/>
      <c r="P449" s="184" t="n"/>
      <c r="Q449" s="184" t="n"/>
      <c r="R449" s="184" t="n"/>
      <c r="S449" s="184" t="n"/>
      <c r="T449" s="165" t="n"/>
      <c r="U449" s="179" t="n"/>
      <c r="V449" s="179" t="n"/>
      <c r="W449" s="12" t="n"/>
      <c r="X449" s="12" t="n"/>
      <c r="Y449" s="12" t="n"/>
      <c r="Z449" s="12" t="n"/>
    </row>
    <row r="450" ht="45.75" customHeight="1" s="21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84" t="n"/>
      <c r="P450" s="184" t="n"/>
      <c r="Q450" s="184" t="n"/>
      <c r="R450" s="184" t="n"/>
      <c r="S450" s="184" t="n"/>
      <c r="T450" s="165" t="n"/>
      <c r="U450" s="179" t="n"/>
      <c r="V450" s="179" t="n"/>
      <c r="W450" s="12" t="n"/>
      <c r="X450" s="12" t="n"/>
      <c r="Y450" s="12" t="n"/>
      <c r="Z450" s="12" t="n"/>
    </row>
    <row r="451" ht="45.75" customHeight="1" s="21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84" t="n"/>
      <c r="P451" s="184" t="n"/>
      <c r="Q451" s="184" t="n"/>
      <c r="R451" s="184" t="n"/>
      <c r="S451" s="184" t="n"/>
      <c r="T451" s="165" t="n"/>
      <c r="U451" s="179" t="n"/>
      <c r="V451" s="179" t="n"/>
      <c r="W451" s="12" t="n"/>
      <c r="X451" s="12" t="n"/>
      <c r="Y451" s="12" t="n"/>
      <c r="Z451" s="12" t="n"/>
    </row>
    <row r="452" ht="45.75" customHeight="1" s="21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84" t="n"/>
      <c r="P452" s="184" t="n"/>
      <c r="Q452" s="184" t="n"/>
      <c r="R452" s="184" t="n"/>
      <c r="S452" s="184" t="n"/>
      <c r="T452" s="165" t="n"/>
      <c r="U452" s="179" t="n"/>
      <c r="V452" s="179" t="n"/>
      <c r="W452" s="12" t="n"/>
      <c r="X452" s="12" t="n"/>
      <c r="Y452" s="12" t="n"/>
      <c r="Z452" s="12" t="n"/>
    </row>
    <row r="453" ht="45.75" customHeight="1" s="21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84" t="n"/>
      <c r="P453" s="184" t="n"/>
      <c r="Q453" s="184" t="n"/>
      <c r="R453" s="184" t="n"/>
      <c r="S453" s="184" t="n"/>
      <c r="T453" s="165" t="n"/>
      <c r="U453" s="179" t="n"/>
      <c r="V453" s="179" t="n"/>
      <c r="W453" s="12" t="n"/>
      <c r="X453" s="12" t="n"/>
      <c r="Y453" s="12" t="n"/>
      <c r="Z453" s="12" t="n"/>
    </row>
    <row r="454" ht="45.75" customHeight="1" s="21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84" t="n"/>
      <c r="P454" s="184" t="n"/>
      <c r="Q454" s="184" t="n"/>
      <c r="R454" s="184" t="n"/>
      <c r="S454" s="184" t="n"/>
      <c r="T454" s="165" t="n"/>
      <c r="U454" s="179" t="n"/>
      <c r="V454" s="179" t="n"/>
      <c r="W454" s="12" t="n"/>
      <c r="X454" s="12" t="n"/>
      <c r="Y454" s="12" t="n"/>
      <c r="Z454" s="12" t="n"/>
    </row>
    <row r="455" ht="45.75" customHeight="1" s="21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84" t="n"/>
      <c r="P455" s="184" t="n"/>
      <c r="Q455" s="184" t="n"/>
      <c r="R455" s="184" t="n"/>
      <c r="S455" s="184" t="n"/>
      <c r="T455" s="165" t="n"/>
      <c r="U455" s="179" t="n"/>
      <c r="V455" s="179" t="n"/>
      <c r="W455" s="12" t="n"/>
      <c r="X455" s="12" t="n"/>
      <c r="Y455" s="12" t="n"/>
      <c r="Z455" s="12" t="n"/>
    </row>
    <row r="456" ht="45.75" customHeight="1" s="21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84" t="n"/>
      <c r="P456" s="184" t="n"/>
      <c r="Q456" s="184" t="n"/>
      <c r="R456" s="184" t="n"/>
      <c r="S456" s="184" t="n"/>
      <c r="T456" s="165" t="n"/>
      <c r="U456" s="179" t="n"/>
      <c r="V456" s="179" t="n"/>
      <c r="W456" s="12" t="n"/>
      <c r="X456" s="12" t="n"/>
      <c r="Y456" s="12" t="n"/>
      <c r="Z456" s="12" t="n"/>
    </row>
    <row r="457" ht="45.75" customHeight="1" s="21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84" t="n"/>
      <c r="P457" s="184" t="n"/>
      <c r="Q457" s="184" t="n"/>
      <c r="R457" s="184" t="n"/>
      <c r="S457" s="184" t="n"/>
      <c r="T457" s="165" t="n"/>
      <c r="U457" s="179" t="n"/>
      <c r="V457" s="179" t="n"/>
      <c r="W457" s="12" t="n"/>
      <c r="X457" s="12" t="n"/>
      <c r="Y457" s="12" t="n"/>
      <c r="Z457" s="12" t="n"/>
    </row>
    <row r="458" ht="45.75" customHeight="1" s="21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84" t="n"/>
      <c r="P458" s="184" t="n"/>
      <c r="Q458" s="184" t="n"/>
      <c r="R458" s="184" t="n"/>
      <c r="S458" s="184" t="n"/>
      <c r="T458" s="165" t="n"/>
      <c r="U458" s="179" t="n"/>
      <c r="V458" s="179" t="n"/>
      <c r="W458" s="12" t="n"/>
      <c r="X458" s="12" t="n"/>
      <c r="Y458" s="12" t="n"/>
      <c r="Z458" s="12" t="n"/>
    </row>
    <row r="459" ht="45.75" customHeight="1" s="21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84" t="n"/>
      <c r="P459" s="184" t="n"/>
      <c r="Q459" s="184" t="n"/>
      <c r="R459" s="184" t="n"/>
      <c r="S459" s="184" t="n"/>
      <c r="T459" s="165" t="n"/>
      <c r="U459" s="179" t="n"/>
      <c r="V459" s="179" t="n"/>
      <c r="W459" s="12" t="n"/>
      <c r="X459" s="12" t="n"/>
      <c r="Y459" s="12" t="n"/>
      <c r="Z459" s="12" t="n"/>
    </row>
    <row r="460" ht="45.75" customHeight="1" s="21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84" t="n"/>
      <c r="P460" s="184" t="n"/>
      <c r="Q460" s="184" t="n"/>
      <c r="R460" s="184" t="n"/>
      <c r="S460" s="184" t="n"/>
      <c r="T460" s="165" t="n"/>
      <c r="U460" s="179" t="n"/>
      <c r="V460" s="179" t="n"/>
      <c r="W460" s="12" t="n"/>
      <c r="X460" s="12" t="n"/>
      <c r="Y460" s="12" t="n"/>
      <c r="Z460" s="12" t="n"/>
    </row>
    <row r="461" ht="45.75" customHeight="1" s="21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84" t="n"/>
      <c r="P461" s="184" t="n"/>
      <c r="Q461" s="184" t="n"/>
      <c r="R461" s="184" t="n"/>
      <c r="S461" s="184" t="n"/>
      <c r="T461" s="165" t="n"/>
      <c r="U461" s="179" t="n"/>
      <c r="V461" s="179" t="n"/>
      <c r="W461" s="12" t="n"/>
      <c r="X461" s="12" t="n"/>
      <c r="Y461" s="12" t="n"/>
      <c r="Z461" s="12" t="n"/>
    </row>
    <row r="462" ht="45.75" customHeight="1" s="21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84" t="n"/>
      <c r="P462" s="184" t="n"/>
      <c r="Q462" s="184" t="n"/>
      <c r="R462" s="184" t="n"/>
      <c r="S462" s="184" t="n"/>
      <c r="T462" s="165" t="n"/>
      <c r="U462" s="179" t="n"/>
      <c r="V462" s="179" t="n"/>
      <c r="W462" s="12" t="n"/>
      <c r="X462" s="12" t="n"/>
      <c r="Y462" s="12" t="n"/>
      <c r="Z462" s="12" t="n"/>
    </row>
    <row r="463" ht="45.75" customHeight="1" s="21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84" t="n"/>
      <c r="P463" s="184" t="n"/>
      <c r="Q463" s="184" t="n"/>
      <c r="R463" s="184" t="n"/>
      <c r="S463" s="184" t="n"/>
      <c r="T463" s="165" t="n"/>
      <c r="U463" s="179" t="n"/>
      <c r="V463" s="179" t="n"/>
      <c r="W463" s="12" t="n"/>
      <c r="X463" s="12" t="n"/>
      <c r="Y463" s="12" t="n"/>
      <c r="Z463" s="12" t="n"/>
    </row>
    <row r="464" ht="45.75" customHeight="1" s="21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84" t="n"/>
      <c r="P464" s="184" t="n"/>
      <c r="Q464" s="184" t="n"/>
      <c r="R464" s="184" t="n"/>
      <c r="S464" s="184" t="n"/>
      <c r="T464" s="165" t="n"/>
      <c r="U464" s="179" t="n"/>
      <c r="V464" s="179" t="n"/>
      <c r="W464" s="12" t="n"/>
      <c r="X464" s="12" t="n"/>
      <c r="Y464" s="12" t="n"/>
      <c r="Z464" s="12" t="n"/>
    </row>
    <row r="465" ht="45.75" customHeight="1" s="21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84" t="n"/>
      <c r="P465" s="184" t="n"/>
      <c r="Q465" s="184" t="n"/>
      <c r="R465" s="184" t="n"/>
      <c r="S465" s="184" t="n"/>
      <c r="T465" s="165" t="n"/>
      <c r="U465" s="179" t="n"/>
      <c r="V465" s="179" t="n"/>
      <c r="W465" s="12" t="n"/>
      <c r="X465" s="12" t="n"/>
      <c r="Y465" s="12" t="n"/>
      <c r="Z465" s="12" t="n"/>
    </row>
    <row r="466" ht="45.75" customHeight="1" s="21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84" t="n"/>
      <c r="P466" s="184" t="n"/>
      <c r="Q466" s="184" t="n"/>
      <c r="R466" s="184" t="n"/>
      <c r="S466" s="184" t="n"/>
      <c r="T466" s="165" t="n"/>
      <c r="U466" s="179" t="n"/>
      <c r="V466" s="179" t="n"/>
      <c r="W466" s="12" t="n"/>
      <c r="X466" s="12" t="n"/>
      <c r="Y466" s="12" t="n"/>
      <c r="Z466" s="12" t="n"/>
    </row>
    <row r="467" ht="45.75" customHeight="1" s="21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84" t="n"/>
      <c r="P467" s="184" t="n"/>
      <c r="Q467" s="184" t="n"/>
      <c r="R467" s="184" t="n"/>
      <c r="S467" s="184" t="n"/>
      <c r="T467" s="165" t="n"/>
      <c r="U467" s="179" t="n"/>
      <c r="V467" s="179" t="n"/>
      <c r="W467" s="12" t="n"/>
      <c r="X467" s="12" t="n"/>
      <c r="Y467" s="12" t="n"/>
      <c r="Z467" s="12" t="n"/>
    </row>
    <row r="468" ht="45.75" customHeight="1" s="21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84" t="n"/>
      <c r="P468" s="184" t="n"/>
      <c r="Q468" s="184" t="n"/>
      <c r="R468" s="184" t="n"/>
      <c r="S468" s="184" t="n"/>
      <c r="T468" s="165" t="n"/>
      <c r="U468" s="179" t="n"/>
      <c r="V468" s="179" t="n"/>
      <c r="W468" s="12" t="n"/>
      <c r="X468" s="12" t="n"/>
      <c r="Y468" s="12" t="n"/>
      <c r="Z468" s="12" t="n"/>
    </row>
    <row r="469" ht="45.75" customHeight="1" s="21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84" t="n"/>
      <c r="P469" s="184" t="n"/>
      <c r="Q469" s="184" t="n"/>
      <c r="R469" s="184" t="n"/>
      <c r="S469" s="184" t="n"/>
      <c r="T469" s="165" t="n"/>
      <c r="U469" s="179" t="n"/>
      <c r="V469" s="179" t="n"/>
      <c r="W469" s="12" t="n"/>
      <c r="X469" s="12" t="n"/>
      <c r="Y469" s="12" t="n"/>
      <c r="Z469" s="12" t="n"/>
    </row>
    <row r="470" ht="45.75" customHeight="1" s="21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84" t="n"/>
      <c r="P470" s="184" t="n"/>
      <c r="Q470" s="184" t="n"/>
      <c r="R470" s="184" t="n"/>
      <c r="S470" s="184" t="n"/>
      <c r="T470" s="165" t="n"/>
      <c r="U470" s="179" t="n"/>
      <c r="V470" s="179" t="n"/>
      <c r="W470" s="12" t="n"/>
      <c r="X470" s="12" t="n"/>
      <c r="Y470" s="12" t="n"/>
      <c r="Z470" s="12" t="n"/>
    </row>
    <row r="471" ht="45.75" customHeight="1" s="21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84" t="n"/>
      <c r="P471" s="184" t="n"/>
      <c r="Q471" s="184" t="n"/>
      <c r="R471" s="184" t="n"/>
      <c r="S471" s="184" t="n"/>
      <c r="T471" s="165" t="n"/>
      <c r="U471" s="179" t="n"/>
      <c r="V471" s="179" t="n"/>
      <c r="W471" s="12" t="n"/>
      <c r="X471" s="12" t="n"/>
      <c r="Y471" s="12" t="n"/>
      <c r="Z471" s="12" t="n"/>
    </row>
    <row r="472" ht="45.75" customHeight="1" s="21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84" t="n"/>
      <c r="P472" s="184" t="n"/>
      <c r="Q472" s="184" t="n"/>
      <c r="R472" s="184" t="n"/>
      <c r="S472" s="184" t="n"/>
      <c r="T472" s="165" t="n"/>
      <c r="U472" s="179" t="n"/>
      <c r="V472" s="179" t="n"/>
      <c r="W472" s="12" t="n"/>
      <c r="X472" s="12" t="n"/>
      <c r="Y472" s="12" t="n"/>
      <c r="Z472" s="12" t="n"/>
    </row>
    <row r="473" ht="45.75" customHeight="1" s="21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84" t="n"/>
      <c r="P473" s="184" t="n"/>
      <c r="Q473" s="184" t="n"/>
      <c r="R473" s="184" t="n"/>
      <c r="S473" s="184" t="n"/>
      <c r="T473" s="165" t="n"/>
      <c r="U473" s="179" t="n"/>
      <c r="V473" s="179" t="n"/>
      <c r="W473" s="12" t="n"/>
      <c r="X473" s="12" t="n"/>
      <c r="Y473" s="12" t="n"/>
      <c r="Z473" s="12" t="n"/>
    </row>
    <row r="474" ht="45.75" customHeight="1" s="21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84" t="n"/>
      <c r="P474" s="184" t="n"/>
      <c r="Q474" s="184" t="n"/>
      <c r="R474" s="184" t="n"/>
      <c r="S474" s="184" t="n"/>
      <c r="T474" s="165" t="n"/>
      <c r="U474" s="179" t="n"/>
      <c r="V474" s="179" t="n"/>
      <c r="W474" s="12" t="n"/>
      <c r="X474" s="12" t="n"/>
      <c r="Y474" s="12" t="n"/>
      <c r="Z474" s="12" t="n"/>
    </row>
    <row r="475" ht="45.75" customHeight="1" s="21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84" t="n"/>
      <c r="P475" s="184" t="n"/>
      <c r="Q475" s="184" t="n"/>
      <c r="R475" s="184" t="n"/>
      <c r="S475" s="184" t="n"/>
      <c r="T475" s="165" t="n"/>
      <c r="U475" s="179" t="n"/>
      <c r="V475" s="179" t="n"/>
      <c r="W475" s="12" t="n"/>
      <c r="X475" s="12" t="n"/>
      <c r="Y475" s="12" t="n"/>
      <c r="Z475" s="12" t="n"/>
    </row>
    <row r="476" ht="45.75" customHeight="1" s="21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84" t="n"/>
      <c r="P476" s="184" t="n"/>
      <c r="Q476" s="184" t="n"/>
      <c r="R476" s="184" t="n"/>
      <c r="S476" s="184" t="n"/>
      <c r="T476" s="165" t="n"/>
      <c r="U476" s="179" t="n"/>
      <c r="V476" s="179" t="n"/>
      <c r="W476" s="12" t="n"/>
      <c r="X476" s="12" t="n"/>
      <c r="Y476" s="12" t="n"/>
      <c r="Z476" s="12" t="n"/>
    </row>
    <row r="477" ht="45.75" customHeight="1" s="21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84" t="n"/>
      <c r="P477" s="184" t="n"/>
      <c r="Q477" s="184" t="n"/>
      <c r="R477" s="184" t="n"/>
      <c r="S477" s="184" t="n"/>
      <c r="T477" s="165" t="n"/>
      <c r="U477" s="179" t="n"/>
      <c r="V477" s="179" t="n"/>
      <c r="W477" s="12" t="n"/>
      <c r="X477" s="12" t="n"/>
      <c r="Y477" s="12" t="n"/>
      <c r="Z477" s="12" t="n"/>
    </row>
    <row r="478" ht="45.75" customHeight="1" s="21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84" t="n"/>
      <c r="P478" s="184" t="n"/>
      <c r="Q478" s="184" t="n"/>
      <c r="R478" s="184" t="n"/>
      <c r="S478" s="184" t="n"/>
      <c r="T478" s="165" t="n"/>
      <c r="U478" s="179" t="n"/>
      <c r="V478" s="179" t="n"/>
      <c r="W478" s="12" t="n"/>
      <c r="X478" s="12" t="n"/>
      <c r="Y478" s="12" t="n"/>
      <c r="Z478" s="12" t="n"/>
    </row>
    <row r="479" ht="45.75" customHeight="1" s="21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84" t="n"/>
      <c r="P479" s="184" t="n"/>
      <c r="Q479" s="184" t="n"/>
      <c r="R479" s="184" t="n"/>
      <c r="S479" s="184" t="n"/>
      <c r="T479" s="165" t="n"/>
      <c r="U479" s="179" t="n"/>
      <c r="V479" s="179" t="n"/>
      <c r="W479" s="12" t="n"/>
      <c r="X479" s="12" t="n"/>
      <c r="Y479" s="12" t="n"/>
      <c r="Z479" s="12" t="n"/>
    </row>
    <row r="480" ht="45.75" customHeight="1" s="21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84" t="n"/>
      <c r="P480" s="184" t="n"/>
      <c r="Q480" s="184" t="n"/>
      <c r="R480" s="184" t="n"/>
      <c r="S480" s="184" t="n"/>
      <c r="T480" s="165" t="n"/>
      <c r="U480" s="179" t="n"/>
      <c r="V480" s="179" t="n"/>
      <c r="W480" s="12" t="n"/>
      <c r="X480" s="12" t="n"/>
      <c r="Y480" s="12" t="n"/>
      <c r="Z480" s="12" t="n"/>
    </row>
    <row r="481" ht="45.75" customHeight="1" s="21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84" t="n"/>
      <c r="P481" s="184" t="n"/>
      <c r="Q481" s="184" t="n"/>
      <c r="R481" s="184" t="n"/>
      <c r="S481" s="184" t="n"/>
      <c r="T481" s="165" t="n"/>
      <c r="U481" s="179" t="n"/>
      <c r="V481" s="179" t="n"/>
      <c r="W481" s="12" t="n"/>
      <c r="X481" s="12" t="n"/>
      <c r="Y481" s="12" t="n"/>
      <c r="Z481" s="12" t="n"/>
    </row>
    <row r="482" ht="45.75" customHeight="1" s="21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84" t="n"/>
      <c r="P482" s="184" t="n"/>
      <c r="Q482" s="184" t="n"/>
      <c r="R482" s="184" t="n"/>
      <c r="S482" s="184" t="n"/>
      <c r="T482" s="165" t="n"/>
      <c r="U482" s="179" t="n"/>
      <c r="V482" s="179" t="n"/>
      <c r="W482" s="12" t="n"/>
      <c r="X482" s="12" t="n"/>
      <c r="Y482" s="12" t="n"/>
      <c r="Z482" s="12" t="n"/>
    </row>
    <row r="483" ht="45.75" customHeight="1" s="21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84" t="n"/>
      <c r="P483" s="184" t="n"/>
      <c r="Q483" s="184" t="n"/>
      <c r="R483" s="184" t="n"/>
      <c r="S483" s="184" t="n"/>
      <c r="T483" s="165" t="n"/>
      <c r="U483" s="179" t="n"/>
      <c r="V483" s="179" t="n"/>
      <c r="W483" s="12" t="n"/>
      <c r="X483" s="12" t="n"/>
      <c r="Y483" s="12" t="n"/>
      <c r="Z483" s="12" t="n"/>
    </row>
    <row r="484" ht="45.75" customHeight="1" s="21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84" t="n"/>
      <c r="P484" s="184" t="n"/>
      <c r="Q484" s="184" t="n"/>
      <c r="R484" s="184" t="n"/>
      <c r="S484" s="184" t="n"/>
      <c r="T484" s="165" t="n"/>
      <c r="U484" s="179" t="n"/>
      <c r="V484" s="179" t="n"/>
      <c r="W484" s="12" t="n"/>
      <c r="X484" s="12" t="n"/>
      <c r="Y484" s="12" t="n"/>
      <c r="Z484" s="12" t="n"/>
    </row>
    <row r="485" ht="45.75" customHeight="1" s="21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84" t="n"/>
      <c r="P485" s="184" t="n"/>
      <c r="Q485" s="184" t="n"/>
      <c r="R485" s="184" t="n"/>
      <c r="S485" s="184" t="n"/>
      <c r="T485" s="165" t="n"/>
      <c r="U485" s="179" t="n"/>
      <c r="V485" s="179" t="n"/>
      <c r="W485" s="12" t="n"/>
      <c r="X485" s="12" t="n"/>
      <c r="Y485" s="12" t="n"/>
      <c r="Z485" s="12" t="n"/>
    </row>
    <row r="486" ht="45.75" customHeight="1" s="21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84" t="n"/>
      <c r="P486" s="184" t="n"/>
      <c r="Q486" s="184" t="n"/>
      <c r="R486" s="184" t="n"/>
      <c r="S486" s="184" t="n"/>
      <c r="T486" s="165" t="n"/>
      <c r="U486" s="179" t="n"/>
      <c r="V486" s="179" t="n"/>
      <c r="W486" s="12" t="n"/>
      <c r="X486" s="12" t="n"/>
      <c r="Y486" s="12" t="n"/>
      <c r="Z486" s="12" t="n"/>
    </row>
    <row r="487" ht="45.75" customHeight="1" s="21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84" t="n"/>
      <c r="P487" s="184" t="n"/>
      <c r="Q487" s="184" t="n"/>
      <c r="R487" s="184" t="n"/>
      <c r="S487" s="184" t="n"/>
      <c r="T487" s="165" t="n"/>
      <c r="U487" s="179" t="n"/>
      <c r="V487" s="179" t="n"/>
      <c r="W487" s="12" t="n"/>
      <c r="X487" s="12" t="n"/>
      <c r="Y487" s="12" t="n"/>
      <c r="Z487" s="12" t="n"/>
    </row>
    <row r="488" ht="45.75" customHeight="1" s="21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84" t="n"/>
      <c r="P488" s="184" t="n"/>
      <c r="Q488" s="184" t="n"/>
      <c r="R488" s="184" t="n"/>
      <c r="S488" s="184" t="n"/>
      <c r="T488" s="165" t="n"/>
      <c r="U488" s="179" t="n"/>
      <c r="V488" s="179" t="n"/>
      <c r="W488" s="12" t="n"/>
      <c r="X488" s="12" t="n"/>
      <c r="Y488" s="12" t="n"/>
      <c r="Z488" s="12" t="n"/>
    </row>
    <row r="489" ht="45.75" customHeight="1" s="21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84" t="n"/>
      <c r="P489" s="184" t="n"/>
      <c r="Q489" s="184" t="n"/>
      <c r="R489" s="184" t="n"/>
      <c r="S489" s="184" t="n"/>
      <c r="T489" s="165" t="n"/>
      <c r="U489" s="179" t="n"/>
      <c r="V489" s="179" t="n"/>
      <c r="W489" s="12" t="n"/>
      <c r="X489" s="12" t="n"/>
      <c r="Y489" s="12" t="n"/>
      <c r="Z489" s="12" t="n"/>
    </row>
    <row r="490" ht="45.75" customHeight="1" s="21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84" t="n"/>
      <c r="P490" s="184" t="n"/>
      <c r="Q490" s="184" t="n"/>
      <c r="R490" s="184" t="n"/>
      <c r="S490" s="184" t="n"/>
      <c r="T490" s="165" t="n"/>
      <c r="U490" s="179" t="n"/>
      <c r="V490" s="179" t="n"/>
      <c r="W490" s="12" t="n"/>
      <c r="X490" s="12" t="n"/>
      <c r="Y490" s="12" t="n"/>
      <c r="Z490" s="12" t="n"/>
    </row>
    <row r="491" ht="45.75" customHeight="1" s="21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84" t="n"/>
      <c r="P491" s="184" t="n"/>
      <c r="Q491" s="184" t="n"/>
      <c r="R491" s="184" t="n"/>
      <c r="S491" s="184" t="n"/>
      <c r="T491" s="165" t="n"/>
      <c r="U491" s="179" t="n"/>
      <c r="V491" s="179" t="n"/>
      <c r="W491" s="12" t="n"/>
      <c r="X491" s="12" t="n"/>
      <c r="Y491" s="12" t="n"/>
      <c r="Z491" s="12" t="n"/>
    </row>
    <row r="492" ht="45.75" customHeight="1" s="21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84" t="n"/>
      <c r="P492" s="184" t="n"/>
      <c r="Q492" s="184" t="n"/>
      <c r="R492" s="184" t="n"/>
      <c r="S492" s="184" t="n"/>
      <c r="T492" s="165" t="n"/>
      <c r="U492" s="179" t="n"/>
      <c r="V492" s="179" t="n"/>
      <c r="W492" s="12" t="n"/>
      <c r="X492" s="12" t="n"/>
      <c r="Y492" s="12" t="n"/>
      <c r="Z492" s="12" t="n"/>
    </row>
    <row r="493" ht="45.75" customHeight="1" s="21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84" t="n"/>
      <c r="P493" s="184" t="n"/>
      <c r="Q493" s="184" t="n"/>
      <c r="R493" s="184" t="n"/>
      <c r="S493" s="184" t="n"/>
      <c r="T493" s="165" t="n"/>
      <c r="U493" s="179" t="n"/>
      <c r="V493" s="179" t="n"/>
      <c r="W493" s="12" t="n"/>
      <c r="X493" s="12" t="n"/>
      <c r="Y493" s="12" t="n"/>
      <c r="Z493" s="12" t="n"/>
    </row>
    <row r="494" ht="45.75" customHeight="1" s="21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84" t="n"/>
      <c r="P494" s="184" t="n"/>
      <c r="Q494" s="184" t="n"/>
      <c r="R494" s="184" t="n"/>
      <c r="S494" s="184" t="n"/>
      <c r="T494" s="165" t="n"/>
      <c r="U494" s="179" t="n"/>
      <c r="V494" s="179" t="n"/>
      <c r="W494" s="12" t="n"/>
      <c r="X494" s="12" t="n"/>
      <c r="Y494" s="12" t="n"/>
      <c r="Z494" s="12" t="n"/>
    </row>
    <row r="495" ht="45.75" customHeight="1" s="21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84" t="n"/>
      <c r="P495" s="184" t="n"/>
      <c r="Q495" s="184" t="n"/>
      <c r="R495" s="184" t="n"/>
      <c r="S495" s="184" t="n"/>
      <c r="T495" s="165" t="n"/>
      <c r="U495" s="179" t="n"/>
      <c r="V495" s="179" t="n"/>
      <c r="W495" s="12" t="n"/>
      <c r="X495" s="12" t="n"/>
      <c r="Y495" s="12" t="n"/>
      <c r="Z495" s="12" t="n"/>
    </row>
    <row r="496" ht="45.75" customHeight="1" s="21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84" t="n"/>
      <c r="P496" s="184" t="n"/>
      <c r="Q496" s="184" t="n"/>
      <c r="R496" s="184" t="n"/>
      <c r="S496" s="184" t="n"/>
      <c r="T496" s="165" t="n"/>
      <c r="U496" s="179" t="n"/>
      <c r="V496" s="179" t="n"/>
      <c r="W496" s="12" t="n"/>
      <c r="X496" s="12" t="n"/>
      <c r="Y496" s="12" t="n"/>
      <c r="Z496" s="12" t="n"/>
    </row>
    <row r="497" ht="45.75" customHeight="1" s="21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84" t="n"/>
      <c r="P497" s="184" t="n"/>
      <c r="Q497" s="184" t="n"/>
      <c r="R497" s="184" t="n"/>
      <c r="S497" s="184" t="n"/>
      <c r="T497" s="165" t="n"/>
      <c r="U497" s="179" t="n"/>
      <c r="V497" s="179" t="n"/>
      <c r="W497" s="12" t="n"/>
      <c r="X497" s="12" t="n"/>
      <c r="Y497" s="12" t="n"/>
      <c r="Z497" s="12" t="n"/>
    </row>
    <row r="498" ht="45.75" customHeight="1" s="21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84" t="n"/>
      <c r="P498" s="184" t="n"/>
      <c r="Q498" s="184" t="n"/>
      <c r="R498" s="184" t="n"/>
      <c r="S498" s="184" t="n"/>
      <c r="T498" s="165" t="n"/>
      <c r="U498" s="179" t="n"/>
      <c r="V498" s="179" t="n"/>
      <c r="W498" s="12" t="n"/>
      <c r="X498" s="12" t="n"/>
      <c r="Y498" s="12" t="n"/>
      <c r="Z498" s="12" t="n"/>
    </row>
    <row r="499" ht="45.75" customHeight="1" s="21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84" t="n"/>
      <c r="P499" s="184" t="n"/>
      <c r="Q499" s="184" t="n"/>
      <c r="R499" s="184" t="n"/>
      <c r="S499" s="184" t="n"/>
      <c r="T499" s="165" t="n"/>
      <c r="U499" s="179" t="n"/>
      <c r="V499" s="179" t="n"/>
      <c r="W499" s="12" t="n"/>
      <c r="X499" s="12" t="n"/>
      <c r="Y499" s="12" t="n"/>
      <c r="Z499" s="12" t="n"/>
    </row>
    <row r="500" ht="45.75" customHeight="1" s="21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84" t="n"/>
      <c r="P500" s="184" t="n"/>
      <c r="Q500" s="184" t="n"/>
      <c r="R500" s="184" t="n"/>
      <c r="S500" s="184" t="n"/>
      <c r="T500" s="165" t="n"/>
      <c r="U500" s="179" t="n"/>
      <c r="V500" s="179" t="n"/>
      <c r="W500" s="12" t="n"/>
      <c r="X500" s="12" t="n"/>
      <c r="Y500" s="12" t="n"/>
      <c r="Z500" s="12" t="n"/>
    </row>
    <row r="501" ht="45.75" customHeight="1" s="21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84" t="n"/>
      <c r="P501" s="184" t="n"/>
      <c r="Q501" s="184" t="n"/>
      <c r="R501" s="184" t="n"/>
      <c r="S501" s="184" t="n"/>
      <c r="T501" s="165" t="n"/>
      <c r="U501" s="179" t="n"/>
      <c r="V501" s="179" t="n"/>
      <c r="W501" s="12" t="n"/>
      <c r="X501" s="12" t="n"/>
      <c r="Y501" s="12" t="n"/>
      <c r="Z501" s="12" t="n"/>
    </row>
    <row r="502" ht="45.75" customHeight="1" s="21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84" t="n"/>
      <c r="P502" s="184" t="n"/>
      <c r="Q502" s="184" t="n"/>
      <c r="R502" s="184" t="n"/>
      <c r="S502" s="184" t="n"/>
      <c r="T502" s="165" t="n"/>
      <c r="U502" s="179" t="n"/>
      <c r="V502" s="179" t="n"/>
      <c r="W502" s="12" t="n"/>
      <c r="X502" s="12" t="n"/>
      <c r="Y502" s="12" t="n"/>
      <c r="Z502" s="12" t="n"/>
    </row>
    <row r="503" ht="45.75" customHeight="1" s="21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84" t="n"/>
      <c r="P503" s="184" t="n"/>
      <c r="Q503" s="184" t="n"/>
      <c r="R503" s="184" t="n"/>
      <c r="S503" s="184" t="n"/>
      <c r="T503" s="165" t="n"/>
      <c r="U503" s="179" t="n"/>
      <c r="V503" s="179" t="n"/>
      <c r="W503" s="12" t="n"/>
      <c r="X503" s="12" t="n"/>
      <c r="Y503" s="12" t="n"/>
      <c r="Z503" s="12" t="n"/>
    </row>
    <row r="504" ht="45.75" customHeight="1" s="21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84" t="n"/>
      <c r="P504" s="184" t="n"/>
      <c r="Q504" s="184" t="n"/>
      <c r="R504" s="184" t="n"/>
      <c r="S504" s="184" t="n"/>
      <c r="T504" s="165" t="n"/>
      <c r="U504" s="179" t="n"/>
      <c r="V504" s="179" t="n"/>
      <c r="W504" s="12" t="n"/>
      <c r="X504" s="12" t="n"/>
      <c r="Y504" s="12" t="n"/>
      <c r="Z504" s="12" t="n"/>
    </row>
    <row r="505" ht="45.75" customHeight="1" s="21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84" t="n"/>
      <c r="P505" s="184" t="n"/>
      <c r="Q505" s="184" t="n"/>
      <c r="R505" s="184" t="n"/>
      <c r="S505" s="184" t="n"/>
      <c r="T505" s="165" t="n"/>
      <c r="U505" s="179" t="n"/>
      <c r="V505" s="179" t="n"/>
      <c r="W505" s="12" t="n"/>
      <c r="X505" s="12" t="n"/>
      <c r="Y505" s="12" t="n"/>
      <c r="Z505" s="12" t="n"/>
    </row>
    <row r="506" ht="45.75" customHeight="1" s="21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84" t="n"/>
      <c r="P506" s="184" t="n"/>
      <c r="Q506" s="184" t="n"/>
      <c r="R506" s="184" t="n"/>
      <c r="S506" s="184" t="n"/>
      <c r="T506" s="165" t="n"/>
      <c r="U506" s="179" t="n"/>
      <c r="V506" s="179" t="n"/>
      <c r="W506" s="12" t="n"/>
      <c r="X506" s="12" t="n"/>
      <c r="Y506" s="12" t="n"/>
      <c r="Z506" s="12" t="n"/>
    </row>
    <row r="507" ht="45.75" customHeight="1" s="21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84" t="n"/>
      <c r="P507" s="184" t="n"/>
      <c r="Q507" s="184" t="n"/>
      <c r="R507" s="184" t="n"/>
      <c r="S507" s="184" t="n"/>
      <c r="T507" s="165" t="n"/>
      <c r="U507" s="179" t="n"/>
      <c r="V507" s="179" t="n"/>
      <c r="W507" s="12" t="n"/>
      <c r="X507" s="12" t="n"/>
      <c r="Y507" s="12" t="n"/>
      <c r="Z507" s="12" t="n"/>
    </row>
    <row r="508" ht="45.75" customHeight="1" s="21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84" t="n"/>
      <c r="P508" s="184" t="n"/>
      <c r="Q508" s="184" t="n"/>
      <c r="R508" s="184" t="n"/>
      <c r="S508" s="184" t="n"/>
      <c r="T508" s="165" t="n"/>
      <c r="U508" s="179" t="n"/>
      <c r="V508" s="179" t="n"/>
      <c r="W508" s="12" t="n"/>
      <c r="X508" s="12" t="n"/>
      <c r="Y508" s="12" t="n"/>
      <c r="Z508" s="12" t="n"/>
    </row>
    <row r="509" ht="45.75" customHeight="1" s="21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84" t="n"/>
      <c r="P509" s="184" t="n"/>
      <c r="Q509" s="184" t="n"/>
      <c r="R509" s="184" t="n"/>
      <c r="S509" s="184" t="n"/>
      <c r="T509" s="165" t="n"/>
      <c r="U509" s="179" t="n"/>
      <c r="V509" s="179" t="n"/>
      <c r="W509" s="12" t="n"/>
      <c r="X509" s="12" t="n"/>
      <c r="Y509" s="12" t="n"/>
      <c r="Z509" s="12" t="n"/>
    </row>
    <row r="510" ht="45.75" customHeight="1" s="21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84" t="n"/>
      <c r="P510" s="184" t="n"/>
      <c r="Q510" s="184" t="n"/>
      <c r="R510" s="184" t="n"/>
      <c r="S510" s="184" t="n"/>
      <c r="T510" s="165" t="n"/>
      <c r="U510" s="179" t="n"/>
      <c r="V510" s="179" t="n"/>
      <c r="W510" s="12" t="n"/>
      <c r="X510" s="12" t="n"/>
      <c r="Y510" s="12" t="n"/>
      <c r="Z510" s="12" t="n"/>
    </row>
    <row r="511" ht="45.75" customHeight="1" s="2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84" t="n"/>
      <c r="P511" s="184" t="n"/>
      <c r="Q511" s="184" t="n"/>
      <c r="R511" s="184" t="n"/>
      <c r="S511" s="184" t="n"/>
      <c r="T511" s="165" t="n"/>
      <c r="U511" s="179" t="n"/>
      <c r="V511" s="179" t="n"/>
      <c r="W511" s="12" t="n"/>
      <c r="X511" s="12" t="n"/>
      <c r="Y511" s="12" t="n"/>
      <c r="Z511" s="12" t="n"/>
    </row>
    <row r="512" ht="45.75" customHeight="1" s="21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84" t="n"/>
      <c r="P512" s="184" t="n"/>
      <c r="Q512" s="184" t="n"/>
      <c r="R512" s="184" t="n"/>
      <c r="S512" s="184" t="n"/>
      <c r="T512" s="165" t="n"/>
      <c r="U512" s="179" t="n"/>
      <c r="V512" s="179" t="n"/>
      <c r="W512" s="12" t="n"/>
      <c r="X512" s="12" t="n"/>
      <c r="Y512" s="12" t="n"/>
      <c r="Z512" s="12" t="n"/>
    </row>
    <row r="513" ht="45.75" customHeight="1" s="21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84" t="n"/>
      <c r="P513" s="184" t="n"/>
      <c r="Q513" s="184" t="n"/>
      <c r="R513" s="184" t="n"/>
      <c r="S513" s="184" t="n"/>
      <c r="T513" s="165" t="n"/>
      <c r="U513" s="179" t="n"/>
      <c r="V513" s="179" t="n"/>
      <c r="W513" s="12" t="n"/>
      <c r="X513" s="12" t="n"/>
      <c r="Y513" s="12" t="n"/>
      <c r="Z513" s="12" t="n"/>
    </row>
    <row r="514" ht="45.75" customHeight="1" s="21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84" t="n"/>
      <c r="P514" s="184" t="n"/>
      <c r="Q514" s="184" t="n"/>
      <c r="R514" s="184" t="n"/>
      <c r="S514" s="184" t="n"/>
      <c r="T514" s="165" t="n"/>
      <c r="U514" s="179" t="n"/>
      <c r="V514" s="179" t="n"/>
      <c r="W514" s="12" t="n"/>
      <c r="X514" s="12" t="n"/>
      <c r="Y514" s="12" t="n"/>
      <c r="Z514" s="12" t="n"/>
    </row>
    <row r="515" ht="45.75" customHeight="1" s="21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84" t="n"/>
      <c r="P515" s="184" t="n"/>
      <c r="Q515" s="184" t="n"/>
      <c r="R515" s="184" t="n"/>
      <c r="S515" s="184" t="n"/>
      <c r="T515" s="165" t="n"/>
      <c r="U515" s="179" t="n"/>
      <c r="V515" s="179" t="n"/>
      <c r="W515" s="12" t="n"/>
      <c r="X515" s="12" t="n"/>
      <c r="Y515" s="12" t="n"/>
      <c r="Z515" s="12" t="n"/>
    </row>
    <row r="516" ht="45.75" customHeight="1" s="21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84" t="n"/>
      <c r="P516" s="184" t="n"/>
      <c r="Q516" s="184" t="n"/>
      <c r="R516" s="184" t="n"/>
      <c r="S516" s="184" t="n"/>
      <c r="T516" s="165" t="n"/>
      <c r="U516" s="179" t="n"/>
      <c r="V516" s="179" t="n"/>
      <c r="W516" s="12" t="n"/>
      <c r="X516" s="12" t="n"/>
      <c r="Y516" s="12" t="n"/>
      <c r="Z516" s="12" t="n"/>
    </row>
    <row r="517" ht="45.75" customHeight="1" s="21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84" t="n"/>
      <c r="P517" s="184" t="n"/>
      <c r="Q517" s="184" t="n"/>
      <c r="R517" s="184" t="n"/>
      <c r="S517" s="184" t="n"/>
      <c r="T517" s="165" t="n"/>
      <c r="U517" s="179" t="n"/>
      <c r="V517" s="179" t="n"/>
      <c r="W517" s="12" t="n"/>
      <c r="X517" s="12" t="n"/>
      <c r="Y517" s="12" t="n"/>
      <c r="Z517" s="12" t="n"/>
    </row>
    <row r="518" ht="45.75" customHeight="1" s="21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84" t="n"/>
      <c r="P518" s="184" t="n"/>
      <c r="Q518" s="184" t="n"/>
      <c r="R518" s="184" t="n"/>
      <c r="S518" s="184" t="n"/>
      <c r="T518" s="165" t="n"/>
      <c r="U518" s="179" t="n"/>
      <c r="V518" s="179" t="n"/>
      <c r="W518" s="12" t="n"/>
      <c r="X518" s="12" t="n"/>
      <c r="Y518" s="12" t="n"/>
      <c r="Z518" s="12" t="n"/>
    </row>
    <row r="519" ht="45.75" customHeight="1" s="21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84" t="n"/>
      <c r="P519" s="184" t="n"/>
      <c r="Q519" s="184" t="n"/>
      <c r="R519" s="184" t="n"/>
      <c r="S519" s="184" t="n"/>
      <c r="T519" s="165" t="n"/>
      <c r="U519" s="179" t="n"/>
      <c r="V519" s="179" t="n"/>
      <c r="W519" s="12" t="n"/>
      <c r="X519" s="12" t="n"/>
      <c r="Y519" s="12" t="n"/>
      <c r="Z519" s="12" t="n"/>
    </row>
    <row r="520" ht="45.75" customHeight="1" s="21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84" t="n"/>
      <c r="P520" s="184" t="n"/>
      <c r="Q520" s="184" t="n"/>
      <c r="R520" s="184" t="n"/>
      <c r="S520" s="184" t="n"/>
      <c r="T520" s="165" t="n"/>
      <c r="U520" s="179" t="n"/>
      <c r="V520" s="179" t="n"/>
      <c r="W520" s="12" t="n"/>
      <c r="X520" s="12" t="n"/>
      <c r="Y520" s="12" t="n"/>
      <c r="Z520" s="12" t="n"/>
    </row>
    <row r="521" ht="45.75" customHeight="1" s="21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84" t="n"/>
      <c r="P521" s="184" t="n"/>
      <c r="Q521" s="184" t="n"/>
      <c r="R521" s="184" t="n"/>
      <c r="S521" s="184" t="n"/>
      <c r="T521" s="165" t="n"/>
      <c r="U521" s="179" t="n"/>
      <c r="V521" s="179" t="n"/>
      <c r="W521" s="12" t="n"/>
      <c r="X521" s="12" t="n"/>
      <c r="Y521" s="12" t="n"/>
      <c r="Z521" s="12" t="n"/>
    </row>
    <row r="522" ht="45.75" customHeight="1" s="21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84" t="n"/>
      <c r="P522" s="184" t="n"/>
      <c r="Q522" s="184" t="n"/>
      <c r="R522" s="184" t="n"/>
      <c r="S522" s="184" t="n"/>
      <c r="T522" s="165" t="n"/>
      <c r="U522" s="179" t="n"/>
      <c r="V522" s="179" t="n"/>
      <c r="W522" s="12" t="n"/>
      <c r="X522" s="12" t="n"/>
      <c r="Y522" s="12" t="n"/>
      <c r="Z522" s="12" t="n"/>
    </row>
    <row r="523" ht="45.75" customHeight="1" s="21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84" t="n"/>
      <c r="P523" s="184" t="n"/>
      <c r="Q523" s="184" t="n"/>
      <c r="R523" s="184" t="n"/>
      <c r="S523" s="184" t="n"/>
      <c r="T523" s="165" t="n"/>
      <c r="U523" s="179" t="n"/>
      <c r="V523" s="179" t="n"/>
      <c r="W523" s="12" t="n"/>
      <c r="X523" s="12" t="n"/>
      <c r="Y523" s="12" t="n"/>
      <c r="Z523" s="12" t="n"/>
    </row>
    <row r="524" ht="45.75" customHeight="1" s="21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84" t="n"/>
      <c r="P524" s="184" t="n"/>
      <c r="Q524" s="184" t="n"/>
      <c r="R524" s="184" t="n"/>
      <c r="S524" s="184" t="n"/>
      <c r="T524" s="165" t="n"/>
      <c r="U524" s="179" t="n"/>
      <c r="V524" s="179" t="n"/>
      <c r="W524" s="12" t="n"/>
      <c r="X524" s="12" t="n"/>
      <c r="Y524" s="12" t="n"/>
      <c r="Z524" s="12" t="n"/>
    </row>
    <row r="525" ht="45.75" customHeight="1" s="21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84" t="n"/>
      <c r="P525" s="184" t="n"/>
      <c r="Q525" s="184" t="n"/>
      <c r="R525" s="184" t="n"/>
      <c r="S525" s="184" t="n"/>
      <c r="T525" s="165" t="n"/>
      <c r="U525" s="179" t="n"/>
      <c r="V525" s="179" t="n"/>
      <c r="W525" s="12" t="n"/>
      <c r="X525" s="12" t="n"/>
      <c r="Y525" s="12" t="n"/>
      <c r="Z525" s="12" t="n"/>
    </row>
    <row r="526" ht="45.75" customHeight="1" s="21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84" t="n"/>
      <c r="P526" s="184" t="n"/>
      <c r="Q526" s="184" t="n"/>
      <c r="R526" s="184" t="n"/>
      <c r="S526" s="184" t="n"/>
      <c r="T526" s="165" t="n"/>
      <c r="U526" s="179" t="n"/>
      <c r="V526" s="179" t="n"/>
      <c r="W526" s="12" t="n"/>
      <c r="X526" s="12" t="n"/>
      <c r="Y526" s="12" t="n"/>
      <c r="Z526" s="12" t="n"/>
    </row>
    <row r="527" ht="45.75" customHeight="1" s="21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84" t="n"/>
      <c r="P527" s="184" t="n"/>
      <c r="Q527" s="184" t="n"/>
      <c r="R527" s="184" t="n"/>
      <c r="S527" s="184" t="n"/>
      <c r="T527" s="165" t="n"/>
      <c r="U527" s="179" t="n"/>
      <c r="V527" s="179" t="n"/>
      <c r="W527" s="12" t="n"/>
      <c r="X527" s="12" t="n"/>
      <c r="Y527" s="12" t="n"/>
      <c r="Z527" s="12" t="n"/>
    </row>
    <row r="528" ht="45.75" customHeight="1" s="21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84" t="n"/>
      <c r="P528" s="184" t="n"/>
      <c r="Q528" s="184" t="n"/>
      <c r="R528" s="184" t="n"/>
      <c r="S528" s="184" t="n"/>
      <c r="T528" s="165" t="n"/>
      <c r="U528" s="179" t="n"/>
      <c r="V528" s="179" t="n"/>
      <c r="W528" s="12" t="n"/>
      <c r="X528" s="12" t="n"/>
      <c r="Y528" s="12" t="n"/>
      <c r="Z528" s="12" t="n"/>
    </row>
    <row r="529" ht="45.75" customHeight="1" s="21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84" t="n"/>
      <c r="P529" s="184" t="n"/>
      <c r="Q529" s="184" t="n"/>
      <c r="R529" s="184" t="n"/>
      <c r="S529" s="184" t="n"/>
      <c r="T529" s="165" t="n"/>
      <c r="U529" s="179" t="n"/>
      <c r="V529" s="179" t="n"/>
      <c r="W529" s="12" t="n"/>
      <c r="X529" s="12" t="n"/>
      <c r="Y529" s="12" t="n"/>
      <c r="Z529" s="12" t="n"/>
    </row>
    <row r="530" ht="45.75" customHeight="1" s="21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84" t="n"/>
      <c r="P530" s="184" t="n"/>
      <c r="Q530" s="184" t="n"/>
      <c r="R530" s="184" t="n"/>
      <c r="S530" s="184" t="n"/>
      <c r="T530" s="165" t="n"/>
      <c r="U530" s="179" t="n"/>
      <c r="V530" s="179" t="n"/>
      <c r="W530" s="12" t="n"/>
      <c r="X530" s="12" t="n"/>
      <c r="Y530" s="12" t="n"/>
      <c r="Z530" s="12" t="n"/>
    </row>
    <row r="531" ht="45.75" customHeight="1" s="21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84" t="n"/>
      <c r="P531" s="184" t="n"/>
      <c r="Q531" s="184" t="n"/>
      <c r="R531" s="184" t="n"/>
      <c r="S531" s="184" t="n"/>
      <c r="T531" s="165" t="n"/>
      <c r="U531" s="179" t="n"/>
      <c r="V531" s="179" t="n"/>
      <c r="W531" s="12" t="n"/>
      <c r="X531" s="12" t="n"/>
      <c r="Y531" s="12" t="n"/>
      <c r="Z531" s="12" t="n"/>
    </row>
    <row r="532" ht="45.75" customHeight="1" s="21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84" t="n"/>
      <c r="P532" s="184" t="n"/>
      <c r="Q532" s="184" t="n"/>
      <c r="R532" s="184" t="n"/>
      <c r="S532" s="184" t="n"/>
      <c r="T532" s="165" t="n"/>
      <c r="U532" s="179" t="n"/>
      <c r="V532" s="179" t="n"/>
      <c r="W532" s="12" t="n"/>
      <c r="X532" s="12" t="n"/>
      <c r="Y532" s="12" t="n"/>
      <c r="Z532" s="12" t="n"/>
    </row>
    <row r="533" ht="45.75" customHeight="1" s="21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84" t="n"/>
      <c r="P533" s="184" t="n"/>
      <c r="Q533" s="184" t="n"/>
      <c r="R533" s="184" t="n"/>
      <c r="S533" s="184" t="n"/>
      <c r="T533" s="165" t="n"/>
      <c r="U533" s="179" t="n"/>
      <c r="V533" s="179" t="n"/>
      <c r="W533" s="12" t="n"/>
      <c r="X533" s="12" t="n"/>
      <c r="Y533" s="12" t="n"/>
      <c r="Z533" s="12" t="n"/>
    </row>
    <row r="534" ht="45.75" customHeight="1" s="21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84" t="n"/>
      <c r="P534" s="184" t="n"/>
      <c r="Q534" s="184" t="n"/>
      <c r="R534" s="184" t="n"/>
      <c r="S534" s="184" t="n"/>
      <c r="T534" s="165" t="n"/>
      <c r="U534" s="179" t="n"/>
      <c r="V534" s="179" t="n"/>
      <c r="W534" s="12" t="n"/>
      <c r="X534" s="12" t="n"/>
      <c r="Y534" s="12" t="n"/>
      <c r="Z534" s="12" t="n"/>
    </row>
    <row r="535" ht="45.75" customHeight="1" s="21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84" t="n"/>
      <c r="P535" s="184" t="n"/>
      <c r="Q535" s="184" t="n"/>
      <c r="R535" s="184" t="n"/>
      <c r="S535" s="184" t="n"/>
      <c r="T535" s="165" t="n"/>
      <c r="U535" s="179" t="n"/>
      <c r="V535" s="179" t="n"/>
      <c r="W535" s="12" t="n"/>
      <c r="X535" s="12" t="n"/>
      <c r="Y535" s="12" t="n"/>
      <c r="Z535" s="12" t="n"/>
    </row>
    <row r="536" ht="45.75" customHeight="1" s="21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84" t="n"/>
      <c r="P536" s="184" t="n"/>
      <c r="Q536" s="184" t="n"/>
      <c r="R536" s="184" t="n"/>
      <c r="S536" s="184" t="n"/>
      <c r="T536" s="165" t="n"/>
      <c r="U536" s="179" t="n"/>
      <c r="V536" s="179" t="n"/>
      <c r="W536" s="12" t="n"/>
      <c r="X536" s="12" t="n"/>
      <c r="Y536" s="12" t="n"/>
      <c r="Z536" s="12" t="n"/>
    </row>
    <row r="537" ht="45.75" customHeight="1" s="21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84" t="n"/>
      <c r="P537" s="184" t="n"/>
      <c r="Q537" s="184" t="n"/>
      <c r="R537" s="184" t="n"/>
      <c r="S537" s="184" t="n"/>
      <c r="T537" s="165" t="n"/>
      <c r="U537" s="179" t="n"/>
      <c r="V537" s="179" t="n"/>
      <c r="W537" s="12" t="n"/>
      <c r="X537" s="12" t="n"/>
      <c r="Y537" s="12" t="n"/>
      <c r="Z537" s="12" t="n"/>
    </row>
    <row r="538" ht="45.75" customHeight="1" s="21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84" t="n"/>
      <c r="P538" s="184" t="n"/>
      <c r="Q538" s="184" t="n"/>
      <c r="R538" s="184" t="n"/>
      <c r="S538" s="184" t="n"/>
      <c r="T538" s="165" t="n"/>
      <c r="U538" s="179" t="n"/>
      <c r="V538" s="179" t="n"/>
      <c r="W538" s="12" t="n"/>
      <c r="X538" s="12" t="n"/>
      <c r="Y538" s="12" t="n"/>
      <c r="Z538" s="12" t="n"/>
    </row>
    <row r="539" ht="45.75" customHeight="1" s="21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84" t="n"/>
      <c r="P539" s="184" t="n"/>
      <c r="Q539" s="184" t="n"/>
      <c r="R539" s="184" t="n"/>
      <c r="S539" s="184" t="n"/>
      <c r="T539" s="165" t="n"/>
      <c r="U539" s="179" t="n"/>
      <c r="V539" s="179" t="n"/>
      <c r="W539" s="12" t="n"/>
      <c r="X539" s="12" t="n"/>
      <c r="Y539" s="12" t="n"/>
      <c r="Z539" s="12" t="n"/>
    </row>
    <row r="540" ht="45.75" customHeight="1" s="21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84" t="n"/>
      <c r="P540" s="184" t="n"/>
      <c r="Q540" s="184" t="n"/>
      <c r="R540" s="184" t="n"/>
      <c r="S540" s="184" t="n"/>
      <c r="T540" s="165" t="n"/>
      <c r="U540" s="179" t="n"/>
      <c r="V540" s="179" t="n"/>
      <c r="W540" s="12" t="n"/>
      <c r="X540" s="12" t="n"/>
      <c r="Y540" s="12" t="n"/>
      <c r="Z540" s="12" t="n"/>
    </row>
    <row r="541" ht="45.75" customHeight="1" s="21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84" t="n"/>
      <c r="P541" s="184" t="n"/>
      <c r="Q541" s="184" t="n"/>
      <c r="R541" s="184" t="n"/>
      <c r="S541" s="184" t="n"/>
      <c r="T541" s="165" t="n"/>
      <c r="U541" s="179" t="n"/>
      <c r="V541" s="179" t="n"/>
      <c r="W541" s="12" t="n"/>
      <c r="X541" s="12" t="n"/>
      <c r="Y541" s="12" t="n"/>
      <c r="Z541" s="12" t="n"/>
    </row>
    <row r="542" ht="45.75" customHeight="1" s="21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84" t="n"/>
      <c r="P542" s="184" t="n"/>
      <c r="Q542" s="184" t="n"/>
      <c r="R542" s="184" t="n"/>
      <c r="S542" s="184" t="n"/>
      <c r="T542" s="165" t="n"/>
      <c r="U542" s="179" t="n"/>
      <c r="V542" s="179" t="n"/>
      <c r="W542" s="12" t="n"/>
      <c r="X542" s="12" t="n"/>
      <c r="Y542" s="12" t="n"/>
      <c r="Z542" s="12" t="n"/>
    </row>
    <row r="543" ht="45.75" customHeight="1" s="21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84" t="n"/>
      <c r="P543" s="184" t="n"/>
      <c r="Q543" s="184" t="n"/>
      <c r="R543" s="184" t="n"/>
      <c r="S543" s="184" t="n"/>
      <c r="T543" s="165" t="n"/>
      <c r="U543" s="179" t="n"/>
      <c r="V543" s="179" t="n"/>
      <c r="W543" s="12" t="n"/>
      <c r="X543" s="12" t="n"/>
      <c r="Y543" s="12" t="n"/>
      <c r="Z543" s="12" t="n"/>
    </row>
    <row r="544" ht="45.75" customHeight="1" s="21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84" t="n"/>
      <c r="P544" s="184" t="n"/>
      <c r="Q544" s="184" t="n"/>
      <c r="R544" s="184" t="n"/>
      <c r="S544" s="184" t="n"/>
      <c r="T544" s="165" t="n"/>
      <c r="U544" s="179" t="n"/>
      <c r="V544" s="179" t="n"/>
      <c r="W544" s="12" t="n"/>
      <c r="X544" s="12" t="n"/>
      <c r="Y544" s="12" t="n"/>
      <c r="Z544" s="12" t="n"/>
    </row>
    <row r="545" ht="45.75" customHeight="1" s="21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84" t="n"/>
      <c r="P545" s="184" t="n"/>
      <c r="Q545" s="184" t="n"/>
      <c r="R545" s="184" t="n"/>
      <c r="S545" s="184" t="n"/>
      <c r="T545" s="165" t="n"/>
      <c r="U545" s="179" t="n"/>
      <c r="V545" s="179" t="n"/>
      <c r="W545" s="12" t="n"/>
      <c r="X545" s="12" t="n"/>
      <c r="Y545" s="12" t="n"/>
      <c r="Z545" s="12" t="n"/>
    </row>
    <row r="546" ht="45.75" customHeight="1" s="21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84" t="n"/>
      <c r="P546" s="184" t="n"/>
      <c r="Q546" s="184" t="n"/>
      <c r="R546" s="184" t="n"/>
      <c r="S546" s="184" t="n"/>
      <c r="T546" s="165" t="n"/>
      <c r="U546" s="179" t="n"/>
      <c r="V546" s="179" t="n"/>
      <c r="W546" s="12" t="n"/>
      <c r="X546" s="12" t="n"/>
      <c r="Y546" s="12" t="n"/>
      <c r="Z546" s="12" t="n"/>
    </row>
    <row r="547" ht="45.75" customHeight="1" s="21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84" t="n"/>
      <c r="P547" s="184" t="n"/>
      <c r="Q547" s="184" t="n"/>
      <c r="R547" s="184" t="n"/>
      <c r="S547" s="184" t="n"/>
      <c r="T547" s="165" t="n"/>
      <c r="U547" s="179" t="n"/>
      <c r="V547" s="179" t="n"/>
      <c r="W547" s="12" t="n"/>
      <c r="X547" s="12" t="n"/>
      <c r="Y547" s="12" t="n"/>
      <c r="Z547" s="12" t="n"/>
    </row>
    <row r="548" ht="45.75" customHeight="1" s="21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84" t="n"/>
      <c r="P548" s="184" t="n"/>
      <c r="Q548" s="184" t="n"/>
      <c r="R548" s="184" t="n"/>
      <c r="S548" s="184" t="n"/>
      <c r="T548" s="165" t="n"/>
      <c r="U548" s="179" t="n"/>
      <c r="V548" s="179" t="n"/>
      <c r="W548" s="12" t="n"/>
      <c r="X548" s="12" t="n"/>
      <c r="Y548" s="12" t="n"/>
      <c r="Z548" s="12" t="n"/>
    </row>
    <row r="549" ht="45.75" customHeight="1" s="21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84" t="n"/>
      <c r="P549" s="184" t="n"/>
      <c r="Q549" s="184" t="n"/>
      <c r="R549" s="184" t="n"/>
      <c r="S549" s="184" t="n"/>
      <c r="T549" s="165" t="n"/>
      <c r="U549" s="179" t="n"/>
      <c r="V549" s="179" t="n"/>
      <c r="W549" s="12" t="n"/>
      <c r="X549" s="12" t="n"/>
      <c r="Y549" s="12" t="n"/>
      <c r="Z549" s="12" t="n"/>
    </row>
    <row r="550" ht="45.75" customHeight="1" s="21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84" t="n"/>
      <c r="P550" s="184" t="n"/>
      <c r="Q550" s="184" t="n"/>
      <c r="R550" s="184" t="n"/>
      <c r="S550" s="184" t="n"/>
      <c r="T550" s="165" t="n"/>
      <c r="U550" s="179" t="n"/>
      <c r="V550" s="179" t="n"/>
      <c r="W550" s="12" t="n"/>
      <c r="X550" s="12" t="n"/>
      <c r="Y550" s="12" t="n"/>
      <c r="Z550" s="12" t="n"/>
    </row>
    <row r="551" ht="45.75" customHeight="1" s="21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84" t="n"/>
      <c r="P551" s="184" t="n"/>
      <c r="Q551" s="184" t="n"/>
      <c r="R551" s="184" t="n"/>
      <c r="S551" s="184" t="n"/>
      <c r="T551" s="165" t="n"/>
      <c r="U551" s="179" t="n"/>
      <c r="V551" s="179" t="n"/>
      <c r="W551" s="12" t="n"/>
      <c r="X551" s="12" t="n"/>
      <c r="Y551" s="12" t="n"/>
      <c r="Z551" s="12" t="n"/>
    </row>
    <row r="552" ht="45.75" customHeight="1" s="21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84" t="n"/>
      <c r="P552" s="184" t="n"/>
      <c r="Q552" s="184" t="n"/>
      <c r="R552" s="184" t="n"/>
      <c r="S552" s="184" t="n"/>
      <c r="T552" s="165" t="n"/>
      <c r="U552" s="179" t="n"/>
      <c r="V552" s="179" t="n"/>
      <c r="W552" s="12" t="n"/>
      <c r="X552" s="12" t="n"/>
      <c r="Y552" s="12" t="n"/>
      <c r="Z552" s="12" t="n"/>
    </row>
    <row r="553" ht="45.75" customHeight="1" s="21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84" t="n"/>
      <c r="P553" s="184" t="n"/>
      <c r="Q553" s="184" t="n"/>
      <c r="R553" s="184" t="n"/>
      <c r="S553" s="184" t="n"/>
      <c r="T553" s="165" t="n"/>
      <c r="U553" s="179" t="n"/>
      <c r="V553" s="179" t="n"/>
      <c r="W553" s="12" t="n"/>
      <c r="X553" s="12" t="n"/>
      <c r="Y553" s="12" t="n"/>
      <c r="Z553" s="12" t="n"/>
    </row>
    <row r="554" ht="45.75" customHeight="1" s="21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84" t="n"/>
      <c r="P554" s="184" t="n"/>
      <c r="Q554" s="184" t="n"/>
      <c r="R554" s="184" t="n"/>
      <c r="S554" s="184" t="n"/>
      <c r="T554" s="165" t="n"/>
      <c r="U554" s="179" t="n"/>
      <c r="V554" s="179" t="n"/>
      <c r="W554" s="12" t="n"/>
      <c r="X554" s="12" t="n"/>
      <c r="Y554" s="12" t="n"/>
      <c r="Z554" s="12" t="n"/>
    </row>
    <row r="555" ht="45.75" customHeight="1" s="21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84" t="n"/>
      <c r="P555" s="184" t="n"/>
      <c r="Q555" s="184" t="n"/>
      <c r="R555" s="184" t="n"/>
      <c r="S555" s="184" t="n"/>
      <c r="T555" s="165" t="n"/>
      <c r="U555" s="179" t="n"/>
      <c r="V555" s="179" t="n"/>
      <c r="W555" s="12" t="n"/>
      <c r="X555" s="12" t="n"/>
      <c r="Y555" s="12" t="n"/>
      <c r="Z555" s="12" t="n"/>
    </row>
    <row r="556" ht="45.75" customHeight="1" s="21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84" t="n"/>
      <c r="P556" s="184" t="n"/>
      <c r="Q556" s="184" t="n"/>
      <c r="R556" s="184" t="n"/>
      <c r="S556" s="184" t="n"/>
      <c r="T556" s="165" t="n"/>
      <c r="U556" s="179" t="n"/>
      <c r="V556" s="179" t="n"/>
      <c r="W556" s="12" t="n"/>
      <c r="X556" s="12" t="n"/>
      <c r="Y556" s="12" t="n"/>
      <c r="Z556" s="12" t="n"/>
    </row>
    <row r="557" ht="45.75" customHeight="1" s="21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84" t="n"/>
      <c r="P557" s="184" t="n"/>
      <c r="Q557" s="184" t="n"/>
      <c r="R557" s="184" t="n"/>
      <c r="S557" s="184" t="n"/>
      <c r="T557" s="165" t="n"/>
      <c r="U557" s="179" t="n"/>
      <c r="V557" s="179" t="n"/>
      <c r="W557" s="12" t="n"/>
      <c r="X557" s="12" t="n"/>
      <c r="Y557" s="12" t="n"/>
      <c r="Z557" s="12" t="n"/>
    </row>
    <row r="558" ht="45.75" customHeight="1" s="21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84" t="n"/>
      <c r="P558" s="184" t="n"/>
      <c r="Q558" s="184" t="n"/>
      <c r="R558" s="184" t="n"/>
      <c r="S558" s="184" t="n"/>
      <c r="T558" s="165" t="n"/>
      <c r="U558" s="179" t="n"/>
      <c r="V558" s="179" t="n"/>
      <c r="W558" s="12" t="n"/>
      <c r="X558" s="12" t="n"/>
      <c r="Y558" s="12" t="n"/>
      <c r="Z558" s="12" t="n"/>
    </row>
    <row r="559" ht="45.75" customHeight="1" s="21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84" t="n"/>
      <c r="P559" s="184" t="n"/>
      <c r="Q559" s="184" t="n"/>
      <c r="R559" s="184" t="n"/>
      <c r="S559" s="184" t="n"/>
      <c r="T559" s="165" t="n"/>
      <c r="U559" s="179" t="n"/>
      <c r="V559" s="179" t="n"/>
      <c r="W559" s="12" t="n"/>
      <c r="X559" s="12" t="n"/>
      <c r="Y559" s="12" t="n"/>
      <c r="Z559" s="12" t="n"/>
    </row>
    <row r="560" ht="45.75" customHeight="1" s="21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84" t="n"/>
      <c r="P560" s="184" t="n"/>
      <c r="Q560" s="184" t="n"/>
      <c r="R560" s="184" t="n"/>
      <c r="S560" s="184" t="n"/>
      <c r="T560" s="165" t="n"/>
      <c r="U560" s="179" t="n"/>
      <c r="V560" s="179" t="n"/>
      <c r="W560" s="12" t="n"/>
      <c r="X560" s="12" t="n"/>
      <c r="Y560" s="12" t="n"/>
      <c r="Z560" s="12" t="n"/>
    </row>
    <row r="561" ht="45.75" customHeight="1" s="21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84" t="n"/>
      <c r="P561" s="184" t="n"/>
      <c r="Q561" s="184" t="n"/>
      <c r="R561" s="184" t="n"/>
      <c r="S561" s="184" t="n"/>
      <c r="T561" s="165" t="n"/>
      <c r="U561" s="179" t="n"/>
      <c r="V561" s="179" t="n"/>
      <c r="W561" s="12" t="n"/>
      <c r="X561" s="12" t="n"/>
      <c r="Y561" s="12" t="n"/>
      <c r="Z561" s="12" t="n"/>
    </row>
    <row r="562" ht="45.75" customHeight="1" s="21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84" t="n"/>
      <c r="P562" s="184" t="n"/>
      <c r="Q562" s="184" t="n"/>
      <c r="R562" s="184" t="n"/>
      <c r="S562" s="184" t="n"/>
      <c r="T562" s="165" t="n"/>
      <c r="U562" s="179" t="n"/>
      <c r="V562" s="179" t="n"/>
      <c r="W562" s="12" t="n"/>
      <c r="X562" s="12" t="n"/>
      <c r="Y562" s="12" t="n"/>
      <c r="Z562" s="12" t="n"/>
    </row>
    <row r="563" ht="45.75" customHeight="1" s="21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84" t="n"/>
      <c r="P563" s="184" t="n"/>
      <c r="Q563" s="184" t="n"/>
      <c r="R563" s="184" t="n"/>
      <c r="S563" s="184" t="n"/>
      <c r="T563" s="165" t="n"/>
      <c r="U563" s="179" t="n"/>
      <c r="V563" s="179" t="n"/>
      <c r="W563" s="12" t="n"/>
      <c r="X563" s="12" t="n"/>
      <c r="Y563" s="12" t="n"/>
      <c r="Z563" s="12" t="n"/>
    </row>
    <row r="564" ht="45.75" customHeight="1" s="21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84" t="n"/>
      <c r="P564" s="184" t="n"/>
      <c r="Q564" s="184" t="n"/>
      <c r="R564" s="184" t="n"/>
      <c r="S564" s="184" t="n"/>
      <c r="T564" s="165" t="n"/>
      <c r="U564" s="179" t="n"/>
      <c r="V564" s="179" t="n"/>
      <c r="W564" s="12" t="n"/>
      <c r="X564" s="12" t="n"/>
      <c r="Y564" s="12" t="n"/>
      <c r="Z564" s="12" t="n"/>
    </row>
    <row r="565" ht="45.75" customHeight="1" s="21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84" t="n"/>
      <c r="P565" s="184" t="n"/>
      <c r="Q565" s="184" t="n"/>
      <c r="R565" s="184" t="n"/>
      <c r="S565" s="184" t="n"/>
      <c r="T565" s="165" t="n"/>
      <c r="U565" s="179" t="n"/>
      <c r="V565" s="179" t="n"/>
      <c r="W565" s="12" t="n"/>
      <c r="X565" s="12" t="n"/>
      <c r="Y565" s="12" t="n"/>
      <c r="Z565" s="12" t="n"/>
    </row>
    <row r="566" ht="45.75" customHeight="1" s="21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84" t="n"/>
      <c r="P566" s="184" t="n"/>
      <c r="Q566" s="184" t="n"/>
      <c r="R566" s="184" t="n"/>
      <c r="S566" s="184" t="n"/>
      <c r="T566" s="165" t="n"/>
      <c r="U566" s="179" t="n"/>
      <c r="V566" s="179" t="n"/>
      <c r="W566" s="12" t="n"/>
      <c r="X566" s="12" t="n"/>
      <c r="Y566" s="12" t="n"/>
      <c r="Z566" s="12" t="n"/>
    </row>
    <row r="567" ht="45.75" customHeight="1" s="21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84" t="n"/>
      <c r="P567" s="184" t="n"/>
      <c r="Q567" s="184" t="n"/>
      <c r="R567" s="184" t="n"/>
      <c r="S567" s="184" t="n"/>
      <c r="T567" s="165" t="n"/>
      <c r="U567" s="179" t="n"/>
      <c r="V567" s="179" t="n"/>
      <c r="W567" s="12" t="n"/>
      <c r="X567" s="12" t="n"/>
      <c r="Y567" s="12" t="n"/>
      <c r="Z567" s="12" t="n"/>
    </row>
    <row r="568" ht="45.75" customHeight="1" s="21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84" t="n"/>
      <c r="P568" s="184" t="n"/>
      <c r="Q568" s="184" t="n"/>
      <c r="R568" s="184" t="n"/>
      <c r="S568" s="184" t="n"/>
      <c r="T568" s="165" t="n"/>
      <c r="U568" s="179" t="n"/>
      <c r="V568" s="179" t="n"/>
      <c r="W568" s="12" t="n"/>
      <c r="X568" s="12" t="n"/>
      <c r="Y568" s="12" t="n"/>
      <c r="Z568" s="12" t="n"/>
    </row>
    <row r="569" ht="45.75" customHeight="1" s="21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84" t="n"/>
      <c r="P569" s="184" t="n"/>
      <c r="Q569" s="184" t="n"/>
      <c r="R569" s="184" t="n"/>
      <c r="S569" s="184" t="n"/>
      <c r="T569" s="165" t="n"/>
      <c r="U569" s="179" t="n"/>
      <c r="V569" s="179" t="n"/>
      <c r="W569" s="12" t="n"/>
      <c r="X569" s="12" t="n"/>
      <c r="Y569" s="12" t="n"/>
      <c r="Z569" s="12" t="n"/>
    </row>
    <row r="570" ht="45.75" customHeight="1" s="21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84" t="n"/>
      <c r="P570" s="184" t="n"/>
      <c r="Q570" s="184" t="n"/>
      <c r="R570" s="184" t="n"/>
      <c r="S570" s="184" t="n"/>
      <c r="T570" s="165" t="n"/>
      <c r="U570" s="179" t="n"/>
      <c r="V570" s="179" t="n"/>
      <c r="W570" s="12" t="n"/>
      <c r="X570" s="12" t="n"/>
      <c r="Y570" s="12" t="n"/>
      <c r="Z570" s="12" t="n"/>
    </row>
    <row r="571" ht="45.75" customHeight="1" s="21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84" t="n"/>
      <c r="P571" s="184" t="n"/>
      <c r="Q571" s="184" t="n"/>
      <c r="R571" s="184" t="n"/>
      <c r="S571" s="184" t="n"/>
      <c r="T571" s="165" t="n"/>
      <c r="U571" s="179" t="n"/>
      <c r="V571" s="179" t="n"/>
      <c r="W571" s="12" t="n"/>
      <c r="X571" s="12" t="n"/>
      <c r="Y571" s="12" t="n"/>
      <c r="Z571" s="12" t="n"/>
    </row>
    <row r="572" ht="45.75" customHeight="1" s="21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84" t="n"/>
      <c r="P572" s="184" t="n"/>
      <c r="Q572" s="184" t="n"/>
      <c r="R572" s="184" t="n"/>
      <c r="S572" s="184" t="n"/>
      <c r="T572" s="165" t="n"/>
      <c r="U572" s="179" t="n"/>
      <c r="V572" s="179" t="n"/>
      <c r="W572" s="12" t="n"/>
      <c r="X572" s="12" t="n"/>
      <c r="Y572" s="12" t="n"/>
      <c r="Z572" s="12" t="n"/>
    </row>
    <row r="573" ht="45.75" customHeight="1" s="21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84" t="n"/>
      <c r="P573" s="184" t="n"/>
      <c r="Q573" s="184" t="n"/>
      <c r="R573" s="184" t="n"/>
      <c r="S573" s="184" t="n"/>
      <c r="T573" s="165" t="n"/>
      <c r="U573" s="179" t="n"/>
      <c r="V573" s="179" t="n"/>
      <c r="W573" s="12" t="n"/>
      <c r="X573" s="12" t="n"/>
      <c r="Y573" s="12" t="n"/>
      <c r="Z573" s="12" t="n"/>
    </row>
    <row r="574" ht="45.75" customHeight="1" s="21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84" t="n"/>
      <c r="P574" s="184" t="n"/>
      <c r="Q574" s="184" t="n"/>
      <c r="R574" s="184" t="n"/>
      <c r="S574" s="184" t="n"/>
      <c r="T574" s="165" t="n"/>
      <c r="U574" s="179" t="n"/>
      <c r="V574" s="179" t="n"/>
      <c r="W574" s="12" t="n"/>
      <c r="X574" s="12" t="n"/>
      <c r="Y574" s="12" t="n"/>
      <c r="Z574" s="12" t="n"/>
    </row>
    <row r="575" ht="45.75" customHeight="1" s="21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84" t="n"/>
      <c r="P575" s="184" t="n"/>
      <c r="Q575" s="184" t="n"/>
      <c r="R575" s="184" t="n"/>
      <c r="S575" s="184" t="n"/>
      <c r="T575" s="165" t="n"/>
      <c r="U575" s="179" t="n"/>
      <c r="V575" s="179" t="n"/>
      <c r="W575" s="12" t="n"/>
      <c r="X575" s="12" t="n"/>
      <c r="Y575" s="12" t="n"/>
      <c r="Z575" s="12" t="n"/>
    </row>
    <row r="576" ht="45.75" customHeight="1" s="21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84" t="n"/>
      <c r="P576" s="184" t="n"/>
      <c r="Q576" s="184" t="n"/>
      <c r="R576" s="184" t="n"/>
      <c r="S576" s="184" t="n"/>
      <c r="T576" s="165" t="n"/>
      <c r="U576" s="179" t="n"/>
      <c r="V576" s="179" t="n"/>
      <c r="W576" s="12" t="n"/>
      <c r="X576" s="12" t="n"/>
      <c r="Y576" s="12" t="n"/>
      <c r="Z576" s="12" t="n"/>
    </row>
    <row r="577" ht="45.75" customHeight="1" s="21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84" t="n"/>
      <c r="P577" s="184" t="n"/>
      <c r="Q577" s="184" t="n"/>
      <c r="R577" s="184" t="n"/>
      <c r="S577" s="184" t="n"/>
      <c r="T577" s="165" t="n"/>
      <c r="U577" s="179" t="n"/>
      <c r="V577" s="179" t="n"/>
      <c r="W577" s="12" t="n"/>
      <c r="X577" s="12" t="n"/>
      <c r="Y577" s="12" t="n"/>
      <c r="Z577" s="12" t="n"/>
    </row>
    <row r="578" ht="45.75" customHeight="1" s="21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84" t="n"/>
      <c r="P578" s="184" t="n"/>
      <c r="Q578" s="184" t="n"/>
      <c r="R578" s="184" t="n"/>
      <c r="S578" s="184" t="n"/>
      <c r="T578" s="165" t="n"/>
      <c r="U578" s="179" t="n"/>
      <c r="V578" s="179" t="n"/>
      <c r="W578" s="12" t="n"/>
      <c r="X578" s="12" t="n"/>
      <c r="Y578" s="12" t="n"/>
      <c r="Z578" s="12" t="n"/>
    </row>
    <row r="579" ht="45.75" customHeight="1" s="21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84" t="n"/>
      <c r="P579" s="184" t="n"/>
      <c r="Q579" s="184" t="n"/>
      <c r="R579" s="184" t="n"/>
      <c r="S579" s="184" t="n"/>
      <c r="T579" s="165" t="n"/>
      <c r="U579" s="179" t="n"/>
      <c r="V579" s="179" t="n"/>
      <c r="W579" s="12" t="n"/>
      <c r="X579" s="12" t="n"/>
      <c r="Y579" s="12" t="n"/>
      <c r="Z579" s="12" t="n"/>
    </row>
    <row r="580" ht="45.75" customHeight="1" s="21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84" t="n"/>
      <c r="P580" s="184" t="n"/>
      <c r="Q580" s="184" t="n"/>
      <c r="R580" s="184" t="n"/>
      <c r="S580" s="184" t="n"/>
      <c r="T580" s="165" t="n"/>
      <c r="U580" s="179" t="n"/>
      <c r="V580" s="179" t="n"/>
      <c r="W580" s="12" t="n"/>
      <c r="X580" s="12" t="n"/>
      <c r="Y580" s="12" t="n"/>
      <c r="Z580" s="12" t="n"/>
    </row>
    <row r="581" ht="45.75" customHeight="1" s="21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84" t="n"/>
      <c r="P581" s="184" t="n"/>
      <c r="Q581" s="184" t="n"/>
      <c r="R581" s="184" t="n"/>
      <c r="S581" s="184" t="n"/>
      <c r="T581" s="165" t="n"/>
      <c r="U581" s="179" t="n"/>
      <c r="V581" s="179" t="n"/>
      <c r="W581" s="12" t="n"/>
      <c r="X581" s="12" t="n"/>
      <c r="Y581" s="12" t="n"/>
      <c r="Z581" s="12" t="n"/>
    </row>
    <row r="582" ht="45.75" customHeight="1" s="21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84" t="n"/>
      <c r="P582" s="184" t="n"/>
      <c r="Q582" s="184" t="n"/>
      <c r="R582" s="184" t="n"/>
      <c r="S582" s="184" t="n"/>
      <c r="T582" s="165" t="n"/>
      <c r="U582" s="179" t="n"/>
      <c r="V582" s="179" t="n"/>
      <c r="W582" s="12" t="n"/>
      <c r="X582" s="12" t="n"/>
      <c r="Y582" s="12" t="n"/>
      <c r="Z582" s="12" t="n"/>
    </row>
    <row r="583" ht="45.75" customHeight="1" s="21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84" t="n"/>
      <c r="P583" s="184" t="n"/>
      <c r="Q583" s="184" t="n"/>
      <c r="R583" s="184" t="n"/>
      <c r="S583" s="184" t="n"/>
      <c r="T583" s="165" t="n"/>
      <c r="U583" s="179" t="n"/>
      <c r="V583" s="179" t="n"/>
      <c r="W583" s="12" t="n"/>
      <c r="X583" s="12" t="n"/>
      <c r="Y583" s="12" t="n"/>
      <c r="Z583" s="12" t="n"/>
    </row>
    <row r="584" ht="45.75" customHeight="1" s="21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84" t="n"/>
      <c r="P584" s="184" t="n"/>
      <c r="Q584" s="184" t="n"/>
      <c r="R584" s="184" t="n"/>
      <c r="S584" s="184" t="n"/>
      <c r="T584" s="165" t="n"/>
      <c r="U584" s="179" t="n"/>
      <c r="V584" s="179" t="n"/>
      <c r="W584" s="12" t="n"/>
      <c r="X584" s="12" t="n"/>
      <c r="Y584" s="12" t="n"/>
      <c r="Z584" s="12" t="n"/>
    </row>
    <row r="585" ht="45.75" customHeight="1" s="21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84" t="n"/>
      <c r="P585" s="184" t="n"/>
      <c r="Q585" s="184" t="n"/>
      <c r="R585" s="184" t="n"/>
      <c r="S585" s="184" t="n"/>
      <c r="T585" s="165" t="n"/>
      <c r="U585" s="179" t="n"/>
      <c r="V585" s="179" t="n"/>
      <c r="W585" s="12" t="n"/>
      <c r="X585" s="12" t="n"/>
      <c r="Y585" s="12" t="n"/>
      <c r="Z585" s="12" t="n"/>
    </row>
    <row r="586" ht="45.75" customHeight="1" s="21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84" t="n"/>
      <c r="P586" s="184" t="n"/>
      <c r="Q586" s="184" t="n"/>
      <c r="R586" s="184" t="n"/>
      <c r="S586" s="184" t="n"/>
      <c r="T586" s="165" t="n"/>
      <c r="U586" s="179" t="n"/>
      <c r="V586" s="179" t="n"/>
      <c r="W586" s="12" t="n"/>
      <c r="X586" s="12" t="n"/>
      <c r="Y586" s="12" t="n"/>
      <c r="Z586" s="12" t="n"/>
    </row>
    <row r="587" ht="45.75" customHeight="1" s="21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84" t="n"/>
      <c r="P587" s="184" t="n"/>
      <c r="Q587" s="184" t="n"/>
      <c r="R587" s="184" t="n"/>
      <c r="S587" s="184" t="n"/>
      <c r="T587" s="165" t="n"/>
      <c r="U587" s="179" t="n"/>
      <c r="V587" s="179" t="n"/>
      <c r="W587" s="12" t="n"/>
      <c r="X587" s="12" t="n"/>
      <c r="Y587" s="12" t="n"/>
      <c r="Z587" s="12" t="n"/>
    </row>
    <row r="588" ht="45.75" customHeight="1" s="21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84" t="n"/>
      <c r="P588" s="184" t="n"/>
      <c r="Q588" s="184" t="n"/>
      <c r="R588" s="184" t="n"/>
      <c r="S588" s="184" t="n"/>
      <c r="T588" s="165" t="n"/>
      <c r="U588" s="179" t="n"/>
      <c r="V588" s="179" t="n"/>
      <c r="W588" s="12" t="n"/>
      <c r="X588" s="12" t="n"/>
      <c r="Y588" s="12" t="n"/>
      <c r="Z588" s="12" t="n"/>
    </row>
    <row r="589" ht="45.75" customHeight="1" s="21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84" t="n"/>
      <c r="P589" s="184" t="n"/>
      <c r="Q589" s="184" t="n"/>
      <c r="R589" s="184" t="n"/>
      <c r="S589" s="184" t="n"/>
      <c r="T589" s="165" t="n"/>
      <c r="U589" s="179" t="n"/>
      <c r="V589" s="179" t="n"/>
      <c r="W589" s="12" t="n"/>
      <c r="X589" s="12" t="n"/>
      <c r="Y589" s="12" t="n"/>
      <c r="Z589" s="12" t="n"/>
    </row>
    <row r="590" ht="45.75" customHeight="1" s="21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84" t="n"/>
      <c r="P590" s="184" t="n"/>
      <c r="Q590" s="184" t="n"/>
      <c r="R590" s="184" t="n"/>
      <c r="S590" s="184" t="n"/>
      <c r="T590" s="165" t="n"/>
      <c r="U590" s="179" t="n"/>
      <c r="V590" s="179" t="n"/>
      <c r="W590" s="12" t="n"/>
      <c r="X590" s="12" t="n"/>
      <c r="Y590" s="12" t="n"/>
      <c r="Z590" s="12" t="n"/>
    </row>
    <row r="591" ht="45.75" customHeight="1" s="21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84" t="n"/>
      <c r="P591" s="184" t="n"/>
      <c r="Q591" s="184" t="n"/>
      <c r="R591" s="184" t="n"/>
      <c r="S591" s="184" t="n"/>
      <c r="T591" s="165" t="n"/>
      <c r="U591" s="179" t="n"/>
      <c r="V591" s="179" t="n"/>
      <c r="W591" s="12" t="n"/>
      <c r="X591" s="12" t="n"/>
      <c r="Y591" s="12" t="n"/>
      <c r="Z591" s="12" t="n"/>
    </row>
    <row r="592" ht="45.75" customHeight="1" s="21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84" t="n"/>
      <c r="P592" s="184" t="n"/>
      <c r="Q592" s="184" t="n"/>
      <c r="R592" s="184" t="n"/>
      <c r="S592" s="184" t="n"/>
      <c r="T592" s="165" t="n"/>
      <c r="U592" s="179" t="n"/>
      <c r="V592" s="179" t="n"/>
      <c r="W592" s="12" t="n"/>
      <c r="X592" s="12" t="n"/>
      <c r="Y592" s="12" t="n"/>
      <c r="Z592" s="12" t="n"/>
    </row>
    <row r="593" ht="45.75" customHeight="1" s="21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84" t="n"/>
      <c r="P593" s="184" t="n"/>
      <c r="Q593" s="184" t="n"/>
      <c r="R593" s="184" t="n"/>
      <c r="S593" s="184" t="n"/>
      <c r="T593" s="165" t="n"/>
      <c r="U593" s="179" t="n"/>
      <c r="V593" s="179" t="n"/>
      <c r="W593" s="12" t="n"/>
      <c r="X593" s="12" t="n"/>
      <c r="Y593" s="12" t="n"/>
      <c r="Z593" s="12" t="n"/>
    </row>
    <row r="594" ht="45.75" customHeight="1" s="21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84" t="n"/>
      <c r="P594" s="184" t="n"/>
      <c r="Q594" s="184" t="n"/>
      <c r="R594" s="184" t="n"/>
      <c r="S594" s="184" t="n"/>
      <c r="T594" s="165" t="n"/>
      <c r="U594" s="179" t="n"/>
      <c r="V594" s="179" t="n"/>
      <c r="W594" s="12" t="n"/>
      <c r="X594" s="12" t="n"/>
      <c r="Y594" s="12" t="n"/>
      <c r="Z594" s="12" t="n"/>
    </row>
    <row r="595" ht="45.75" customHeight="1" s="21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84" t="n"/>
      <c r="P595" s="184" t="n"/>
      <c r="Q595" s="184" t="n"/>
      <c r="R595" s="184" t="n"/>
      <c r="S595" s="184" t="n"/>
      <c r="T595" s="165" t="n"/>
      <c r="U595" s="179" t="n"/>
      <c r="V595" s="179" t="n"/>
      <c r="W595" s="12" t="n"/>
      <c r="X595" s="12" t="n"/>
      <c r="Y595" s="12" t="n"/>
      <c r="Z595" s="12" t="n"/>
    </row>
    <row r="596" ht="45.75" customHeight="1" s="21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84" t="n"/>
      <c r="P596" s="184" t="n"/>
      <c r="Q596" s="184" t="n"/>
      <c r="R596" s="184" t="n"/>
      <c r="S596" s="184" t="n"/>
      <c r="T596" s="165" t="n"/>
      <c r="U596" s="179" t="n"/>
      <c r="V596" s="179" t="n"/>
      <c r="W596" s="12" t="n"/>
      <c r="X596" s="12" t="n"/>
      <c r="Y596" s="12" t="n"/>
      <c r="Z596" s="12" t="n"/>
    </row>
    <row r="597" ht="45.75" customHeight="1" s="21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84" t="n"/>
      <c r="P597" s="184" t="n"/>
      <c r="Q597" s="184" t="n"/>
      <c r="R597" s="184" t="n"/>
      <c r="S597" s="184" t="n"/>
      <c r="T597" s="165" t="n"/>
      <c r="U597" s="179" t="n"/>
      <c r="V597" s="179" t="n"/>
      <c r="W597" s="12" t="n"/>
      <c r="X597" s="12" t="n"/>
      <c r="Y597" s="12" t="n"/>
      <c r="Z597" s="12" t="n"/>
    </row>
    <row r="598" ht="45.75" customHeight="1" s="21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84" t="n"/>
      <c r="P598" s="184" t="n"/>
      <c r="Q598" s="184" t="n"/>
      <c r="R598" s="184" t="n"/>
      <c r="S598" s="184" t="n"/>
      <c r="T598" s="165" t="n"/>
      <c r="U598" s="179" t="n"/>
      <c r="V598" s="179" t="n"/>
      <c r="W598" s="12" t="n"/>
      <c r="X598" s="12" t="n"/>
      <c r="Y598" s="12" t="n"/>
      <c r="Z598" s="12" t="n"/>
    </row>
    <row r="599" ht="45.75" customHeight="1" s="21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84" t="n"/>
      <c r="P599" s="184" t="n"/>
      <c r="Q599" s="184" t="n"/>
      <c r="R599" s="184" t="n"/>
      <c r="S599" s="184" t="n"/>
      <c r="T599" s="165" t="n"/>
      <c r="U599" s="179" t="n"/>
      <c r="V599" s="179" t="n"/>
      <c r="W599" s="12" t="n"/>
      <c r="X599" s="12" t="n"/>
      <c r="Y599" s="12" t="n"/>
      <c r="Z599" s="12" t="n"/>
    </row>
    <row r="600" ht="45.75" customHeight="1" s="21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84" t="n"/>
      <c r="P600" s="184" t="n"/>
      <c r="Q600" s="184" t="n"/>
      <c r="R600" s="184" t="n"/>
      <c r="S600" s="184" t="n"/>
      <c r="T600" s="165" t="n"/>
      <c r="U600" s="179" t="n"/>
      <c r="V600" s="179" t="n"/>
      <c r="W600" s="12" t="n"/>
      <c r="X600" s="12" t="n"/>
      <c r="Y600" s="12" t="n"/>
      <c r="Z600" s="12" t="n"/>
    </row>
    <row r="601" ht="45.75" customHeight="1" s="21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84" t="n"/>
      <c r="P601" s="184" t="n"/>
      <c r="Q601" s="184" t="n"/>
      <c r="R601" s="184" t="n"/>
      <c r="S601" s="184" t="n"/>
      <c r="T601" s="165" t="n"/>
      <c r="U601" s="179" t="n"/>
      <c r="V601" s="179" t="n"/>
      <c r="W601" s="12" t="n"/>
      <c r="X601" s="12" t="n"/>
      <c r="Y601" s="12" t="n"/>
      <c r="Z601" s="12" t="n"/>
    </row>
    <row r="602" ht="45.75" customHeight="1" s="21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84" t="n"/>
      <c r="P602" s="184" t="n"/>
      <c r="Q602" s="184" t="n"/>
      <c r="R602" s="184" t="n"/>
      <c r="S602" s="184" t="n"/>
      <c r="T602" s="165" t="n"/>
      <c r="U602" s="179" t="n"/>
      <c r="V602" s="179" t="n"/>
      <c r="W602" s="12" t="n"/>
      <c r="X602" s="12" t="n"/>
      <c r="Y602" s="12" t="n"/>
      <c r="Z602" s="12" t="n"/>
    </row>
    <row r="603" ht="45.75" customHeight="1" s="21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84" t="n"/>
      <c r="P603" s="184" t="n"/>
      <c r="Q603" s="184" t="n"/>
      <c r="R603" s="184" t="n"/>
      <c r="S603" s="184" t="n"/>
      <c r="T603" s="165" t="n"/>
      <c r="U603" s="179" t="n"/>
      <c r="V603" s="179" t="n"/>
      <c r="W603" s="12" t="n"/>
      <c r="X603" s="12" t="n"/>
      <c r="Y603" s="12" t="n"/>
      <c r="Z603" s="12" t="n"/>
    </row>
    <row r="604" ht="45.75" customHeight="1" s="21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84" t="n"/>
      <c r="P604" s="184" t="n"/>
      <c r="Q604" s="184" t="n"/>
      <c r="R604" s="184" t="n"/>
      <c r="S604" s="184" t="n"/>
      <c r="T604" s="165" t="n"/>
      <c r="U604" s="179" t="n"/>
      <c r="V604" s="179" t="n"/>
      <c r="W604" s="12" t="n"/>
      <c r="X604" s="12" t="n"/>
      <c r="Y604" s="12" t="n"/>
      <c r="Z604" s="12" t="n"/>
    </row>
    <row r="605" ht="45.75" customHeight="1" s="21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84" t="n"/>
      <c r="P605" s="184" t="n"/>
      <c r="Q605" s="184" t="n"/>
      <c r="R605" s="184" t="n"/>
      <c r="S605" s="184" t="n"/>
      <c r="T605" s="165" t="n"/>
      <c r="U605" s="179" t="n"/>
      <c r="V605" s="179" t="n"/>
      <c r="W605" s="12" t="n"/>
      <c r="X605" s="12" t="n"/>
      <c r="Y605" s="12" t="n"/>
      <c r="Z605" s="12" t="n"/>
    </row>
    <row r="606" ht="45.75" customHeight="1" s="21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84" t="n"/>
      <c r="P606" s="184" t="n"/>
      <c r="Q606" s="184" t="n"/>
      <c r="R606" s="184" t="n"/>
      <c r="S606" s="184" t="n"/>
      <c r="T606" s="165" t="n"/>
      <c r="U606" s="179" t="n"/>
      <c r="V606" s="179" t="n"/>
      <c r="W606" s="12" t="n"/>
      <c r="X606" s="12" t="n"/>
      <c r="Y606" s="12" t="n"/>
      <c r="Z606" s="12" t="n"/>
    </row>
    <row r="607" ht="45.75" customHeight="1" s="21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84" t="n"/>
      <c r="P607" s="184" t="n"/>
      <c r="Q607" s="184" t="n"/>
      <c r="R607" s="184" t="n"/>
      <c r="S607" s="184" t="n"/>
      <c r="T607" s="165" t="n"/>
      <c r="U607" s="179" t="n"/>
      <c r="V607" s="179" t="n"/>
      <c r="W607" s="12" t="n"/>
      <c r="X607" s="12" t="n"/>
      <c r="Y607" s="12" t="n"/>
      <c r="Z607" s="12" t="n"/>
    </row>
    <row r="608" ht="45.75" customHeight="1" s="21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84" t="n"/>
      <c r="P608" s="184" t="n"/>
      <c r="Q608" s="184" t="n"/>
      <c r="R608" s="184" t="n"/>
      <c r="S608" s="184" t="n"/>
      <c r="T608" s="165" t="n"/>
      <c r="U608" s="179" t="n"/>
      <c r="V608" s="179" t="n"/>
      <c r="W608" s="12" t="n"/>
      <c r="X608" s="12" t="n"/>
      <c r="Y608" s="12" t="n"/>
      <c r="Z608" s="12" t="n"/>
    </row>
    <row r="609" ht="45.75" customHeight="1" s="21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84" t="n"/>
      <c r="P609" s="184" t="n"/>
      <c r="Q609" s="184" t="n"/>
      <c r="R609" s="184" t="n"/>
      <c r="S609" s="184" t="n"/>
      <c r="T609" s="165" t="n"/>
      <c r="U609" s="179" t="n"/>
      <c r="V609" s="179" t="n"/>
      <c r="W609" s="12" t="n"/>
      <c r="X609" s="12" t="n"/>
      <c r="Y609" s="12" t="n"/>
      <c r="Z609" s="12" t="n"/>
    </row>
    <row r="610" ht="45.75" customHeight="1" s="21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84" t="n"/>
      <c r="P610" s="184" t="n"/>
      <c r="Q610" s="184" t="n"/>
      <c r="R610" s="184" t="n"/>
      <c r="S610" s="184" t="n"/>
      <c r="T610" s="165" t="n"/>
      <c r="U610" s="179" t="n"/>
      <c r="V610" s="179" t="n"/>
      <c r="W610" s="12" t="n"/>
      <c r="X610" s="12" t="n"/>
      <c r="Y610" s="12" t="n"/>
      <c r="Z610" s="12" t="n"/>
    </row>
    <row r="611" ht="45.75" customHeight="1" s="2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84" t="n"/>
      <c r="P611" s="184" t="n"/>
      <c r="Q611" s="184" t="n"/>
      <c r="R611" s="184" t="n"/>
      <c r="S611" s="184" t="n"/>
      <c r="T611" s="165" t="n"/>
      <c r="U611" s="179" t="n"/>
      <c r="V611" s="179" t="n"/>
      <c r="W611" s="12" t="n"/>
      <c r="X611" s="12" t="n"/>
      <c r="Y611" s="12" t="n"/>
      <c r="Z611" s="12" t="n"/>
    </row>
    <row r="612" ht="45.75" customHeight="1" s="21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84" t="n"/>
      <c r="P612" s="184" t="n"/>
      <c r="Q612" s="184" t="n"/>
      <c r="R612" s="184" t="n"/>
      <c r="S612" s="184" t="n"/>
      <c r="T612" s="165" t="n"/>
      <c r="U612" s="179" t="n"/>
      <c r="V612" s="179" t="n"/>
      <c r="W612" s="12" t="n"/>
      <c r="X612" s="12" t="n"/>
      <c r="Y612" s="12" t="n"/>
      <c r="Z612" s="12" t="n"/>
    </row>
    <row r="613" ht="45.75" customHeight="1" s="21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84" t="n"/>
      <c r="P613" s="184" t="n"/>
      <c r="Q613" s="184" t="n"/>
      <c r="R613" s="184" t="n"/>
      <c r="S613" s="184" t="n"/>
      <c r="T613" s="165" t="n"/>
      <c r="U613" s="179" t="n"/>
      <c r="V613" s="179" t="n"/>
      <c r="W613" s="12" t="n"/>
      <c r="X613" s="12" t="n"/>
      <c r="Y613" s="12" t="n"/>
      <c r="Z613" s="12" t="n"/>
    </row>
    <row r="614" ht="45.75" customHeight="1" s="21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84" t="n"/>
      <c r="P614" s="184" t="n"/>
      <c r="Q614" s="184" t="n"/>
      <c r="R614" s="184" t="n"/>
      <c r="S614" s="184" t="n"/>
      <c r="T614" s="165" t="n"/>
      <c r="U614" s="179" t="n"/>
      <c r="V614" s="179" t="n"/>
      <c r="W614" s="12" t="n"/>
      <c r="X614" s="12" t="n"/>
      <c r="Y614" s="12" t="n"/>
      <c r="Z614" s="12" t="n"/>
    </row>
    <row r="615" ht="45.75" customHeight="1" s="21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84" t="n"/>
      <c r="P615" s="184" t="n"/>
      <c r="Q615" s="184" t="n"/>
      <c r="R615" s="184" t="n"/>
      <c r="S615" s="184" t="n"/>
      <c r="T615" s="165" t="n"/>
      <c r="U615" s="179" t="n"/>
      <c r="V615" s="179" t="n"/>
      <c r="W615" s="12" t="n"/>
      <c r="X615" s="12" t="n"/>
      <c r="Y615" s="12" t="n"/>
      <c r="Z615" s="12" t="n"/>
    </row>
    <row r="616" ht="45.75" customHeight="1" s="21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84" t="n"/>
      <c r="P616" s="184" t="n"/>
      <c r="Q616" s="184" t="n"/>
      <c r="R616" s="184" t="n"/>
      <c r="S616" s="184" t="n"/>
      <c r="T616" s="165" t="n"/>
      <c r="U616" s="179" t="n"/>
      <c r="V616" s="179" t="n"/>
      <c r="W616" s="12" t="n"/>
      <c r="X616" s="12" t="n"/>
      <c r="Y616" s="12" t="n"/>
      <c r="Z616" s="12" t="n"/>
    </row>
    <row r="617" ht="45.75" customHeight="1" s="21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84" t="n"/>
      <c r="P617" s="184" t="n"/>
      <c r="Q617" s="184" t="n"/>
      <c r="R617" s="184" t="n"/>
      <c r="S617" s="184" t="n"/>
      <c r="T617" s="165" t="n"/>
      <c r="U617" s="179" t="n"/>
      <c r="V617" s="179" t="n"/>
      <c r="W617" s="12" t="n"/>
      <c r="X617" s="12" t="n"/>
      <c r="Y617" s="12" t="n"/>
      <c r="Z617" s="12" t="n"/>
    </row>
    <row r="618" ht="45.75" customHeight="1" s="21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84" t="n"/>
      <c r="P618" s="184" t="n"/>
      <c r="Q618" s="184" t="n"/>
      <c r="R618" s="184" t="n"/>
      <c r="S618" s="184" t="n"/>
      <c r="T618" s="165" t="n"/>
      <c r="U618" s="179" t="n"/>
      <c r="V618" s="179" t="n"/>
      <c r="W618" s="12" t="n"/>
      <c r="X618" s="12" t="n"/>
      <c r="Y618" s="12" t="n"/>
      <c r="Z618" s="12" t="n"/>
    </row>
    <row r="619" ht="45.75" customHeight="1" s="21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84" t="n"/>
      <c r="P619" s="184" t="n"/>
      <c r="Q619" s="184" t="n"/>
      <c r="R619" s="184" t="n"/>
      <c r="S619" s="184" t="n"/>
      <c r="T619" s="165" t="n"/>
      <c r="U619" s="179" t="n"/>
      <c r="V619" s="179" t="n"/>
      <c r="W619" s="12" t="n"/>
      <c r="X619" s="12" t="n"/>
      <c r="Y619" s="12" t="n"/>
      <c r="Z619" s="12" t="n"/>
    </row>
    <row r="620" ht="45.75" customHeight="1" s="21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84" t="n"/>
      <c r="P620" s="184" t="n"/>
      <c r="Q620" s="184" t="n"/>
      <c r="R620" s="184" t="n"/>
      <c r="S620" s="184" t="n"/>
      <c r="T620" s="165" t="n"/>
      <c r="U620" s="179" t="n"/>
      <c r="V620" s="179" t="n"/>
      <c r="W620" s="12" t="n"/>
      <c r="X620" s="12" t="n"/>
      <c r="Y620" s="12" t="n"/>
      <c r="Z620" s="12" t="n"/>
    </row>
    <row r="621" ht="45.75" customHeight="1" s="21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84" t="n"/>
      <c r="P621" s="184" t="n"/>
      <c r="Q621" s="184" t="n"/>
      <c r="R621" s="184" t="n"/>
      <c r="S621" s="184" t="n"/>
      <c r="T621" s="165" t="n"/>
      <c r="U621" s="179" t="n"/>
      <c r="V621" s="179" t="n"/>
      <c r="W621" s="12" t="n"/>
      <c r="X621" s="12" t="n"/>
      <c r="Y621" s="12" t="n"/>
      <c r="Z621" s="12" t="n"/>
    </row>
    <row r="622" ht="45.75" customHeight="1" s="21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84" t="n"/>
      <c r="P622" s="184" t="n"/>
      <c r="Q622" s="184" t="n"/>
      <c r="R622" s="184" t="n"/>
      <c r="S622" s="184" t="n"/>
      <c r="T622" s="165" t="n"/>
      <c r="U622" s="179" t="n"/>
      <c r="V622" s="179" t="n"/>
      <c r="W622" s="12" t="n"/>
      <c r="X622" s="12" t="n"/>
      <c r="Y622" s="12" t="n"/>
      <c r="Z622" s="12" t="n"/>
    </row>
    <row r="623" ht="45.75" customHeight="1" s="21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84" t="n"/>
      <c r="P623" s="184" t="n"/>
      <c r="Q623" s="184" t="n"/>
      <c r="R623" s="184" t="n"/>
      <c r="S623" s="184" t="n"/>
      <c r="T623" s="165" t="n"/>
      <c r="U623" s="179" t="n"/>
      <c r="V623" s="179" t="n"/>
      <c r="W623" s="12" t="n"/>
      <c r="X623" s="12" t="n"/>
      <c r="Y623" s="12" t="n"/>
      <c r="Z623" s="12" t="n"/>
    </row>
    <row r="624" ht="45.75" customHeight="1" s="21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84" t="n"/>
      <c r="P624" s="184" t="n"/>
      <c r="Q624" s="184" t="n"/>
      <c r="R624" s="184" t="n"/>
      <c r="S624" s="184" t="n"/>
      <c r="T624" s="165" t="n"/>
      <c r="U624" s="179" t="n"/>
      <c r="V624" s="179" t="n"/>
      <c r="W624" s="12" t="n"/>
      <c r="X624" s="12" t="n"/>
      <c r="Y624" s="12" t="n"/>
      <c r="Z624" s="12" t="n"/>
    </row>
    <row r="625" ht="45.75" customHeight="1" s="21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84" t="n"/>
      <c r="P625" s="184" t="n"/>
      <c r="Q625" s="184" t="n"/>
      <c r="R625" s="184" t="n"/>
      <c r="S625" s="184" t="n"/>
      <c r="T625" s="165" t="n"/>
      <c r="U625" s="179" t="n"/>
      <c r="V625" s="179" t="n"/>
      <c r="W625" s="12" t="n"/>
      <c r="X625" s="12" t="n"/>
      <c r="Y625" s="12" t="n"/>
      <c r="Z625" s="12" t="n"/>
    </row>
    <row r="626" ht="45.75" customHeight="1" s="21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84" t="n"/>
      <c r="P626" s="184" t="n"/>
      <c r="Q626" s="184" t="n"/>
      <c r="R626" s="184" t="n"/>
      <c r="S626" s="184" t="n"/>
      <c r="T626" s="165" t="n"/>
      <c r="U626" s="179" t="n"/>
      <c r="V626" s="179" t="n"/>
      <c r="W626" s="12" t="n"/>
      <c r="X626" s="12" t="n"/>
      <c r="Y626" s="12" t="n"/>
      <c r="Z626" s="12" t="n"/>
    </row>
    <row r="627" ht="45.75" customHeight="1" s="21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84" t="n"/>
      <c r="P627" s="184" t="n"/>
      <c r="Q627" s="184" t="n"/>
      <c r="R627" s="184" t="n"/>
      <c r="S627" s="184" t="n"/>
      <c r="T627" s="165" t="n"/>
      <c r="U627" s="179" t="n"/>
      <c r="V627" s="179" t="n"/>
      <c r="W627" s="12" t="n"/>
      <c r="X627" s="12" t="n"/>
      <c r="Y627" s="12" t="n"/>
      <c r="Z627" s="12" t="n"/>
    </row>
    <row r="628" ht="45.75" customHeight="1" s="21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84" t="n"/>
      <c r="P628" s="184" t="n"/>
      <c r="Q628" s="184" t="n"/>
      <c r="R628" s="184" t="n"/>
      <c r="S628" s="184" t="n"/>
      <c r="T628" s="165" t="n"/>
      <c r="U628" s="179" t="n"/>
      <c r="V628" s="179" t="n"/>
      <c r="W628" s="12" t="n"/>
      <c r="X628" s="12" t="n"/>
      <c r="Y628" s="12" t="n"/>
      <c r="Z628" s="12" t="n"/>
    </row>
    <row r="629" ht="45.75" customHeight="1" s="21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84" t="n"/>
      <c r="P629" s="184" t="n"/>
      <c r="Q629" s="184" t="n"/>
      <c r="R629" s="184" t="n"/>
      <c r="S629" s="184" t="n"/>
      <c r="T629" s="165" t="n"/>
      <c r="U629" s="179" t="n"/>
      <c r="V629" s="179" t="n"/>
      <c r="W629" s="12" t="n"/>
      <c r="X629" s="12" t="n"/>
      <c r="Y629" s="12" t="n"/>
      <c r="Z629" s="12" t="n"/>
    </row>
    <row r="630" ht="45.75" customHeight="1" s="21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84" t="n"/>
      <c r="P630" s="184" t="n"/>
      <c r="Q630" s="184" t="n"/>
      <c r="R630" s="184" t="n"/>
      <c r="S630" s="184" t="n"/>
      <c r="T630" s="165" t="n"/>
      <c r="U630" s="179" t="n"/>
      <c r="V630" s="179" t="n"/>
      <c r="W630" s="12" t="n"/>
      <c r="X630" s="12" t="n"/>
      <c r="Y630" s="12" t="n"/>
      <c r="Z630" s="12" t="n"/>
    </row>
    <row r="631" ht="45.75" customHeight="1" s="21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84" t="n"/>
      <c r="P631" s="184" t="n"/>
      <c r="Q631" s="184" t="n"/>
      <c r="R631" s="184" t="n"/>
      <c r="S631" s="184" t="n"/>
      <c r="T631" s="165" t="n"/>
      <c r="U631" s="179" t="n"/>
      <c r="V631" s="179" t="n"/>
      <c r="W631" s="12" t="n"/>
      <c r="X631" s="12" t="n"/>
      <c r="Y631" s="12" t="n"/>
      <c r="Z631" s="12" t="n"/>
    </row>
    <row r="632" ht="45.75" customHeight="1" s="21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84" t="n"/>
      <c r="P632" s="184" t="n"/>
      <c r="Q632" s="184" t="n"/>
      <c r="R632" s="184" t="n"/>
      <c r="S632" s="184" t="n"/>
      <c r="T632" s="165" t="n"/>
      <c r="U632" s="179" t="n"/>
      <c r="V632" s="179" t="n"/>
      <c r="W632" s="12" t="n"/>
      <c r="X632" s="12" t="n"/>
      <c r="Y632" s="12" t="n"/>
      <c r="Z632" s="12" t="n"/>
    </row>
    <row r="633" ht="45.75" customHeight="1" s="21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84" t="n"/>
      <c r="P633" s="184" t="n"/>
      <c r="Q633" s="184" t="n"/>
      <c r="R633" s="184" t="n"/>
      <c r="S633" s="184" t="n"/>
      <c r="T633" s="165" t="n"/>
      <c r="U633" s="179" t="n"/>
      <c r="V633" s="179" t="n"/>
      <c r="W633" s="12" t="n"/>
      <c r="X633" s="12" t="n"/>
      <c r="Y633" s="12" t="n"/>
      <c r="Z633" s="12" t="n"/>
    </row>
    <row r="634" ht="45.75" customHeight="1" s="21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84" t="n"/>
      <c r="P634" s="184" t="n"/>
      <c r="Q634" s="184" t="n"/>
      <c r="R634" s="184" t="n"/>
      <c r="S634" s="184" t="n"/>
      <c r="T634" s="165" t="n"/>
      <c r="U634" s="179" t="n"/>
      <c r="V634" s="179" t="n"/>
      <c r="W634" s="12" t="n"/>
      <c r="X634" s="12" t="n"/>
      <c r="Y634" s="12" t="n"/>
      <c r="Z634" s="12" t="n"/>
    </row>
    <row r="635" ht="45.75" customHeight="1" s="21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84" t="n"/>
      <c r="P635" s="184" t="n"/>
      <c r="Q635" s="184" t="n"/>
      <c r="R635" s="184" t="n"/>
      <c r="S635" s="184" t="n"/>
      <c r="T635" s="165" t="n"/>
      <c r="U635" s="179" t="n"/>
      <c r="V635" s="179" t="n"/>
      <c r="W635" s="12" t="n"/>
      <c r="X635" s="12" t="n"/>
      <c r="Y635" s="12" t="n"/>
      <c r="Z635" s="12" t="n"/>
    </row>
    <row r="636" ht="45.75" customHeight="1" s="21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84" t="n"/>
      <c r="P636" s="184" t="n"/>
      <c r="Q636" s="184" t="n"/>
      <c r="R636" s="184" t="n"/>
      <c r="S636" s="184" t="n"/>
      <c r="T636" s="165" t="n"/>
      <c r="U636" s="179" t="n"/>
      <c r="V636" s="179" t="n"/>
      <c r="W636" s="12" t="n"/>
      <c r="X636" s="12" t="n"/>
      <c r="Y636" s="12" t="n"/>
      <c r="Z636" s="12" t="n"/>
    </row>
    <row r="637" ht="45.75" customHeight="1" s="21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84" t="n"/>
      <c r="P637" s="184" t="n"/>
      <c r="Q637" s="184" t="n"/>
      <c r="R637" s="184" t="n"/>
      <c r="S637" s="184" t="n"/>
      <c r="T637" s="165" t="n"/>
      <c r="U637" s="179" t="n"/>
      <c r="V637" s="179" t="n"/>
      <c r="W637" s="12" t="n"/>
      <c r="X637" s="12" t="n"/>
      <c r="Y637" s="12" t="n"/>
      <c r="Z637" s="12" t="n"/>
    </row>
    <row r="638" ht="45.75" customHeight="1" s="21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84" t="n"/>
      <c r="P638" s="184" t="n"/>
      <c r="Q638" s="184" t="n"/>
      <c r="R638" s="184" t="n"/>
      <c r="S638" s="184" t="n"/>
      <c r="T638" s="165" t="n"/>
      <c r="U638" s="179" t="n"/>
      <c r="V638" s="179" t="n"/>
      <c r="W638" s="12" t="n"/>
      <c r="X638" s="12" t="n"/>
      <c r="Y638" s="12" t="n"/>
      <c r="Z638" s="12" t="n"/>
    </row>
    <row r="639" ht="45.75" customHeight="1" s="21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84" t="n"/>
      <c r="P639" s="184" t="n"/>
      <c r="Q639" s="184" t="n"/>
      <c r="R639" s="184" t="n"/>
      <c r="S639" s="184" t="n"/>
      <c r="T639" s="165" t="n"/>
      <c r="U639" s="179" t="n"/>
      <c r="V639" s="179" t="n"/>
      <c r="W639" s="12" t="n"/>
      <c r="X639" s="12" t="n"/>
      <c r="Y639" s="12" t="n"/>
      <c r="Z639" s="12" t="n"/>
    </row>
    <row r="640" ht="45.75" customHeight="1" s="21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84" t="n"/>
      <c r="P640" s="184" t="n"/>
      <c r="Q640" s="184" t="n"/>
      <c r="R640" s="184" t="n"/>
      <c r="S640" s="184" t="n"/>
      <c r="T640" s="165" t="n"/>
      <c r="U640" s="179" t="n"/>
      <c r="V640" s="179" t="n"/>
      <c r="W640" s="12" t="n"/>
      <c r="X640" s="12" t="n"/>
      <c r="Y640" s="12" t="n"/>
      <c r="Z640" s="12" t="n"/>
    </row>
    <row r="641" ht="45.75" customHeight="1" s="21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84" t="n"/>
      <c r="P641" s="184" t="n"/>
      <c r="Q641" s="184" t="n"/>
      <c r="R641" s="184" t="n"/>
      <c r="S641" s="184" t="n"/>
      <c r="T641" s="165" t="n"/>
      <c r="U641" s="179" t="n"/>
      <c r="V641" s="179" t="n"/>
      <c r="W641" s="12" t="n"/>
      <c r="X641" s="12" t="n"/>
      <c r="Y641" s="12" t="n"/>
      <c r="Z641" s="12" t="n"/>
    </row>
    <row r="642" ht="45.75" customHeight="1" s="21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84" t="n"/>
      <c r="P642" s="184" t="n"/>
      <c r="Q642" s="184" t="n"/>
      <c r="R642" s="184" t="n"/>
      <c r="S642" s="184" t="n"/>
      <c r="T642" s="165" t="n"/>
      <c r="U642" s="179" t="n"/>
      <c r="V642" s="179" t="n"/>
      <c r="W642" s="12" t="n"/>
      <c r="X642" s="12" t="n"/>
      <c r="Y642" s="12" t="n"/>
      <c r="Z642" s="12" t="n"/>
    </row>
    <row r="643" ht="45.75" customHeight="1" s="21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84" t="n"/>
      <c r="P643" s="184" t="n"/>
      <c r="Q643" s="184" t="n"/>
      <c r="R643" s="184" t="n"/>
      <c r="S643" s="184" t="n"/>
      <c r="T643" s="165" t="n"/>
      <c r="U643" s="179" t="n"/>
      <c r="V643" s="179" t="n"/>
      <c r="W643" s="12" t="n"/>
      <c r="X643" s="12" t="n"/>
      <c r="Y643" s="12" t="n"/>
      <c r="Z643" s="12" t="n"/>
    </row>
    <row r="644" ht="45.75" customHeight="1" s="21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84" t="n"/>
      <c r="P644" s="184" t="n"/>
      <c r="Q644" s="184" t="n"/>
      <c r="R644" s="184" t="n"/>
      <c r="S644" s="184" t="n"/>
      <c r="T644" s="165" t="n"/>
      <c r="U644" s="179" t="n"/>
      <c r="V644" s="179" t="n"/>
      <c r="W644" s="12" t="n"/>
      <c r="X644" s="12" t="n"/>
      <c r="Y644" s="12" t="n"/>
      <c r="Z644" s="12" t="n"/>
    </row>
    <row r="645" ht="45.75" customHeight="1" s="21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84" t="n"/>
      <c r="P645" s="184" t="n"/>
      <c r="Q645" s="184" t="n"/>
      <c r="R645" s="184" t="n"/>
      <c r="S645" s="184" t="n"/>
      <c r="T645" s="165" t="n"/>
      <c r="U645" s="179" t="n"/>
      <c r="V645" s="179" t="n"/>
      <c r="W645" s="12" t="n"/>
      <c r="X645" s="12" t="n"/>
      <c r="Y645" s="12" t="n"/>
      <c r="Z645" s="12" t="n"/>
    </row>
    <row r="646" ht="45.75" customHeight="1" s="21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84" t="n"/>
      <c r="P646" s="184" t="n"/>
      <c r="Q646" s="184" t="n"/>
      <c r="R646" s="184" t="n"/>
      <c r="S646" s="184" t="n"/>
      <c r="T646" s="165" t="n"/>
      <c r="U646" s="179" t="n"/>
      <c r="V646" s="179" t="n"/>
      <c r="W646" s="12" t="n"/>
      <c r="X646" s="12" t="n"/>
      <c r="Y646" s="12" t="n"/>
      <c r="Z646" s="12" t="n"/>
    </row>
    <row r="647" ht="45.75" customHeight="1" s="21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84" t="n"/>
      <c r="P647" s="184" t="n"/>
      <c r="Q647" s="184" t="n"/>
      <c r="R647" s="184" t="n"/>
      <c r="S647" s="184" t="n"/>
      <c r="T647" s="165" t="n"/>
      <c r="U647" s="179" t="n"/>
      <c r="V647" s="179" t="n"/>
      <c r="W647" s="12" t="n"/>
      <c r="X647" s="12" t="n"/>
      <c r="Y647" s="12" t="n"/>
      <c r="Z647" s="12" t="n"/>
    </row>
    <row r="648" ht="45.75" customHeight="1" s="21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84" t="n"/>
      <c r="P648" s="184" t="n"/>
      <c r="Q648" s="184" t="n"/>
      <c r="R648" s="184" t="n"/>
      <c r="S648" s="184" t="n"/>
      <c r="T648" s="165" t="n"/>
      <c r="U648" s="179" t="n"/>
      <c r="V648" s="179" t="n"/>
      <c r="W648" s="12" t="n"/>
      <c r="X648" s="12" t="n"/>
      <c r="Y648" s="12" t="n"/>
      <c r="Z648" s="12" t="n"/>
    </row>
    <row r="649" ht="45.75" customHeight="1" s="21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84" t="n"/>
      <c r="P649" s="184" t="n"/>
      <c r="Q649" s="184" t="n"/>
      <c r="R649" s="184" t="n"/>
      <c r="S649" s="184" t="n"/>
      <c r="T649" s="165" t="n"/>
      <c r="U649" s="179" t="n"/>
      <c r="V649" s="179" t="n"/>
      <c r="W649" s="12" t="n"/>
      <c r="X649" s="12" t="n"/>
      <c r="Y649" s="12" t="n"/>
      <c r="Z649" s="12" t="n"/>
    </row>
    <row r="650" ht="45.75" customHeight="1" s="21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84" t="n"/>
      <c r="P650" s="184" t="n"/>
      <c r="Q650" s="184" t="n"/>
      <c r="R650" s="184" t="n"/>
      <c r="S650" s="184" t="n"/>
      <c r="T650" s="165" t="n"/>
      <c r="U650" s="179" t="n"/>
      <c r="V650" s="179" t="n"/>
      <c r="W650" s="12" t="n"/>
      <c r="X650" s="12" t="n"/>
      <c r="Y650" s="12" t="n"/>
      <c r="Z650" s="12" t="n"/>
    </row>
    <row r="651" ht="45.75" customHeight="1" s="21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84" t="n"/>
      <c r="P651" s="184" t="n"/>
      <c r="Q651" s="184" t="n"/>
      <c r="R651" s="184" t="n"/>
      <c r="S651" s="184" t="n"/>
      <c r="T651" s="165" t="n"/>
      <c r="U651" s="179" t="n"/>
      <c r="V651" s="179" t="n"/>
      <c r="W651" s="12" t="n"/>
      <c r="X651" s="12" t="n"/>
      <c r="Y651" s="12" t="n"/>
      <c r="Z651" s="12" t="n"/>
    </row>
    <row r="652" ht="45.75" customHeight="1" s="21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84" t="n"/>
      <c r="P652" s="184" t="n"/>
      <c r="Q652" s="184" t="n"/>
      <c r="R652" s="184" t="n"/>
      <c r="S652" s="184" t="n"/>
      <c r="T652" s="165" t="n"/>
      <c r="U652" s="179" t="n"/>
      <c r="V652" s="179" t="n"/>
      <c r="W652" s="12" t="n"/>
      <c r="X652" s="12" t="n"/>
      <c r="Y652" s="12" t="n"/>
      <c r="Z652" s="12" t="n"/>
    </row>
    <row r="653" ht="45.75" customHeight="1" s="21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84" t="n"/>
      <c r="P653" s="184" t="n"/>
      <c r="Q653" s="184" t="n"/>
      <c r="R653" s="184" t="n"/>
      <c r="S653" s="184" t="n"/>
      <c r="T653" s="165" t="n"/>
      <c r="U653" s="179" t="n"/>
      <c r="V653" s="179" t="n"/>
      <c r="W653" s="12" t="n"/>
      <c r="X653" s="12" t="n"/>
      <c r="Y653" s="12" t="n"/>
      <c r="Z653" s="12" t="n"/>
    </row>
    <row r="654" ht="45.75" customHeight="1" s="21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84" t="n"/>
      <c r="P654" s="184" t="n"/>
      <c r="Q654" s="184" t="n"/>
      <c r="R654" s="184" t="n"/>
      <c r="S654" s="184" t="n"/>
      <c r="T654" s="165" t="n"/>
      <c r="U654" s="179" t="n"/>
      <c r="V654" s="179" t="n"/>
      <c r="W654" s="12" t="n"/>
      <c r="X654" s="12" t="n"/>
      <c r="Y654" s="12" t="n"/>
      <c r="Z654" s="12" t="n"/>
    </row>
    <row r="655" ht="45.75" customHeight="1" s="21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84" t="n"/>
      <c r="P655" s="184" t="n"/>
      <c r="Q655" s="184" t="n"/>
      <c r="R655" s="184" t="n"/>
      <c r="S655" s="184" t="n"/>
      <c r="T655" s="165" t="n"/>
      <c r="U655" s="179" t="n"/>
      <c r="V655" s="179" t="n"/>
      <c r="W655" s="12" t="n"/>
      <c r="X655" s="12" t="n"/>
      <c r="Y655" s="12" t="n"/>
      <c r="Z655" s="12" t="n"/>
    </row>
    <row r="656" ht="45.75" customHeight="1" s="21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84" t="n"/>
      <c r="P656" s="184" t="n"/>
      <c r="Q656" s="184" t="n"/>
      <c r="R656" s="184" t="n"/>
      <c r="S656" s="184" t="n"/>
      <c r="T656" s="165" t="n"/>
      <c r="U656" s="179" t="n"/>
      <c r="V656" s="179" t="n"/>
      <c r="W656" s="12" t="n"/>
      <c r="X656" s="12" t="n"/>
      <c r="Y656" s="12" t="n"/>
      <c r="Z656" s="12" t="n"/>
    </row>
    <row r="657" ht="45.75" customHeight="1" s="21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84" t="n"/>
      <c r="P657" s="184" t="n"/>
      <c r="Q657" s="184" t="n"/>
      <c r="R657" s="184" t="n"/>
      <c r="S657" s="184" t="n"/>
      <c r="T657" s="165" t="n"/>
      <c r="U657" s="179" t="n"/>
      <c r="V657" s="179" t="n"/>
      <c r="W657" s="12" t="n"/>
      <c r="X657" s="12" t="n"/>
      <c r="Y657" s="12" t="n"/>
      <c r="Z657" s="12" t="n"/>
    </row>
    <row r="658" ht="45.75" customHeight="1" s="21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84" t="n"/>
      <c r="P658" s="184" t="n"/>
      <c r="Q658" s="184" t="n"/>
      <c r="R658" s="184" t="n"/>
      <c r="S658" s="184" t="n"/>
      <c r="T658" s="165" t="n"/>
      <c r="U658" s="179" t="n"/>
      <c r="V658" s="179" t="n"/>
      <c r="W658" s="12" t="n"/>
      <c r="X658" s="12" t="n"/>
      <c r="Y658" s="12" t="n"/>
      <c r="Z658" s="12" t="n"/>
    </row>
    <row r="659" ht="45.75" customHeight="1" s="21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84" t="n"/>
      <c r="P659" s="184" t="n"/>
      <c r="Q659" s="184" t="n"/>
      <c r="R659" s="184" t="n"/>
      <c r="S659" s="184" t="n"/>
      <c r="T659" s="165" t="n"/>
      <c r="U659" s="179" t="n"/>
      <c r="V659" s="179" t="n"/>
      <c r="W659" s="12" t="n"/>
      <c r="X659" s="12" t="n"/>
      <c r="Y659" s="12" t="n"/>
      <c r="Z659" s="12" t="n"/>
    </row>
    <row r="660" ht="45.75" customHeight="1" s="21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84" t="n"/>
      <c r="P660" s="184" t="n"/>
      <c r="Q660" s="184" t="n"/>
      <c r="R660" s="184" t="n"/>
      <c r="S660" s="184" t="n"/>
      <c r="T660" s="165" t="n"/>
      <c r="U660" s="179" t="n"/>
      <c r="V660" s="179" t="n"/>
      <c r="W660" s="12" t="n"/>
      <c r="X660" s="12" t="n"/>
      <c r="Y660" s="12" t="n"/>
      <c r="Z660" s="12" t="n"/>
    </row>
    <row r="661" ht="45.75" customHeight="1" s="21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84" t="n"/>
      <c r="P661" s="184" t="n"/>
      <c r="Q661" s="184" t="n"/>
      <c r="R661" s="184" t="n"/>
      <c r="S661" s="184" t="n"/>
      <c r="T661" s="165" t="n"/>
      <c r="U661" s="179" t="n"/>
      <c r="V661" s="179" t="n"/>
      <c r="W661" s="12" t="n"/>
      <c r="X661" s="12" t="n"/>
      <c r="Y661" s="12" t="n"/>
      <c r="Z661" s="12" t="n"/>
    </row>
    <row r="662" ht="45.75" customHeight="1" s="21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84" t="n"/>
      <c r="P662" s="184" t="n"/>
      <c r="Q662" s="184" t="n"/>
      <c r="R662" s="184" t="n"/>
      <c r="S662" s="184" t="n"/>
      <c r="T662" s="165" t="n"/>
      <c r="U662" s="179" t="n"/>
      <c r="V662" s="179" t="n"/>
      <c r="W662" s="12" t="n"/>
      <c r="X662" s="12" t="n"/>
      <c r="Y662" s="12" t="n"/>
      <c r="Z662" s="12" t="n"/>
    </row>
    <row r="663" ht="45.75" customHeight="1" s="21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84" t="n"/>
      <c r="P663" s="184" t="n"/>
      <c r="Q663" s="184" t="n"/>
      <c r="R663" s="184" t="n"/>
      <c r="S663" s="184" t="n"/>
      <c r="T663" s="165" t="n"/>
      <c r="U663" s="179" t="n"/>
      <c r="V663" s="179" t="n"/>
      <c r="W663" s="12" t="n"/>
      <c r="X663" s="12" t="n"/>
      <c r="Y663" s="12" t="n"/>
      <c r="Z663" s="12" t="n"/>
    </row>
    <row r="664" ht="45.75" customHeight="1" s="21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84" t="n"/>
      <c r="P664" s="184" t="n"/>
      <c r="Q664" s="184" t="n"/>
      <c r="R664" s="184" t="n"/>
      <c r="S664" s="184" t="n"/>
      <c r="T664" s="165" t="n"/>
      <c r="U664" s="179" t="n"/>
      <c r="V664" s="179" t="n"/>
      <c r="W664" s="12" t="n"/>
      <c r="X664" s="12" t="n"/>
      <c r="Y664" s="12" t="n"/>
      <c r="Z664" s="12" t="n"/>
    </row>
    <row r="665" ht="45.75" customHeight="1" s="21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84" t="n"/>
      <c r="P665" s="184" t="n"/>
      <c r="Q665" s="184" t="n"/>
      <c r="R665" s="184" t="n"/>
      <c r="S665" s="184" t="n"/>
      <c r="T665" s="165" t="n"/>
      <c r="U665" s="179" t="n"/>
      <c r="V665" s="179" t="n"/>
      <c r="W665" s="12" t="n"/>
      <c r="X665" s="12" t="n"/>
      <c r="Y665" s="12" t="n"/>
      <c r="Z665" s="12" t="n"/>
    </row>
    <row r="666" ht="45.75" customHeight="1" s="21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84" t="n"/>
      <c r="P666" s="184" t="n"/>
      <c r="Q666" s="184" t="n"/>
      <c r="R666" s="184" t="n"/>
      <c r="S666" s="184" t="n"/>
      <c r="T666" s="165" t="n"/>
      <c r="U666" s="179" t="n"/>
      <c r="V666" s="179" t="n"/>
      <c r="W666" s="12" t="n"/>
      <c r="X666" s="12" t="n"/>
      <c r="Y666" s="12" t="n"/>
      <c r="Z666" s="12" t="n"/>
    </row>
    <row r="667" ht="45.75" customHeight="1" s="21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84" t="n"/>
      <c r="P667" s="184" t="n"/>
      <c r="Q667" s="184" t="n"/>
      <c r="R667" s="184" t="n"/>
      <c r="S667" s="184" t="n"/>
      <c r="T667" s="165" t="n"/>
      <c r="U667" s="179" t="n"/>
      <c r="V667" s="179" t="n"/>
      <c r="W667" s="12" t="n"/>
      <c r="X667" s="12" t="n"/>
      <c r="Y667" s="12" t="n"/>
      <c r="Z667" s="12" t="n"/>
    </row>
    <row r="668" ht="45.75" customHeight="1" s="21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84" t="n"/>
      <c r="P668" s="184" t="n"/>
      <c r="Q668" s="184" t="n"/>
      <c r="R668" s="184" t="n"/>
      <c r="S668" s="184" t="n"/>
      <c r="T668" s="165" t="n"/>
      <c r="U668" s="179" t="n"/>
      <c r="V668" s="179" t="n"/>
      <c r="W668" s="12" t="n"/>
      <c r="X668" s="12" t="n"/>
      <c r="Y668" s="12" t="n"/>
      <c r="Z668" s="12" t="n"/>
    </row>
    <row r="669" ht="45.75" customHeight="1" s="21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84" t="n"/>
      <c r="P669" s="184" t="n"/>
      <c r="Q669" s="184" t="n"/>
      <c r="R669" s="184" t="n"/>
      <c r="S669" s="184" t="n"/>
      <c r="T669" s="165" t="n"/>
      <c r="U669" s="179" t="n"/>
      <c r="V669" s="179" t="n"/>
      <c r="W669" s="12" t="n"/>
      <c r="X669" s="12" t="n"/>
      <c r="Y669" s="12" t="n"/>
      <c r="Z669" s="12" t="n"/>
    </row>
    <row r="670" ht="45.75" customHeight="1" s="21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84" t="n"/>
      <c r="P670" s="184" t="n"/>
      <c r="Q670" s="184" t="n"/>
      <c r="R670" s="184" t="n"/>
      <c r="S670" s="184" t="n"/>
      <c r="T670" s="165" t="n"/>
      <c r="U670" s="179" t="n"/>
      <c r="V670" s="179" t="n"/>
      <c r="W670" s="12" t="n"/>
      <c r="X670" s="12" t="n"/>
      <c r="Y670" s="12" t="n"/>
      <c r="Z670" s="12" t="n"/>
    </row>
    <row r="671" ht="45.75" customHeight="1" s="21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84" t="n"/>
      <c r="P671" s="184" t="n"/>
      <c r="Q671" s="184" t="n"/>
      <c r="R671" s="184" t="n"/>
      <c r="S671" s="184" t="n"/>
      <c r="T671" s="165" t="n"/>
      <c r="U671" s="179" t="n"/>
      <c r="V671" s="179" t="n"/>
      <c r="W671" s="12" t="n"/>
      <c r="X671" s="12" t="n"/>
      <c r="Y671" s="12" t="n"/>
      <c r="Z671" s="12" t="n"/>
    </row>
    <row r="672" ht="45.75" customHeight="1" s="21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84" t="n"/>
      <c r="P672" s="184" t="n"/>
      <c r="Q672" s="184" t="n"/>
      <c r="R672" s="184" t="n"/>
      <c r="S672" s="184" t="n"/>
      <c r="T672" s="165" t="n"/>
      <c r="U672" s="179" t="n"/>
      <c r="V672" s="179" t="n"/>
      <c r="W672" s="12" t="n"/>
      <c r="X672" s="12" t="n"/>
      <c r="Y672" s="12" t="n"/>
      <c r="Z672" s="12" t="n"/>
    </row>
    <row r="673" ht="45.75" customHeight="1" s="21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84" t="n"/>
      <c r="P673" s="184" t="n"/>
      <c r="Q673" s="184" t="n"/>
      <c r="R673" s="184" t="n"/>
      <c r="S673" s="184" t="n"/>
      <c r="T673" s="165" t="n"/>
      <c r="U673" s="179" t="n"/>
      <c r="V673" s="179" t="n"/>
      <c r="W673" s="12" t="n"/>
      <c r="X673" s="12" t="n"/>
      <c r="Y673" s="12" t="n"/>
      <c r="Z673" s="12" t="n"/>
    </row>
    <row r="674" ht="45.75" customHeight="1" s="21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84" t="n"/>
      <c r="P674" s="184" t="n"/>
      <c r="Q674" s="184" t="n"/>
      <c r="R674" s="184" t="n"/>
      <c r="S674" s="184" t="n"/>
      <c r="T674" s="165" t="n"/>
      <c r="U674" s="179" t="n"/>
      <c r="V674" s="179" t="n"/>
      <c r="W674" s="12" t="n"/>
      <c r="X674" s="12" t="n"/>
      <c r="Y674" s="12" t="n"/>
      <c r="Z674" s="12" t="n"/>
    </row>
    <row r="675" ht="45.75" customHeight="1" s="21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84" t="n"/>
      <c r="P675" s="184" t="n"/>
      <c r="Q675" s="184" t="n"/>
      <c r="R675" s="184" t="n"/>
      <c r="S675" s="184" t="n"/>
      <c r="T675" s="165" t="n"/>
      <c r="U675" s="179" t="n"/>
      <c r="V675" s="179" t="n"/>
      <c r="W675" s="12" t="n"/>
      <c r="X675" s="12" t="n"/>
      <c r="Y675" s="12" t="n"/>
      <c r="Z675" s="12" t="n"/>
    </row>
    <row r="676" ht="45.75" customHeight="1" s="21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84" t="n"/>
      <c r="P676" s="184" t="n"/>
      <c r="Q676" s="184" t="n"/>
      <c r="R676" s="184" t="n"/>
      <c r="S676" s="184" t="n"/>
      <c r="T676" s="165" t="n"/>
      <c r="U676" s="179" t="n"/>
      <c r="V676" s="179" t="n"/>
      <c r="W676" s="12" t="n"/>
      <c r="X676" s="12" t="n"/>
      <c r="Y676" s="12" t="n"/>
      <c r="Z676" s="12" t="n"/>
    </row>
    <row r="677" ht="45.75" customHeight="1" s="21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84" t="n"/>
      <c r="P677" s="184" t="n"/>
      <c r="Q677" s="184" t="n"/>
      <c r="R677" s="184" t="n"/>
      <c r="S677" s="184" t="n"/>
      <c r="T677" s="165" t="n"/>
      <c r="U677" s="179" t="n"/>
      <c r="V677" s="179" t="n"/>
      <c r="W677" s="12" t="n"/>
      <c r="X677" s="12" t="n"/>
      <c r="Y677" s="12" t="n"/>
      <c r="Z677" s="12" t="n"/>
    </row>
    <row r="678" ht="45.75" customHeight="1" s="21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84" t="n"/>
      <c r="P678" s="184" t="n"/>
      <c r="Q678" s="184" t="n"/>
      <c r="R678" s="184" t="n"/>
      <c r="S678" s="184" t="n"/>
      <c r="T678" s="165" t="n"/>
      <c r="U678" s="179" t="n"/>
      <c r="V678" s="179" t="n"/>
      <c r="W678" s="12" t="n"/>
      <c r="X678" s="12" t="n"/>
      <c r="Y678" s="12" t="n"/>
      <c r="Z678" s="12" t="n"/>
    </row>
    <row r="679" ht="45.75" customHeight="1" s="21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84" t="n"/>
      <c r="P679" s="184" t="n"/>
      <c r="Q679" s="184" t="n"/>
      <c r="R679" s="184" t="n"/>
      <c r="S679" s="184" t="n"/>
      <c r="T679" s="165" t="n"/>
      <c r="U679" s="179" t="n"/>
      <c r="V679" s="179" t="n"/>
      <c r="W679" s="12" t="n"/>
      <c r="X679" s="12" t="n"/>
      <c r="Y679" s="12" t="n"/>
      <c r="Z679" s="12" t="n"/>
    </row>
    <row r="680" ht="45.75" customHeight="1" s="21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84" t="n"/>
      <c r="P680" s="184" t="n"/>
      <c r="Q680" s="184" t="n"/>
      <c r="R680" s="184" t="n"/>
      <c r="S680" s="184" t="n"/>
      <c r="T680" s="165" t="n"/>
      <c r="U680" s="179" t="n"/>
      <c r="V680" s="179" t="n"/>
      <c r="W680" s="12" t="n"/>
      <c r="X680" s="12" t="n"/>
      <c r="Y680" s="12" t="n"/>
      <c r="Z680" s="12" t="n"/>
    </row>
    <row r="681" ht="45.75" customHeight="1" s="21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84" t="n"/>
      <c r="P681" s="184" t="n"/>
      <c r="Q681" s="184" t="n"/>
      <c r="R681" s="184" t="n"/>
      <c r="S681" s="184" t="n"/>
      <c r="T681" s="165" t="n"/>
      <c r="U681" s="179" t="n"/>
      <c r="V681" s="179" t="n"/>
      <c r="W681" s="12" t="n"/>
      <c r="X681" s="12" t="n"/>
      <c r="Y681" s="12" t="n"/>
      <c r="Z681" s="12" t="n"/>
    </row>
    <row r="682" ht="45.75" customHeight="1" s="21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84" t="n"/>
      <c r="P682" s="184" t="n"/>
      <c r="Q682" s="184" t="n"/>
      <c r="R682" s="184" t="n"/>
      <c r="S682" s="184" t="n"/>
      <c r="T682" s="165" t="n"/>
      <c r="U682" s="179" t="n"/>
      <c r="V682" s="179" t="n"/>
      <c r="W682" s="12" t="n"/>
      <c r="X682" s="12" t="n"/>
      <c r="Y682" s="12" t="n"/>
      <c r="Z682" s="12" t="n"/>
    </row>
    <row r="683" ht="45.75" customHeight="1" s="21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84" t="n"/>
      <c r="P683" s="184" t="n"/>
      <c r="Q683" s="184" t="n"/>
      <c r="R683" s="184" t="n"/>
      <c r="S683" s="184" t="n"/>
      <c r="T683" s="165" t="n"/>
      <c r="U683" s="179" t="n"/>
      <c r="V683" s="179" t="n"/>
      <c r="W683" s="12" t="n"/>
      <c r="X683" s="12" t="n"/>
      <c r="Y683" s="12" t="n"/>
      <c r="Z683" s="12" t="n"/>
    </row>
    <row r="684" ht="45.75" customHeight="1" s="21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84" t="n"/>
      <c r="P684" s="184" t="n"/>
      <c r="Q684" s="184" t="n"/>
      <c r="R684" s="184" t="n"/>
      <c r="S684" s="184" t="n"/>
      <c r="T684" s="165" t="n"/>
      <c r="U684" s="179" t="n"/>
      <c r="V684" s="179" t="n"/>
      <c r="W684" s="12" t="n"/>
      <c r="X684" s="12" t="n"/>
      <c r="Y684" s="12" t="n"/>
      <c r="Z684" s="12" t="n"/>
    </row>
    <row r="685" ht="45.75" customHeight="1" s="21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84" t="n"/>
      <c r="P685" s="184" t="n"/>
      <c r="Q685" s="184" t="n"/>
      <c r="R685" s="184" t="n"/>
      <c r="S685" s="184" t="n"/>
      <c r="T685" s="165" t="n"/>
      <c r="U685" s="179" t="n"/>
      <c r="V685" s="179" t="n"/>
      <c r="W685" s="12" t="n"/>
      <c r="X685" s="12" t="n"/>
      <c r="Y685" s="12" t="n"/>
      <c r="Z685" s="12" t="n"/>
    </row>
    <row r="686" ht="45.75" customHeight="1" s="21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84" t="n"/>
      <c r="P686" s="184" t="n"/>
      <c r="Q686" s="184" t="n"/>
      <c r="R686" s="184" t="n"/>
      <c r="S686" s="184" t="n"/>
      <c r="T686" s="165" t="n"/>
      <c r="U686" s="179" t="n"/>
      <c r="V686" s="179" t="n"/>
      <c r="W686" s="12" t="n"/>
      <c r="X686" s="12" t="n"/>
      <c r="Y686" s="12" t="n"/>
      <c r="Z686" s="12" t="n"/>
    </row>
    <row r="687" ht="45.75" customHeight="1" s="21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84" t="n"/>
      <c r="P687" s="184" t="n"/>
      <c r="Q687" s="184" t="n"/>
      <c r="R687" s="184" t="n"/>
      <c r="S687" s="184" t="n"/>
      <c r="T687" s="165" t="n"/>
      <c r="U687" s="179" t="n"/>
      <c r="V687" s="179" t="n"/>
      <c r="W687" s="12" t="n"/>
      <c r="X687" s="12" t="n"/>
      <c r="Y687" s="12" t="n"/>
      <c r="Z687" s="12" t="n"/>
    </row>
    <row r="688" ht="45.75" customHeight="1" s="21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84" t="n"/>
      <c r="P688" s="184" t="n"/>
      <c r="Q688" s="184" t="n"/>
      <c r="R688" s="184" t="n"/>
      <c r="S688" s="184" t="n"/>
      <c r="T688" s="165" t="n"/>
      <c r="U688" s="179" t="n"/>
      <c r="V688" s="179" t="n"/>
      <c r="W688" s="12" t="n"/>
      <c r="X688" s="12" t="n"/>
      <c r="Y688" s="12" t="n"/>
      <c r="Z688" s="12" t="n"/>
    </row>
    <row r="689" ht="45.75" customHeight="1" s="21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84" t="n"/>
      <c r="P689" s="184" t="n"/>
      <c r="Q689" s="184" t="n"/>
      <c r="R689" s="184" t="n"/>
      <c r="S689" s="184" t="n"/>
      <c r="T689" s="165" t="n"/>
      <c r="U689" s="179" t="n"/>
      <c r="V689" s="179" t="n"/>
      <c r="W689" s="12" t="n"/>
      <c r="X689" s="12" t="n"/>
      <c r="Y689" s="12" t="n"/>
      <c r="Z689" s="12" t="n"/>
    </row>
    <row r="690" ht="45.75" customHeight="1" s="21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84" t="n"/>
      <c r="P690" s="184" t="n"/>
      <c r="Q690" s="184" t="n"/>
      <c r="R690" s="184" t="n"/>
      <c r="S690" s="184" t="n"/>
      <c r="T690" s="165" t="n"/>
      <c r="U690" s="179" t="n"/>
      <c r="V690" s="179" t="n"/>
      <c r="W690" s="12" t="n"/>
      <c r="X690" s="12" t="n"/>
      <c r="Y690" s="12" t="n"/>
      <c r="Z690" s="12" t="n"/>
    </row>
    <row r="691" ht="45.75" customHeight="1" s="21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84" t="n"/>
      <c r="P691" s="184" t="n"/>
      <c r="Q691" s="184" t="n"/>
      <c r="R691" s="184" t="n"/>
      <c r="S691" s="184" t="n"/>
      <c r="T691" s="165" t="n"/>
      <c r="U691" s="179" t="n"/>
      <c r="V691" s="179" t="n"/>
      <c r="W691" s="12" t="n"/>
      <c r="X691" s="12" t="n"/>
      <c r="Y691" s="12" t="n"/>
      <c r="Z691" s="12" t="n"/>
    </row>
    <row r="692" ht="45.75" customHeight="1" s="21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84" t="n"/>
      <c r="P692" s="184" t="n"/>
      <c r="Q692" s="184" t="n"/>
      <c r="R692" s="184" t="n"/>
      <c r="S692" s="184" t="n"/>
      <c r="T692" s="165" t="n"/>
      <c r="U692" s="179" t="n"/>
      <c r="V692" s="179" t="n"/>
      <c r="W692" s="12" t="n"/>
      <c r="X692" s="12" t="n"/>
      <c r="Y692" s="12" t="n"/>
      <c r="Z692" s="12" t="n"/>
    </row>
    <row r="693" ht="45.75" customHeight="1" s="21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84" t="n"/>
      <c r="P693" s="184" t="n"/>
      <c r="Q693" s="184" t="n"/>
      <c r="R693" s="184" t="n"/>
      <c r="S693" s="184" t="n"/>
      <c r="T693" s="165" t="n"/>
      <c r="U693" s="179" t="n"/>
      <c r="V693" s="179" t="n"/>
      <c r="W693" s="12" t="n"/>
      <c r="X693" s="12" t="n"/>
      <c r="Y693" s="12" t="n"/>
      <c r="Z693" s="12" t="n"/>
    </row>
    <row r="694" ht="45.75" customHeight="1" s="21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84" t="n"/>
      <c r="P694" s="184" t="n"/>
      <c r="Q694" s="184" t="n"/>
      <c r="R694" s="184" t="n"/>
      <c r="S694" s="184" t="n"/>
      <c r="T694" s="165" t="n"/>
      <c r="U694" s="179" t="n"/>
      <c r="V694" s="179" t="n"/>
      <c r="W694" s="12" t="n"/>
      <c r="X694" s="12" t="n"/>
      <c r="Y694" s="12" t="n"/>
      <c r="Z694" s="12" t="n"/>
    </row>
    <row r="695" ht="45.75" customHeight="1" s="21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84" t="n"/>
      <c r="P695" s="184" t="n"/>
      <c r="Q695" s="184" t="n"/>
      <c r="R695" s="184" t="n"/>
      <c r="S695" s="184" t="n"/>
      <c r="T695" s="165" t="n"/>
      <c r="U695" s="179" t="n"/>
      <c r="V695" s="179" t="n"/>
      <c r="W695" s="12" t="n"/>
      <c r="X695" s="12" t="n"/>
      <c r="Y695" s="12" t="n"/>
      <c r="Z695" s="12" t="n"/>
    </row>
    <row r="696" ht="45.75" customHeight="1" s="21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84" t="n"/>
      <c r="P696" s="184" t="n"/>
      <c r="Q696" s="184" t="n"/>
      <c r="R696" s="184" t="n"/>
      <c r="S696" s="184" t="n"/>
      <c r="T696" s="165" t="n"/>
      <c r="U696" s="179" t="n"/>
      <c r="V696" s="179" t="n"/>
      <c r="W696" s="12" t="n"/>
      <c r="X696" s="12" t="n"/>
      <c r="Y696" s="12" t="n"/>
      <c r="Z696" s="12" t="n"/>
    </row>
    <row r="697" ht="45.75" customHeight="1" s="21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84" t="n"/>
      <c r="P697" s="184" t="n"/>
      <c r="Q697" s="184" t="n"/>
      <c r="R697" s="184" t="n"/>
      <c r="S697" s="184" t="n"/>
      <c r="T697" s="165" t="n"/>
      <c r="U697" s="179" t="n"/>
      <c r="V697" s="179" t="n"/>
      <c r="W697" s="12" t="n"/>
      <c r="X697" s="12" t="n"/>
      <c r="Y697" s="12" t="n"/>
      <c r="Z697" s="12" t="n"/>
    </row>
    <row r="698" ht="45.75" customHeight="1" s="21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84" t="n"/>
      <c r="P698" s="184" t="n"/>
      <c r="Q698" s="184" t="n"/>
      <c r="R698" s="184" t="n"/>
      <c r="S698" s="184" t="n"/>
      <c r="T698" s="165" t="n"/>
      <c r="U698" s="179" t="n"/>
      <c r="V698" s="179" t="n"/>
      <c r="W698" s="12" t="n"/>
      <c r="X698" s="12" t="n"/>
      <c r="Y698" s="12" t="n"/>
      <c r="Z698" s="12" t="n"/>
    </row>
    <row r="699" ht="45.75" customHeight="1" s="21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84" t="n"/>
      <c r="P699" s="184" t="n"/>
      <c r="Q699" s="184" t="n"/>
      <c r="R699" s="184" t="n"/>
      <c r="S699" s="184" t="n"/>
      <c r="T699" s="165" t="n"/>
      <c r="U699" s="179" t="n"/>
      <c r="V699" s="179" t="n"/>
      <c r="W699" s="12" t="n"/>
      <c r="X699" s="12" t="n"/>
      <c r="Y699" s="12" t="n"/>
      <c r="Z699" s="12" t="n"/>
    </row>
    <row r="700" ht="45.75" customHeight="1" s="21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84" t="n"/>
      <c r="P700" s="184" t="n"/>
      <c r="Q700" s="184" t="n"/>
      <c r="R700" s="184" t="n"/>
      <c r="S700" s="184" t="n"/>
      <c r="T700" s="165" t="n"/>
      <c r="U700" s="179" t="n"/>
      <c r="V700" s="179" t="n"/>
      <c r="W700" s="12" t="n"/>
      <c r="X700" s="12" t="n"/>
      <c r="Y700" s="12" t="n"/>
      <c r="Z700" s="12" t="n"/>
    </row>
    <row r="701" ht="45.75" customHeight="1" s="21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84" t="n"/>
      <c r="P701" s="184" t="n"/>
      <c r="Q701" s="184" t="n"/>
      <c r="R701" s="184" t="n"/>
      <c r="S701" s="184" t="n"/>
      <c r="T701" s="165" t="n"/>
      <c r="U701" s="179" t="n"/>
      <c r="V701" s="179" t="n"/>
      <c r="W701" s="12" t="n"/>
      <c r="X701" s="12" t="n"/>
      <c r="Y701" s="12" t="n"/>
      <c r="Z701" s="12" t="n"/>
    </row>
    <row r="702" ht="45.75" customHeight="1" s="21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84" t="n"/>
      <c r="P702" s="184" t="n"/>
      <c r="Q702" s="184" t="n"/>
      <c r="R702" s="184" t="n"/>
      <c r="S702" s="184" t="n"/>
      <c r="T702" s="165" t="n"/>
      <c r="U702" s="179" t="n"/>
      <c r="V702" s="179" t="n"/>
      <c r="W702" s="12" t="n"/>
      <c r="X702" s="12" t="n"/>
      <c r="Y702" s="12" t="n"/>
      <c r="Z702" s="12" t="n"/>
    </row>
    <row r="703" ht="45.75" customHeight="1" s="21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84" t="n"/>
      <c r="P703" s="184" t="n"/>
      <c r="Q703" s="184" t="n"/>
      <c r="R703" s="184" t="n"/>
      <c r="S703" s="184" t="n"/>
      <c r="T703" s="165" t="n"/>
      <c r="U703" s="179" t="n"/>
      <c r="V703" s="179" t="n"/>
      <c r="W703" s="12" t="n"/>
      <c r="X703" s="12" t="n"/>
      <c r="Y703" s="12" t="n"/>
      <c r="Z703" s="12" t="n"/>
    </row>
    <row r="704" ht="45.75" customHeight="1" s="21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84" t="n"/>
      <c r="P704" s="184" t="n"/>
      <c r="Q704" s="184" t="n"/>
      <c r="R704" s="184" t="n"/>
      <c r="S704" s="184" t="n"/>
      <c r="T704" s="165" t="n"/>
      <c r="U704" s="179" t="n"/>
      <c r="V704" s="179" t="n"/>
      <c r="W704" s="12" t="n"/>
      <c r="X704" s="12" t="n"/>
      <c r="Y704" s="12" t="n"/>
      <c r="Z704" s="12" t="n"/>
    </row>
    <row r="705" ht="45.75" customHeight="1" s="21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84" t="n"/>
      <c r="P705" s="184" t="n"/>
      <c r="Q705" s="184" t="n"/>
      <c r="R705" s="184" t="n"/>
      <c r="S705" s="184" t="n"/>
      <c r="T705" s="165" t="n"/>
      <c r="U705" s="179" t="n"/>
      <c r="V705" s="179" t="n"/>
      <c r="W705" s="12" t="n"/>
      <c r="X705" s="12" t="n"/>
      <c r="Y705" s="12" t="n"/>
      <c r="Z705" s="12" t="n"/>
    </row>
    <row r="706" ht="45.75" customHeight="1" s="21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84" t="n"/>
      <c r="P706" s="184" t="n"/>
      <c r="Q706" s="184" t="n"/>
      <c r="R706" s="184" t="n"/>
      <c r="S706" s="184" t="n"/>
      <c r="T706" s="165" t="n"/>
      <c r="U706" s="179" t="n"/>
      <c r="V706" s="179" t="n"/>
      <c r="W706" s="12" t="n"/>
      <c r="X706" s="12" t="n"/>
      <c r="Y706" s="12" t="n"/>
      <c r="Z706" s="12" t="n"/>
    </row>
    <row r="707" ht="45.75" customHeight="1" s="21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84" t="n"/>
      <c r="P707" s="184" t="n"/>
      <c r="Q707" s="184" t="n"/>
      <c r="R707" s="184" t="n"/>
      <c r="S707" s="184" t="n"/>
      <c r="T707" s="165" t="n"/>
      <c r="U707" s="179" t="n"/>
      <c r="V707" s="179" t="n"/>
      <c r="W707" s="12" t="n"/>
      <c r="X707" s="12" t="n"/>
      <c r="Y707" s="12" t="n"/>
      <c r="Z707" s="12" t="n"/>
    </row>
    <row r="708" ht="45.75" customHeight="1" s="21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84" t="n"/>
      <c r="P708" s="184" t="n"/>
      <c r="Q708" s="184" t="n"/>
      <c r="R708" s="184" t="n"/>
      <c r="S708" s="184" t="n"/>
      <c r="T708" s="165" t="n"/>
      <c r="U708" s="179" t="n"/>
      <c r="V708" s="179" t="n"/>
      <c r="W708" s="12" t="n"/>
      <c r="X708" s="12" t="n"/>
      <c r="Y708" s="12" t="n"/>
      <c r="Z708" s="12" t="n"/>
    </row>
    <row r="709" ht="45.75" customHeight="1" s="21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84" t="n"/>
      <c r="P709" s="184" t="n"/>
      <c r="Q709" s="184" t="n"/>
      <c r="R709" s="184" t="n"/>
      <c r="S709" s="184" t="n"/>
      <c r="T709" s="165" t="n"/>
      <c r="U709" s="179" t="n"/>
      <c r="V709" s="179" t="n"/>
      <c r="W709" s="12" t="n"/>
      <c r="X709" s="12" t="n"/>
      <c r="Y709" s="12" t="n"/>
      <c r="Z709" s="12" t="n"/>
    </row>
    <row r="710" ht="45.75" customHeight="1" s="21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84" t="n"/>
      <c r="P710" s="184" t="n"/>
      <c r="Q710" s="184" t="n"/>
      <c r="R710" s="184" t="n"/>
      <c r="S710" s="184" t="n"/>
      <c r="T710" s="165" t="n"/>
      <c r="U710" s="179" t="n"/>
      <c r="V710" s="179" t="n"/>
      <c r="W710" s="12" t="n"/>
      <c r="X710" s="12" t="n"/>
      <c r="Y710" s="12" t="n"/>
      <c r="Z710" s="12" t="n"/>
    </row>
    <row r="711" ht="45.75" customHeight="1" s="2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84" t="n"/>
      <c r="P711" s="184" t="n"/>
      <c r="Q711" s="184" t="n"/>
      <c r="R711" s="184" t="n"/>
      <c r="S711" s="184" t="n"/>
      <c r="T711" s="165" t="n"/>
      <c r="U711" s="179" t="n"/>
      <c r="V711" s="179" t="n"/>
      <c r="W711" s="12" t="n"/>
      <c r="X711" s="12" t="n"/>
      <c r="Y711" s="12" t="n"/>
      <c r="Z711" s="12" t="n"/>
    </row>
    <row r="712" ht="45.75" customHeight="1" s="21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84" t="n"/>
      <c r="P712" s="184" t="n"/>
      <c r="Q712" s="184" t="n"/>
      <c r="R712" s="184" t="n"/>
      <c r="S712" s="184" t="n"/>
      <c r="T712" s="165" t="n"/>
      <c r="U712" s="179" t="n"/>
      <c r="V712" s="179" t="n"/>
      <c r="W712" s="12" t="n"/>
      <c r="X712" s="12" t="n"/>
      <c r="Y712" s="12" t="n"/>
      <c r="Z712" s="12" t="n"/>
    </row>
    <row r="713" ht="45.75" customHeight="1" s="21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84" t="n"/>
      <c r="P713" s="184" t="n"/>
      <c r="Q713" s="184" t="n"/>
      <c r="R713" s="184" t="n"/>
      <c r="S713" s="184" t="n"/>
      <c r="T713" s="165" t="n"/>
      <c r="U713" s="179" t="n"/>
      <c r="V713" s="179" t="n"/>
      <c r="W713" s="12" t="n"/>
      <c r="X713" s="12" t="n"/>
      <c r="Y713" s="12" t="n"/>
      <c r="Z713" s="12" t="n"/>
    </row>
    <row r="714" ht="45.75" customHeight="1" s="21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84" t="n"/>
      <c r="P714" s="184" t="n"/>
      <c r="Q714" s="184" t="n"/>
      <c r="R714" s="184" t="n"/>
      <c r="S714" s="184" t="n"/>
      <c r="T714" s="165" t="n"/>
      <c r="U714" s="179" t="n"/>
      <c r="V714" s="179" t="n"/>
      <c r="W714" s="12" t="n"/>
      <c r="X714" s="12" t="n"/>
      <c r="Y714" s="12" t="n"/>
      <c r="Z714" s="12" t="n"/>
    </row>
    <row r="715" ht="45.75" customHeight="1" s="21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84" t="n"/>
      <c r="P715" s="184" t="n"/>
      <c r="Q715" s="184" t="n"/>
      <c r="R715" s="184" t="n"/>
      <c r="S715" s="184" t="n"/>
      <c r="T715" s="165" t="n"/>
      <c r="U715" s="179" t="n"/>
      <c r="V715" s="179" t="n"/>
      <c r="W715" s="12" t="n"/>
      <c r="X715" s="12" t="n"/>
      <c r="Y715" s="12" t="n"/>
      <c r="Z715" s="12" t="n"/>
    </row>
    <row r="716" ht="45.75" customHeight="1" s="21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84" t="n"/>
      <c r="P716" s="184" t="n"/>
      <c r="Q716" s="184" t="n"/>
      <c r="R716" s="184" t="n"/>
      <c r="S716" s="184" t="n"/>
      <c r="T716" s="165" t="n"/>
      <c r="U716" s="179" t="n"/>
      <c r="V716" s="179" t="n"/>
      <c r="W716" s="12" t="n"/>
      <c r="X716" s="12" t="n"/>
      <c r="Y716" s="12" t="n"/>
      <c r="Z716" s="12" t="n"/>
    </row>
    <row r="717" ht="45.75" customHeight="1" s="21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84" t="n"/>
      <c r="P717" s="184" t="n"/>
      <c r="Q717" s="184" t="n"/>
      <c r="R717" s="184" t="n"/>
      <c r="S717" s="184" t="n"/>
      <c r="T717" s="165" t="n"/>
      <c r="U717" s="179" t="n"/>
      <c r="V717" s="179" t="n"/>
      <c r="W717" s="12" t="n"/>
      <c r="X717" s="12" t="n"/>
      <c r="Y717" s="12" t="n"/>
      <c r="Z717" s="12" t="n"/>
    </row>
    <row r="718" ht="45.75" customHeight="1" s="21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84" t="n"/>
      <c r="P718" s="184" t="n"/>
      <c r="Q718" s="184" t="n"/>
      <c r="R718" s="184" t="n"/>
      <c r="S718" s="184" t="n"/>
      <c r="T718" s="165" t="n"/>
      <c r="U718" s="179" t="n"/>
      <c r="V718" s="179" t="n"/>
      <c r="W718" s="12" t="n"/>
      <c r="X718" s="12" t="n"/>
      <c r="Y718" s="12" t="n"/>
      <c r="Z718" s="12" t="n"/>
    </row>
    <row r="719" ht="45.75" customHeight="1" s="21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84" t="n"/>
      <c r="P719" s="184" t="n"/>
      <c r="Q719" s="184" t="n"/>
      <c r="R719" s="184" t="n"/>
      <c r="S719" s="184" t="n"/>
      <c r="T719" s="165" t="n"/>
      <c r="U719" s="179" t="n"/>
      <c r="V719" s="179" t="n"/>
      <c r="W719" s="12" t="n"/>
      <c r="X719" s="12" t="n"/>
      <c r="Y719" s="12" t="n"/>
      <c r="Z719" s="12" t="n"/>
    </row>
    <row r="720" ht="45.75" customHeight="1" s="21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84" t="n"/>
      <c r="P720" s="184" t="n"/>
      <c r="Q720" s="184" t="n"/>
      <c r="R720" s="184" t="n"/>
      <c r="S720" s="184" t="n"/>
      <c r="T720" s="165" t="n"/>
      <c r="U720" s="179" t="n"/>
      <c r="V720" s="179" t="n"/>
      <c r="W720" s="12" t="n"/>
      <c r="X720" s="12" t="n"/>
      <c r="Y720" s="12" t="n"/>
      <c r="Z720" s="12" t="n"/>
    </row>
    <row r="721" ht="45.75" customHeight="1" s="21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84" t="n"/>
      <c r="P721" s="184" t="n"/>
      <c r="Q721" s="184" t="n"/>
      <c r="R721" s="184" t="n"/>
      <c r="S721" s="184" t="n"/>
      <c r="T721" s="165" t="n"/>
      <c r="U721" s="179" t="n"/>
      <c r="V721" s="179" t="n"/>
      <c r="W721" s="12" t="n"/>
      <c r="X721" s="12" t="n"/>
      <c r="Y721" s="12" t="n"/>
      <c r="Z721" s="12" t="n"/>
    </row>
    <row r="722" ht="45.75" customHeight="1" s="21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84" t="n"/>
      <c r="P722" s="184" t="n"/>
      <c r="Q722" s="184" t="n"/>
      <c r="R722" s="184" t="n"/>
      <c r="S722" s="184" t="n"/>
      <c r="T722" s="165" t="n"/>
      <c r="U722" s="179" t="n"/>
      <c r="V722" s="179" t="n"/>
      <c r="W722" s="12" t="n"/>
      <c r="X722" s="12" t="n"/>
      <c r="Y722" s="12" t="n"/>
      <c r="Z722" s="12" t="n"/>
    </row>
    <row r="723" ht="45.75" customHeight="1" s="21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84" t="n"/>
      <c r="P723" s="184" t="n"/>
      <c r="Q723" s="184" t="n"/>
      <c r="R723" s="184" t="n"/>
      <c r="S723" s="184" t="n"/>
      <c r="T723" s="165" t="n"/>
      <c r="U723" s="179" t="n"/>
      <c r="V723" s="179" t="n"/>
      <c r="W723" s="12" t="n"/>
      <c r="X723" s="12" t="n"/>
      <c r="Y723" s="12" t="n"/>
      <c r="Z723" s="12" t="n"/>
    </row>
    <row r="724" ht="45.75" customHeight="1" s="21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84" t="n"/>
      <c r="P724" s="184" t="n"/>
      <c r="Q724" s="184" t="n"/>
      <c r="R724" s="184" t="n"/>
      <c r="S724" s="184" t="n"/>
      <c r="T724" s="165" t="n"/>
      <c r="U724" s="179" t="n"/>
      <c r="V724" s="179" t="n"/>
      <c r="W724" s="12" t="n"/>
      <c r="X724" s="12" t="n"/>
      <c r="Y724" s="12" t="n"/>
      <c r="Z724" s="12" t="n"/>
    </row>
    <row r="725" ht="45.75" customHeight="1" s="21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84" t="n"/>
      <c r="P725" s="184" t="n"/>
      <c r="Q725" s="184" t="n"/>
      <c r="R725" s="184" t="n"/>
      <c r="S725" s="184" t="n"/>
      <c r="T725" s="165" t="n"/>
      <c r="U725" s="179" t="n"/>
      <c r="V725" s="179" t="n"/>
      <c r="W725" s="12" t="n"/>
      <c r="X725" s="12" t="n"/>
      <c r="Y725" s="12" t="n"/>
      <c r="Z725" s="12" t="n"/>
    </row>
    <row r="726" ht="45.75" customHeight="1" s="21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84" t="n"/>
      <c r="P726" s="184" t="n"/>
      <c r="Q726" s="184" t="n"/>
      <c r="R726" s="184" t="n"/>
      <c r="S726" s="184" t="n"/>
      <c r="T726" s="165" t="n"/>
      <c r="U726" s="179" t="n"/>
      <c r="V726" s="179" t="n"/>
      <c r="W726" s="12" t="n"/>
      <c r="X726" s="12" t="n"/>
      <c r="Y726" s="12" t="n"/>
      <c r="Z726" s="12" t="n"/>
    </row>
    <row r="727" ht="45.75" customHeight="1" s="21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84" t="n"/>
      <c r="P727" s="184" t="n"/>
      <c r="Q727" s="184" t="n"/>
      <c r="R727" s="184" t="n"/>
      <c r="S727" s="184" t="n"/>
      <c r="T727" s="165" t="n"/>
      <c r="U727" s="179" t="n"/>
      <c r="V727" s="179" t="n"/>
      <c r="W727" s="12" t="n"/>
      <c r="X727" s="12" t="n"/>
      <c r="Y727" s="12" t="n"/>
      <c r="Z727" s="12" t="n"/>
    </row>
    <row r="728" ht="45.75" customHeight="1" s="21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84" t="n"/>
      <c r="P728" s="184" t="n"/>
      <c r="Q728" s="184" t="n"/>
      <c r="R728" s="184" t="n"/>
      <c r="S728" s="184" t="n"/>
      <c r="T728" s="165" t="n"/>
      <c r="U728" s="179" t="n"/>
      <c r="V728" s="179" t="n"/>
      <c r="W728" s="12" t="n"/>
      <c r="X728" s="12" t="n"/>
      <c r="Y728" s="12" t="n"/>
      <c r="Z728" s="12" t="n"/>
    </row>
    <row r="729" ht="45.75" customHeight="1" s="21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84" t="n"/>
      <c r="P729" s="184" t="n"/>
      <c r="Q729" s="184" t="n"/>
      <c r="R729" s="184" t="n"/>
      <c r="S729" s="184" t="n"/>
      <c r="T729" s="165" t="n"/>
      <c r="U729" s="179" t="n"/>
      <c r="V729" s="179" t="n"/>
      <c r="W729" s="12" t="n"/>
      <c r="X729" s="12" t="n"/>
      <c r="Y729" s="12" t="n"/>
      <c r="Z729" s="12" t="n"/>
    </row>
    <row r="730" ht="45.75" customHeight="1" s="21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84" t="n"/>
      <c r="P730" s="184" t="n"/>
      <c r="Q730" s="184" t="n"/>
      <c r="R730" s="184" t="n"/>
      <c r="S730" s="184" t="n"/>
      <c r="T730" s="165" t="n"/>
      <c r="U730" s="179" t="n"/>
      <c r="V730" s="179" t="n"/>
      <c r="W730" s="12" t="n"/>
      <c r="X730" s="12" t="n"/>
      <c r="Y730" s="12" t="n"/>
      <c r="Z730" s="12" t="n"/>
    </row>
    <row r="731" ht="45.75" customHeight="1" s="21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84" t="n"/>
      <c r="P731" s="184" t="n"/>
      <c r="Q731" s="184" t="n"/>
      <c r="R731" s="184" t="n"/>
      <c r="S731" s="184" t="n"/>
      <c r="T731" s="165" t="n"/>
      <c r="U731" s="179" t="n"/>
      <c r="V731" s="179" t="n"/>
      <c r="W731" s="12" t="n"/>
      <c r="X731" s="12" t="n"/>
      <c r="Y731" s="12" t="n"/>
      <c r="Z731" s="12" t="n"/>
    </row>
    <row r="732" ht="45.75" customHeight="1" s="21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84" t="n"/>
      <c r="P732" s="184" t="n"/>
      <c r="Q732" s="184" t="n"/>
      <c r="R732" s="184" t="n"/>
      <c r="S732" s="184" t="n"/>
      <c r="T732" s="165" t="n"/>
      <c r="U732" s="179" t="n"/>
      <c r="V732" s="179" t="n"/>
      <c r="W732" s="12" t="n"/>
      <c r="X732" s="12" t="n"/>
      <c r="Y732" s="12" t="n"/>
      <c r="Z732" s="12" t="n"/>
    </row>
    <row r="733" ht="45.75" customHeight="1" s="21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84" t="n"/>
      <c r="P733" s="184" t="n"/>
      <c r="Q733" s="184" t="n"/>
      <c r="R733" s="184" t="n"/>
      <c r="S733" s="184" t="n"/>
      <c r="T733" s="165" t="n"/>
      <c r="U733" s="179" t="n"/>
      <c r="V733" s="179" t="n"/>
      <c r="W733" s="12" t="n"/>
      <c r="X733" s="12" t="n"/>
      <c r="Y733" s="12" t="n"/>
      <c r="Z733" s="12" t="n"/>
    </row>
    <row r="734" ht="45.75" customHeight="1" s="21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84" t="n"/>
      <c r="P734" s="184" t="n"/>
      <c r="Q734" s="184" t="n"/>
      <c r="R734" s="184" t="n"/>
      <c r="S734" s="184" t="n"/>
      <c r="T734" s="165" t="n"/>
      <c r="U734" s="179" t="n"/>
      <c r="V734" s="179" t="n"/>
      <c r="W734" s="12" t="n"/>
      <c r="X734" s="12" t="n"/>
      <c r="Y734" s="12" t="n"/>
      <c r="Z734" s="12" t="n"/>
    </row>
    <row r="735" ht="45.75" customHeight="1" s="21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84" t="n"/>
      <c r="P735" s="184" t="n"/>
      <c r="Q735" s="184" t="n"/>
      <c r="R735" s="184" t="n"/>
      <c r="S735" s="184" t="n"/>
      <c r="T735" s="165" t="n"/>
      <c r="U735" s="179" t="n"/>
      <c r="V735" s="179" t="n"/>
      <c r="W735" s="12" t="n"/>
      <c r="X735" s="12" t="n"/>
      <c r="Y735" s="12" t="n"/>
      <c r="Z735" s="12" t="n"/>
    </row>
    <row r="736" ht="45.75" customHeight="1" s="21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84" t="n"/>
      <c r="P736" s="184" t="n"/>
      <c r="Q736" s="184" t="n"/>
      <c r="R736" s="184" t="n"/>
      <c r="S736" s="184" t="n"/>
      <c r="T736" s="165" t="n"/>
      <c r="U736" s="179" t="n"/>
      <c r="V736" s="179" t="n"/>
      <c r="W736" s="12" t="n"/>
      <c r="X736" s="12" t="n"/>
      <c r="Y736" s="12" t="n"/>
      <c r="Z736" s="12" t="n"/>
    </row>
    <row r="737" ht="45.75" customHeight="1" s="21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84" t="n"/>
      <c r="P737" s="184" t="n"/>
      <c r="Q737" s="184" t="n"/>
      <c r="R737" s="184" t="n"/>
      <c r="S737" s="184" t="n"/>
      <c r="T737" s="165" t="n"/>
      <c r="U737" s="179" t="n"/>
      <c r="V737" s="179" t="n"/>
      <c r="W737" s="12" t="n"/>
      <c r="X737" s="12" t="n"/>
      <c r="Y737" s="12" t="n"/>
      <c r="Z737" s="12" t="n"/>
    </row>
    <row r="738" ht="45.75" customHeight="1" s="21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84" t="n"/>
      <c r="P738" s="184" t="n"/>
      <c r="Q738" s="184" t="n"/>
      <c r="R738" s="184" t="n"/>
      <c r="S738" s="184" t="n"/>
      <c r="T738" s="165" t="n"/>
      <c r="U738" s="179" t="n"/>
      <c r="V738" s="179" t="n"/>
      <c r="W738" s="12" t="n"/>
      <c r="X738" s="12" t="n"/>
      <c r="Y738" s="12" t="n"/>
      <c r="Z738" s="12" t="n"/>
    </row>
    <row r="739" ht="45.75" customHeight="1" s="21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84" t="n"/>
      <c r="P739" s="184" t="n"/>
      <c r="Q739" s="184" t="n"/>
      <c r="R739" s="184" t="n"/>
      <c r="S739" s="184" t="n"/>
      <c r="T739" s="165" t="n"/>
      <c r="U739" s="179" t="n"/>
      <c r="V739" s="179" t="n"/>
      <c r="W739" s="12" t="n"/>
      <c r="X739" s="12" t="n"/>
      <c r="Y739" s="12" t="n"/>
      <c r="Z739" s="12" t="n"/>
    </row>
    <row r="740" ht="45.75" customHeight="1" s="21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84" t="n"/>
      <c r="P740" s="184" t="n"/>
      <c r="Q740" s="184" t="n"/>
      <c r="R740" s="184" t="n"/>
      <c r="S740" s="184" t="n"/>
      <c r="T740" s="165" t="n"/>
      <c r="U740" s="179" t="n"/>
      <c r="V740" s="179" t="n"/>
      <c r="W740" s="12" t="n"/>
      <c r="X740" s="12" t="n"/>
      <c r="Y740" s="12" t="n"/>
      <c r="Z740" s="12" t="n"/>
    </row>
    <row r="741" ht="45.75" customHeight="1" s="21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84" t="n"/>
      <c r="P741" s="184" t="n"/>
      <c r="Q741" s="184" t="n"/>
      <c r="R741" s="184" t="n"/>
      <c r="S741" s="184" t="n"/>
      <c r="T741" s="165" t="n"/>
      <c r="U741" s="179" t="n"/>
      <c r="V741" s="179" t="n"/>
      <c r="W741" s="12" t="n"/>
      <c r="X741" s="12" t="n"/>
      <c r="Y741" s="12" t="n"/>
      <c r="Z741" s="12" t="n"/>
    </row>
    <row r="742" ht="45.75" customHeight="1" s="21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84" t="n"/>
      <c r="P742" s="184" t="n"/>
      <c r="Q742" s="184" t="n"/>
      <c r="R742" s="184" t="n"/>
      <c r="S742" s="184" t="n"/>
      <c r="T742" s="165" t="n"/>
      <c r="U742" s="179" t="n"/>
      <c r="V742" s="179" t="n"/>
      <c r="W742" s="12" t="n"/>
      <c r="X742" s="12" t="n"/>
      <c r="Y742" s="12" t="n"/>
      <c r="Z742" s="12" t="n"/>
    </row>
    <row r="743" ht="45.75" customHeight="1" s="21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84" t="n"/>
      <c r="P743" s="184" t="n"/>
      <c r="Q743" s="184" t="n"/>
      <c r="R743" s="184" t="n"/>
      <c r="S743" s="184" t="n"/>
      <c r="T743" s="165" t="n"/>
      <c r="U743" s="179" t="n"/>
      <c r="V743" s="179" t="n"/>
      <c r="W743" s="12" t="n"/>
      <c r="X743" s="12" t="n"/>
      <c r="Y743" s="12" t="n"/>
      <c r="Z743" s="12" t="n"/>
    </row>
    <row r="744" ht="45.75" customHeight="1" s="21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84" t="n"/>
      <c r="P744" s="184" t="n"/>
      <c r="Q744" s="184" t="n"/>
      <c r="R744" s="184" t="n"/>
      <c r="S744" s="184" t="n"/>
      <c r="T744" s="165" t="n"/>
      <c r="U744" s="179" t="n"/>
      <c r="V744" s="179" t="n"/>
      <c r="W744" s="12" t="n"/>
      <c r="X744" s="12" t="n"/>
      <c r="Y744" s="12" t="n"/>
      <c r="Z744" s="12" t="n"/>
    </row>
    <row r="745" ht="45.75" customHeight="1" s="21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84" t="n"/>
      <c r="P745" s="184" t="n"/>
      <c r="Q745" s="184" t="n"/>
      <c r="R745" s="184" t="n"/>
      <c r="S745" s="184" t="n"/>
      <c r="T745" s="165" t="n"/>
      <c r="U745" s="179" t="n"/>
      <c r="V745" s="179" t="n"/>
      <c r="W745" s="12" t="n"/>
      <c r="X745" s="12" t="n"/>
      <c r="Y745" s="12" t="n"/>
      <c r="Z745" s="12" t="n"/>
    </row>
    <row r="746" ht="45.75" customHeight="1" s="21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84" t="n"/>
      <c r="P746" s="184" t="n"/>
      <c r="Q746" s="184" t="n"/>
      <c r="R746" s="184" t="n"/>
      <c r="S746" s="184" t="n"/>
      <c r="T746" s="165" t="n"/>
      <c r="U746" s="179" t="n"/>
      <c r="V746" s="179" t="n"/>
      <c r="W746" s="12" t="n"/>
      <c r="X746" s="12" t="n"/>
      <c r="Y746" s="12" t="n"/>
      <c r="Z746" s="12" t="n"/>
    </row>
    <row r="747" ht="45.75" customHeight="1" s="21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84" t="n"/>
      <c r="P747" s="184" t="n"/>
      <c r="Q747" s="184" t="n"/>
      <c r="R747" s="184" t="n"/>
      <c r="S747" s="184" t="n"/>
      <c r="T747" s="165" t="n"/>
      <c r="U747" s="179" t="n"/>
      <c r="V747" s="179" t="n"/>
      <c r="W747" s="12" t="n"/>
      <c r="X747" s="12" t="n"/>
      <c r="Y747" s="12" t="n"/>
      <c r="Z747" s="12" t="n"/>
    </row>
    <row r="748" ht="45.75" customHeight="1" s="21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84" t="n"/>
      <c r="P748" s="184" t="n"/>
      <c r="Q748" s="184" t="n"/>
      <c r="R748" s="184" t="n"/>
      <c r="S748" s="184" t="n"/>
      <c r="T748" s="165" t="n"/>
      <c r="U748" s="179" t="n"/>
      <c r="V748" s="179" t="n"/>
      <c r="W748" s="12" t="n"/>
      <c r="X748" s="12" t="n"/>
      <c r="Y748" s="12" t="n"/>
      <c r="Z748" s="12" t="n"/>
    </row>
    <row r="749" ht="45.75" customHeight="1" s="21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84" t="n"/>
      <c r="P749" s="184" t="n"/>
      <c r="Q749" s="184" t="n"/>
      <c r="R749" s="184" t="n"/>
      <c r="S749" s="184" t="n"/>
      <c r="T749" s="165" t="n"/>
      <c r="U749" s="179" t="n"/>
      <c r="V749" s="179" t="n"/>
      <c r="W749" s="12" t="n"/>
      <c r="X749" s="12" t="n"/>
      <c r="Y749" s="12" t="n"/>
      <c r="Z749" s="12" t="n"/>
    </row>
    <row r="750" ht="45.75" customHeight="1" s="21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84" t="n"/>
      <c r="P750" s="184" t="n"/>
      <c r="Q750" s="184" t="n"/>
      <c r="R750" s="184" t="n"/>
      <c r="S750" s="184" t="n"/>
      <c r="T750" s="165" t="n"/>
      <c r="U750" s="179" t="n"/>
      <c r="V750" s="179" t="n"/>
      <c r="W750" s="12" t="n"/>
      <c r="X750" s="12" t="n"/>
      <c r="Y750" s="12" t="n"/>
      <c r="Z750" s="12" t="n"/>
    </row>
    <row r="751" ht="45.75" customHeight="1" s="21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84" t="n"/>
      <c r="P751" s="184" t="n"/>
      <c r="Q751" s="184" t="n"/>
      <c r="R751" s="184" t="n"/>
      <c r="S751" s="184" t="n"/>
      <c r="T751" s="165" t="n"/>
      <c r="U751" s="179" t="n"/>
      <c r="V751" s="179" t="n"/>
      <c r="W751" s="12" t="n"/>
      <c r="X751" s="12" t="n"/>
      <c r="Y751" s="12" t="n"/>
      <c r="Z751" s="12" t="n"/>
    </row>
    <row r="752" ht="45.75" customHeight="1" s="21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84" t="n"/>
      <c r="P752" s="184" t="n"/>
      <c r="Q752" s="184" t="n"/>
      <c r="R752" s="184" t="n"/>
      <c r="S752" s="184" t="n"/>
      <c r="T752" s="165" t="n"/>
      <c r="U752" s="179" t="n"/>
      <c r="V752" s="179" t="n"/>
      <c r="W752" s="12" t="n"/>
      <c r="X752" s="12" t="n"/>
      <c r="Y752" s="12" t="n"/>
      <c r="Z752" s="12" t="n"/>
    </row>
    <row r="753" ht="45.75" customHeight="1" s="21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84" t="n"/>
      <c r="P753" s="184" t="n"/>
      <c r="Q753" s="184" t="n"/>
      <c r="R753" s="184" t="n"/>
      <c r="S753" s="184" t="n"/>
      <c r="T753" s="165" t="n"/>
      <c r="U753" s="179" t="n"/>
      <c r="V753" s="179" t="n"/>
      <c r="W753" s="12" t="n"/>
      <c r="X753" s="12" t="n"/>
      <c r="Y753" s="12" t="n"/>
      <c r="Z753" s="12" t="n"/>
    </row>
    <row r="754" ht="45.75" customHeight="1" s="21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84" t="n"/>
      <c r="P754" s="184" t="n"/>
      <c r="Q754" s="184" t="n"/>
      <c r="R754" s="184" t="n"/>
      <c r="S754" s="184" t="n"/>
      <c r="T754" s="165" t="n"/>
      <c r="U754" s="179" t="n"/>
      <c r="V754" s="179" t="n"/>
      <c r="W754" s="12" t="n"/>
      <c r="X754" s="12" t="n"/>
      <c r="Y754" s="12" t="n"/>
      <c r="Z754" s="12" t="n"/>
    </row>
    <row r="755" ht="45.75" customHeight="1" s="21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84" t="n"/>
      <c r="P755" s="184" t="n"/>
      <c r="Q755" s="184" t="n"/>
      <c r="R755" s="184" t="n"/>
      <c r="S755" s="184" t="n"/>
      <c r="T755" s="165" t="n"/>
      <c r="U755" s="179" t="n"/>
      <c r="V755" s="179" t="n"/>
      <c r="W755" s="12" t="n"/>
      <c r="X755" s="12" t="n"/>
      <c r="Y755" s="12" t="n"/>
      <c r="Z755" s="12" t="n"/>
    </row>
    <row r="756" ht="45.75" customHeight="1" s="21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84" t="n"/>
      <c r="P756" s="184" t="n"/>
      <c r="Q756" s="184" t="n"/>
      <c r="R756" s="184" t="n"/>
      <c r="S756" s="184" t="n"/>
      <c r="T756" s="165" t="n"/>
      <c r="U756" s="179" t="n"/>
      <c r="V756" s="179" t="n"/>
      <c r="W756" s="12" t="n"/>
      <c r="X756" s="12" t="n"/>
      <c r="Y756" s="12" t="n"/>
      <c r="Z756" s="12" t="n"/>
    </row>
    <row r="757" ht="45.75" customHeight="1" s="21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84" t="n"/>
      <c r="P757" s="184" t="n"/>
      <c r="Q757" s="184" t="n"/>
      <c r="R757" s="184" t="n"/>
      <c r="S757" s="184" t="n"/>
      <c r="T757" s="165" t="n"/>
      <c r="U757" s="179" t="n"/>
      <c r="V757" s="179" t="n"/>
      <c r="W757" s="12" t="n"/>
      <c r="X757" s="12" t="n"/>
      <c r="Y757" s="12" t="n"/>
      <c r="Z757" s="12" t="n"/>
    </row>
    <row r="758" ht="45.75" customHeight="1" s="21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84" t="n"/>
      <c r="P758" s="184" t="n"/>
      <c r="Q758" s="184" t="n"/>
      <c r="R758" s="184" t="n"/>
      <c r="S758" s="184" t="n"/>
      <c r="T758" s="165" t="n"/>
      <c r="U758" s="179" t="n"/>
      <c r="V758" s="179" t="n"/>
      <c r="W758" s="12" t="n"/>
      <c r="X758" s="12" t="n"/>
      <c r="Y758" s="12" t="n"/>
      <c r="Z758" s="12" t="n"/>
    </row>
    <row r="759" ht="45.75" customHeight="1" s="21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84" t="n"/>
      <c r="P759" s="184" t="n"/>
      <c r="Q759" s="184" t="n"/>
      <c r="R759" s="184" t="n"/>
      <c r="S759" s="184" t="n"/>
      <c r="T759" s="165" t="n"/>
      <c r="U759" s="179" t="n"/>
      <c r="V759" s="179" t="n"/>
      <c r="W759" s="12" t="n"/>
      <c r="X759" s="12" t="n"/>
      <c r="Y759" s="12" t="n"/>
      <c r="Z759" s="12" t="n"/>
    </row>
    <row r="760" ht="45.75" customHeight="1" s="21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84" t="n"/>
      <c r="P760" s="184" t="n"/>
      <c r="Q760" s="184" t="n"/>
      <c r="R760" s="184" t="n"/>
      <c r="S760" s="184" t="n"/>
      <c r="T760" s="165" t="n"/>
      <c r="U760" s="179" t="n"/>
      <c r="V760" s="179" t="n"/>
      <c r="W760" s="12" t="n"/>
      <c r="X760" s="12" t="n"/>
      <c r="Y760" s="12" t="n"/>
      <c r="Z760" s="12" t="n"/>
    </row>
    <row r="761" ht="45.75" customHeight="1" s="21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84" t="n"/>
      <c r="P761" s="184" t="n"/>
      <c r="Q761" s="184" t="n"/>
      <c r="R761" s="184" t="n"/>
      <c r="S761" s="184" t="n"/>
      <c r="T761" s="165" t="n"/>
      <c r="U761" s="179" t="n"/>
      <c r="V761" s="179" t="n"/>
      <c r="W761" s="12" t="n"/>
      <c r="X761" s="12" t="n"/>
      <c r="Y761" s="12" t="n"/>
      <c r="Z761" s="12" t="n"/>
    </row>
    <row r="762" ht="45.75" customHeight="1" s="21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84" t="n"/>
      <c r="P762" s="184" t="n"/>
      <c r="Q762" s="184" t="n"/>
      <c r="R762" s="184" t="n"/>
      <c r="S762" s="184" t="n"/>
      <c r="T762" s="165" t="n"/>
      <c r="U762" s="179" t="n"/>
      <c r="V762" s="179" t="n"/>
      <c r="W762" s="12" t="n"/>
      <c r="X762" s="12" t="n"/>
      <c r="Y762" s="12" t="n"/>
      <c r="Z762" s="12" t="n"/>
    </row>
    <row r="763" ht="45.75" customHeight="1" s="21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84" t="n"/>
      <c r="P763" s="184" t="n"/>
      <c r="Q763" s="184" t="n"/>
      <c r="R763" s="184" t="n"/>
      <c r="S763" s="184" t="n"/>
      <c r="T763" s="165" t="n"/>
      <c r="U763" s="179" t="n"/>
      <c r="V763" s="179" t="n"/>
      <c r="W763" s="12" t="n"/>
      <c r="X763" s="12" t="n"/>
      <c r="Y763" s="12" t="n"/>
      <c r="Z763" s="12" t="n"/>
    </row>
    <row r="764" ht="45.75" customHeight="1" s="21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84" t="n"/>
      <c r="P764" s="184" t="n"/>
      <c r="Q764" s="184" t="n"/>
      <c r="R764" s="184" t="n"/>
      <c r="S764" s="184" t="n"/>
      <c r="T764" s="165" t="n"/>
      <c r="U764" s="179" t="n"/>
      <c r="V764" s="179" t="n"/>
      <c r="W764" s="12" t="n"/>
      <c r="X764" s="12" t="n"/>
      <c r="Y764" s="12" t="n"/>
      <c r="Z764" s="12" t="n"/>
    </row>
    <row r="765" ht="45.75" customHeight="1" s="21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84" t="n"/>
      <c r="P765" s="184" t="n"/>
      <c r="Q765" s="184" t="n"/>
      <c r="R765" s="184" t="n"/>
      <c r="S765" s="184" t="n"/>
      <c r="T765" s="165" t="n"/>
      <c r="U765" s="179" t="n"/>
      <c r="V765" s="179" t="n"/>
      <c r="W765" s="12" t="n"/>
      <c r="X765" s="12" t="n"/>
      <c r="Y765" s="12" t="n"/>
      <c r="Z765" s="12" t="n"/>
    </row>
    <row r="766" ht="45.75" customHeight="1" s="21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84" t="n"/>
      <c r="P766" s="184" t="n"/>
      <c r="Q766" s="184" t="n"/>
      <c r="R766" s="184" t="n"/>
      <c r="S766" s="184" t="n"/>
      <c r="T766" s="165" t="n"/>
      <c r="U766" s="179" t="n"/>
      <c r="V766" s="179" t="n"/>
      <c r="W766" s="12" t="n"/>
      <c r="X766" s="12" t="n"/>
      <c r="Y766" s="12" t="n"/>
      <c r="Z766" s="12" t="n"/>
    </row>
    <row r="767" ht="45.75" customHeight="1" s="21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84" t="n"/>
      <c r="P767" s="184" t="n"/>
      <c r="Q767" s="184" t="n"/>
      <c r="R767" s="184" t="n"/>
      <c r="S767" s="184" t="n"/>
      <c r="T767" s="165" t="n"/>
      <c r="U767" s="179" t="n"/>
      <c r="V767" s="179" t="n"/>
      <c r="W767" s="12" t="n"/>
      <c r="X767" s="12" t="n"/>
      <c r="Y767" s="12" t="n"/>
      <c r="Z767" s="12" t="n"/>
    </row>
    <row r="768" ht="45.75" customHeight="1" s="21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84" t="n"/>
      <c r="P768" s="184" t="n"/>
      <c r="Q768" s="184" t="n"/>
      <c r="R768" s="184" t="n"/>
      <c r="S768" s="184" t="n"/>
      <c r="T768" s="165" t="n"/>
      <c r="U768" s="179" t="n"/>
      <c r="V768" s="179" t="n"/>
      <c r="W768" s="12" t="n"/>
      <c r="X768" s="12" t="n"/>
      <c r="Y768" s="12" t="n"/>
      <c r="Z768" s="12" t="n"/>
    </row>
    <row r="769" ht="45.75" customHeight="1" s="21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84" t="n"/>
      <c r="P769" s="184" t="n"/>
      <c r="Q769" s="184" t="n"/>
      <c r="R769" s="184" t="n"/>
      <c r="S769" s="184" t="n"/>
      <c r="T769" s="165" t="n"/>
      <c r="U769" s="179" t="n"/>
      <c r="V769" s="179" t="n"/>
      <c r="W769" s="12" t="n"/>
      <c r="X769" s="12" t="n"/>
      <c r="Y769" s="12" t="n"/>
      <c r="Z769" s="12" t="n"/>
    </row>
    <row r="770" ht="45.75" customHeight="1" s="21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84" t="n"/>
      <c r="P770" s="184" t="n"/>
      <c r="Q770" s="184" t="n"/>
      <c r="R770" s="184" t="n"/>
      <c r="S770" s="184" t="n"/>
      <c r="T770" s="165" t="n"/>
      <c r="U770" s="179" t="n"/>
      <c r="V770" s="179" t="n"/>
      <c r="W770" s="12" t="n"/>
      <c r="X770" s="12" t="n"/>
      <c r="Y770" s="12" t="n"/>
      <c r="Z770" s="12" t="n"/>
    </row>
    <row r="771" ht="45.75" customHeight="1" s="21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84" t="n"/>
      <c r="P771" s="184" t="n"/>
      <c r="Q771" s="184" t="n"/>
      <c r="R771" s="184" t="n"/>
      <c r="S771" s="184" t="n"/>
      <c r="T771" s="165" t="n"/>
      <c r="U771" s="179" t="n"/>
      <c r="V771" s="179" t="n"/>
      <c r="W771" s="12" t="n"/>
      <c r="X771" s="12" t="n"/>
      <c r="Y771" s="12" t="n"/>
      <c r="Z771" s="12" t="n"/>
    </row>
    <row r="772" ht="45.75" customHeight="1" s="21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84" t="n"/>
      <c r="P772" s="184" t="n"/>
      <c r="Q772" s="184" t="n"/>
      <c r="R772" s="184" t="n"/>
      <c r="S772" s="184" t="n"/>
      <c r="T772" s="165" t="n"/>
      <c r="U772" s="179" t="n"/>
      <c r="V772" s="179" t="n"/>
      <c r="W772" s="12" t="n"/>
      <c r="X772" s="12" t="n"/>
      <c r="Y772" s="12" t="n"/>
      <c r="Z772" s="12" t="n"/>
    </row>
    <row r="773" ht="45.75" customHeight="1" s="21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84" t="n"/>
      <c r="P773" s="184" t="n"/>
      <c r="Q773" s="184" t="n"/>
      <c r="R773" s="184" t="n"/>
      <c r="S773" s="184" t="n"/>
      <c r="T773" s="165" t="n"/>
      <c r="U773" s="179" t="n"/>
      <c r="V773" s="179" t="n"/>
      <c r="W773" s="12" t="n"/>
      <c r="X773" s="12" t="n"/>
      <c r="Y773" s="12" t="n"/>
      <c r="Z773" s="12" t="n"/>
    </row>
    <row r="774" ht="45.75" customHeight="1" s="21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84" t="n"/>
      <c r="P774" s="184" t="n"/>
      <c r="Q774" s="184" t="n"/>
      <c r="R774" s="184" t="n"/>
      <c r="S774" s="184" t="n"/>
      <c r="T774" s="165" t="n"/>
      <c r="U774" s="179" t="n"/>
      <c r="V774" s="179" t="n"/>
      <c r="W774" s="12" t="n"/>
      <c r="X774" s="12" t="n"/>
      <c r="Y774" s="12" t="n"/>
      <c r="Z774" s="12" t="n"/>
    </row>
    <row r="775" ht="45.75" customHeight="1" s="21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84" t="n"/>
      <c r="P775" s="184" t="n"/>
      <c r="Q775" s="184" t="n"/>
      <c r="R775" s="184" t="n"/>
      <c r="S775" s="184" t="n"/>
      <c r="T775" s="165" t="n"/>
      <c r="U775" s="179" t="n"/>
      <c r="V775" s="179" t="n"/>
      <c r="W775" s="12" t="n"/>
      <c r="X775" s="12" t="n"/>
      <c r="Y775" s="12" t="n"/>
      <c r="Z775" s="12" t="n"/>
    </row>
    <row r="776" ht="45.75" customHeight="1" s="21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84" t="n"/>
      <c r="P776" s="184" t="n"/>
      <c r="Q776" s="184" t="n"/>
      <c r="R776" s="184" t="n"/>
      <c r="S776" s="184" t="n"/>
      <c r="T776" s="165" t="n"/>
      <c r="U776" s="179" t="n"/>
      <c r="V776" s="179" t="n"/>
      <c r="W776" s="12" t="n"/>
      <c r="X776" s="12" t="n"/>
      <c r="Y776" s="12" t="n"/>
      <c r="Z776" s="12" t="n"/>
    </row>
    <row r="777" ht="45.75" customHeight="1" s="21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84" t="n"/>
      <c r="P777" s="184" t="n"/>
      <c r="Q777" s="184" t="n"/>
      <c r="R777" s="184" t="n"/>
      <c r="S777" s="184" t="n"/>
      <c r="T777" s="165" t="n"/>
      <c r="U777" s="179" t="n"/>
      <c r="V777" s="179" t="n"/>
      <c r="W777" s="12" t="n"/>
      <c r="X777" s="12" t="n"/>
      <c r="Y777" s="12" t="n"/>
      <c r="Z777" s="12" t="n"/>
    </row>
    <row r="778" ht="45.75" customHeight="1" s="21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84" t="n"/>
      <c r="P778" s="184" t="n"/>
      <c r="Q778" s="184" t="n"/>
      <c r="R778" s="184" t="n"/>
      <c r="S778" s="184" t="n"/>
      <c r="T778" s="165" t="n"/>
      <c r="U778" s="179" t="n"/>
      <c r="V778" s="179" t="n"/>
      <c r="W778" s="12" t="n"/>
      <c r="X778" s="12" t="n"/>
      <c r="Y778" s="12" t="n"/>
      <c r="Z778" s="12" t="n"/>
    </row>
    <row r="779" ht="45.75" customHeight="1" s="21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84" t="n"/>
      <c r="P779" s="184" t="n"/>
      <c r="Q779" s="184" t="n"/>
      <c r="R779" s="184" t="n"/>
      <c r="S779" s="184" t="n"/>
      <c r="T779" s="165" t="n"/>
      <c r="U779" s="179" t="n"/>
      <c r="V779" s="179" t="n"/>
      <c r="W779" s="12" t="n"/>
      <c r="X779" s="12" t="n"/>
      <c r="Y779" s="12" t="n"/>
      <c r="Z779" s="12" t="n"/>
    </row>
    <row r="780" ht="45.75" customHeight="1" s="21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84" t="n"/>
      <c r="P780" s="184" t="n"/>
      <c r="Q780" s="184" t="n"/>
      <c r="R780" s="184" t="n"/>
      <c r="S780" s="184" t="n"/>
      <c r="T780" s="165" t="n"/>
      <c r="U780" s="179" t="n"/>
      <c r="V780" s="179" t="n"/>
      <c r="W780" s="12" t="n"/>
      <c r="X780" s="12" t="n"/>
      <c r="Y780" s="12" t="n"/>
      <c r="Z780" s="12" t="n"/>
    </row>
    <row r="781" ht="45.75" customHeight="1" s="21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84" t="n"/>
      <c r="P781" s="184" t="n"/>
      <c r="Q781" s="184" t="n"/>
      <c r="R781" s="184" t="n"/>
      <c r="S781" s="184" t="n"/>
      <c r="T781" s="165" t="n"/>
      <c r="U781" s="179" t="n"/>
      <c r="V781" s="179" t="n"/>
      <c r="W781" s="12" t="n"/>
      <c r="X781" s="12" t="n"/>
      <c r="Y781" s="12" t="n"/>
      <c r="Z781" s="12" t="n"/>
    </row>
    <row r="782" ht="45.75" customHeight="1" s="21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84" t="n"/>
      <c r="P782" s="184" t="n"/>
      <c r="Q782" s="184" t="n"/>
      <c r="R782" s="184" t="n"/>
      <c r="S782" s="184" t="n"/>
      <c r="T782" s="165" t="n"/>
      <c r="U782" s="179" t="n"/>
      <c r="V782" s="179" t="n"/>
      <c r="W782" s="12" t="n"/>
      <c r="X782" s="12" t="n"/>
      <c r="Y782" s="12" t="n"/>
      <c r="Z782" s="12" t="n"/>
    </row>
    <row r="783" ht="45.75" customHeight="1" s="21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84" t="n"/>
      <c r="P783" s="184" t="n"/>
      <c r="Q783" s="184" t="n"/>
      <c r="R783" s="184" t="n"/>
      <c r="S783" s="184" t="n"/>
      <c r="T783" s="165" t="n"/>
      <c r="U783" s="179" t="n"/>
      <c r="V783" s="179" t="n"/>
      <c r="W783" s="12" t="n"/>
      <c r="X783" s="12" t="n"/>
      <c r="Y783" s="12" t="n"/>
      <c r="Z783" s="12" t="n"/>
    </row>
    <row r="784" ht="45.75" customHeight="1" s="21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84" t="n"/>
      <c r="P784" s="184" t="n"/>
      <c r="Q784" s="184" t="n"/>
      <c r="R784" s="184" t="n"/>
      <c r="S784" s="184" t="n"/>
      <c r="T784" s="165" t="n"/>
      <c r="U784" s="179" t="n"/>
      <c r="V784" s="179" t="n"/>
      <c r="W784" s="12" t="n"/>
      <c r="X784" s="12" t="n"/>
      <c r="Y784" s="12" t="n"/>
      <c r="Z784" s="12" t="n"/>
    </row>
    <row r="785" ht="45.75" customHeight="1" s="21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84" t="n"/>
      <c r="P785" s="184" t="n"/>
      <c r="Q785" s="184" t="n"/>
      <c r="R785" s="184" t="n"/>
      <c r="S785" s="184" t="n"/>
      <c r="T785" s="165" t="n"/>
      <c r="U785" s="179" t="n"/>
      <c r="V785" s="179" t="n"/>
      <c r="W785" s="12" t="n"/>
      <c r="X785" s="12" t="n"/>
      <c r="Y785" s="12" t="n"/>
      <c r="Z785" s="12" t="n"/>
    </row>
    <row r="786" ht="45.75" customHeight="1" s="21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84" t="n"/>
      <c r="P786" s="184" t="n"/>
      <c r="Q786" s="184" t="n"/>
      <c r="R786" s="184" t="n"/>
      <c r="S786" s="184" t="n"/>
      <c r="T786" s="165" t="n"/>
      <c r="U786" s="179" t="n"/>
      <c r="V786" s="179" t="n"/>
      <c r="W786" s="12" t="n"/>
      <c r="X786" s="12" t="n"/>
      <c r="Y786" s="12" t="n"/>
      <c r="Z786" s="12" t="n"/>
    </row>
    <row r="787" ht="45.75" customHeight="1" s="21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84" t="n"/>
      <c r="P787" s="184" t="n"/>
      <c r="Q787" s="184" t="n"/>
      <c r="R787" s="184" t="n"/>
      <c r="S787" s="184" t="n"/>
      <c r="T787" s="165" t="n"/>
      <c r="U787" s="179" t="n"/>
      <c r="V787" s="179" t="n"/>
      <c r="W787" s="12" t="n"/>
      <c r="X787" s="12" t="n"/>
      <c r="Y787" s="12" t="n"/>
      <c r="Z787" s="12" t="n"/>
    </row>
    <row r="788" ht="45.75" customHeight="1" s="21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84" t="n"/>
      <c r="P788" s="184" t="n"/>
      <c r="Q788" s="184" t="n"/>
      <c r="R788" s="184" t="n"/>
      <c r="S788" s="184" t="n"/>
      <c r="T788" s="165" t="n"/>
      <c r="U788" s="179" t="n"/>
      <c r="V788" s="179" t="n"/>
      <c r="W788" s="12" t="n"/>
      <c r="X788" s="12" t="n"/>
      <c r="Y788" s="12" t="n"/>
      <c r="Z788" s="12" t="n"/>
    </row>
    <row r="789" ht="45.75" customHeight="1" s="21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84" t="n"/>
      <c r="P789" s="184" t="n"/>
      <c r="Q789" s="184" t="n"/>
      <c r="R789" s="184" t="n"/>
      <c r="S789" s="184" t="n"/>
      <c r="T789" s="165" t="n"/>
      <c r="U789" s="179" t="n"/>
      <c r="V789" s="179" t="n"/>
      <c r="W789" s="12" t="n"/>
      <c r="X789" s="12" t="n"/>
      <c r="Y789" s="12" t="n"/>
      <c r="Z789" s="12" t="n"/>
    </row>
    <row r="790" ht="45.75" customHeight="1" s="21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84" t="n"/>
      <c r="P790" s="184" t="n"/>
      <c r="Q790" s="184" t="n"/>
      <c r="R790" s="184" t="n"/>
      <c r="S790" s="184" t="n"/>
      <c r="T790" s="165" t="n"/>
      <c r="U790" s="179" t="n"/>
      <c r="V790" s="179" t="n"/>
      <c r="W790" s="12" t="n"/>
      <c r="X790" s="12" t="n"/>
      <c r="Y790" s="12" t="n"/>
      <c r="Z790" s="12" t="n"/>
    </row>
    <row r="791" ht="45.75" customHeight="1" s="21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84" t="n"/>
      <c r="P791" s="184" t="n"/>
      <c r="Q791" s="184" t="n"/>
      <c r="R791" s="184" t="n"/>
      <c r="S791" s="184" t="n"/>
      <c r="T791" s="165" t="n"/>
      <c r="U791" s="179" t="n"/>
      <c r="V791" s="179" t="n"/>
      <c r="W791" s="12" t="n"/>
      <c r="X791" s="12" t="n"/>
      <c r="Y791" s="12" t="n"/>
      <c r="Z791" s="12" t="n"/>
    </row>
    <row r="792" ht="45.75" customHeight="1" s="21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84" t="n"/>
      <c r="P792" s="184" t="n"/>
      <c r="Q792" s="184" t="n"/>
      <c r="R792" s="184" t="n"/>
      <c r="S792" s="184" t="n"/>
      <c r="T792" s="165" t="n"/>
      <c r="U792" s="179" t="n"/>
      <c r="V792" s="179" t="n"/>
      <c r="W792" s="12" t="n"/>
      <c r="X792" s="12" t="n"/>
      <c r="Y792" s="12" t="n"/>
      <c r="Z792" s="12" t="n"/>
    </row>
    <row r="793" ht="45.75" customHeight="1" s="21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84" t="n"/>
      <c r="P793" s="184" t="n"/>
      <c r="Q793" s="184" t="n"/>
      <c r="R793" s="184" t="n"/>
      <c r="S793" s="184" t="n"/>
      <c r="T793" s="165" t="n"/>
      <c r="U793" s="179" t="n"/>
      <c r="V793" s="179" t="n"/>
      <c r="W793" s="12" t="n"/>
      <c r="X793" s="12" t="n"/>
      <c r="Y793" s="12" t="n"/>
      <c r="Z793" s="12" t="n"/>
    </row>
    <row r="794" ht="45.75" customHeight="1" s="21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84" t="n"/>
      <c r="P794" s="184" t="n"/>
      <c r="Q794" s="184" t="n"/>
      <c r="R794" s="184" t="n"/>
      <c r="S794" s="184" t="n"/>
      <c r="T794" s="165" t="n"/>
      <c r="U794" s="179" t="n"/>
      <c r="V794" s="179" t="n"/>
      <c r="W794" s="12" t="n"/>
      <c r="X794" s="12" t="n"/>
      <c r="Y794" s="12" t="n"/>
      <c r="Z794" s="12" t="n"/>
    </row>
    <row r="795" ht="45.75" customHeight="1" s="21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84" t="n"/>
      <c r="P795" s="184" t="n"/>
      <c r="Q795" s="184" t="n"/>
      <c r="R795" s="184" t="n"/>
      <c r="S795" s="184" t="n"/>
      <c r="T795" s="165" t="n"/>
      <c r="U795" s="179" t="n"/>
      <c r="V795" s="179" t="n"/>
      <c r="W795" s="12" t="n"/>
      <c r="X795" s="12" t="n"/>
      <c r="Y795" s="12" t="n"/>
      <c r="Z795" s="12" t="n"/>
    </row>
    <row r="796" ht="45.75" customHeight="1" s="21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84" t="n"/>
      <c r="P796" s="184" t="n"/>
      <c r="Q796" s="184" t="n"/>
      <c r="R796" s="184" t="n"/>
      <c r="S796" s="184" t="n"/>
      <c r="T796" s="165" t="n"/>
      <c r="U796" s="179" t="n"/>
      <c r="V796" s="179" t="n"/>
      <c r="W796" s="12" t="n"/>
      <c r="X796" s="12" t="n"/>
      <c r="Y796" s="12" t="n"/>
      <c r="Z796" s="12" t="n"/>
    </row>
    <row r="797" ht="45.75" customHeight="1" s="21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84" t="n"/>
      <c r="P797" s="184" t="n"/>
      <c r="Q797" s="184" t="n"/>
      <c r="R797" s="184" t="n"/>
      <c r="S797" s="184" t="n"/>
      <c r="T797" s="165" t="n"/>
      <c r="U797" s="179" t="n"/>
      <c r="V797" s="179" t="n"/>
      <c r="W797" s="12" t="n"/>
      <c r="X797" s="12" t="n"/>
      <c r="Y797" s="12" t="n"/>
      <c r="Z797" s="12" t="n"/>
    </row>
    <row r="798" ht="45.75" customHeight="1" s="21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84" t="n"/>
      <c r="P798" s="184" t="n"/>
      <c r="Q798" s="184" t="n"/>
      <c r="R798" s="184" t="n"/>
      <c r="S798" s="184" t="n"/>
      <c r="T798" s="165" t="n"/>
      <c r="U798" s="179" t="n"/>
      <c r="V798" s="179" t="n"/>
      <c r="W798" s="12" t="n"/>
      <c r="X798" s="12" t="n"/>
      <c r="Y798" s="12" t="n"/>
      <c r="Z798" s="12" t="n"/>
    </row>
    <row r="799" ht="45.75" customHeight="1" s="21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84" t="n"/>
      <c r="P799" s="184" t="n"/>
      <c r="Q799" s="184" t="n"/>
      <c r="R799" s="184" t="n"/>
      <c r="S799" s="184" t="n"/>
      <c r="T799" s="165" t="n"/>
      <c r="U799" s="179" t="n"/>
      <c r="V799" s="179" t="n"/>
      <c r="W799" s="12" t="n"/>
      <c r="X799" s="12" t="n"/>
      <c r="Y799" s="12" t="n"/>
      <c r="Z799" s="12" t="n"/>
    </row>
    <row r="800" ht="45.75" customHeight="1" s="21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84" t="n"/>
      <c r="P800" s="184" t="n"/>
      <c r="Q800" s="184" t="n"/>
      <c r="R800" s="184" t="n"/>
      <c r="S800" s="184" t="n"/>
      <c r="T800" s="165" t="n"/>
      <c r="U800" s="179" t="n"/>
      <c r="V800" s="179" t="n"/>
      <c r="W800" s="12" t="n"/>
      <c r="X800" s="12" t="n"/>
      <c r="Y800" s="12" t="n"/>
      <c r="Z800" s="12" t="n"/>
    </row>
    <row r="801" ht="45.75" customHeight="1" s="21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84" t="n"/>
      <c r="P801" s="184" t="n"/>
      <c r="Q801" s="184" t="n"/>
      <c r="R801" s="184" t="n"/>
      <c r="S801" s="184" t="n"/>
      <c r="T801" s="165" t="n"/>
      <c r="U801" s="179" t="n"/>
      <c r="V801" s="179" t="n"/>
      <c r="W801" s="12" t="n"/>
      <c r="X801" s="12" t="n"/>
      <c r="Y801" s="12" t="n"/>
      <c r="Z801" s="12" t="n"/>
    </row>
    <row r="802" ht="45.75" customHeight="1" s="21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84" t="n"/>
      <c r="P802" s="184" t="n"/>
      <c r="Q802" s="184" t="n"/>
      <c r="R802" s="184" t="n"/>
      <c r="S802" s="184" t="n"/>
      <c r="T802" s="165" t="n"/>
      <c r="U802" s="179" t="n"/>
      <c r="V802" s="179" t="n"/>
      <c r="W802" s="12" t="n"/>
      <c r="X802" s="12" t="n"/>
      <c r="Y802" s="12" t="n"/>
      <c r="Z802" s="12" t="n"/>
    </row>
    <row r="803" ht="45.75" customHeight="1" s="21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84" t="n"/>
      <c r="P803" s="184" t="n"/>
      <c r="Q803" s="184" t="n"/>
      <c r="R803" s="184" t="n"/>
      <c r="S803" s="184" t="n"/>
      <c r="T803" s="165" t="n"/>
      <c r="U803" s="179" t="n"/>
      <c r="V803" s="179" t="n"/>
      <c r="W803" s="12" t="n"/>
      <c r="X803" s="12" t="n"/>
      <c r="Y803" s="12" t="n"/>
      <c r="Z803" s="12" t="n"/>
    </row>
    <row r="804" ht="45.75" customHeight="1" s="21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84" t="n"/>
      <c r="P804" s="184" t="n"/>
      <c r="Q804" s="184" t="n"/>
      <c r="R804" s="184" t="n"/>
      <c r="S804" s="184" t="n"/>
      <c r="T804" s="165" t="n"/>
      <c r="U804" s="179" t="n"/>
      <c r="V804" s="179" t="n"/>
      <c r="W804" s="12" t="n"/>
      <c r="X804" s="12" t="n"/>
      <c r="Y804" s="12" t="n"/>
      <c r="Z804" s="12" t="n"/>
    </row>
    <row r="805" ht="45.75" customHeight="1" s="21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84" t="n"/>
      <c r="P805" s="184" t="n"/>
      <c r="Q805" s="184" t="n"/>
      <c r="R805" s="184" t="n"/>
      <c r="S805" s="184" t="n"/>
      <c r="T805" s="165" t="n"/>
      <c r="U805" s="179" t="n"/>
      <c r="V805" s="179" t="n"/>
      <c r="W805" s="12" t="n"/>
      <c r="X805" s="12" t="n"/>
      <c r="Y805" s="12" t="n"/>
      <c r="Z805" s="12" t="n"/>
    </row>
    <row r="806" ht="45.75" customHeight="1" s="21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84" t="n"/>
      <c r="P806" s="184" t="n"/>
      <c r="Q806" s="184" t="n"/>
      <c r="R806" s="184" t="n"/>
      <c r="S806" s="184" t="n"/>
      <c r="T806" s="165" t="n"/>
      <c r="U806" s="179" t="n"/>
      <c r="V806" s="179" t="n"/>
      <c r="W806" s="12" t="n"/>
      <c r="X806" s="12" t="n"/>
      <c r="Y806" s="12" t="n"/>
      <c r="Z806" s="12" t="n"/>
    </row>
    <row r="807" ht="45.75" customHeight="1" s="21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84" t="n"/>
      <c r="P807" s="184" t="n"/>
      <c r="Q807" s="184" t="n"/>
      <c r="R807" s="184" t="n"/>
      <c r="S807" s="184" t="n"/>
      <c r="T807" s="165" t="n"/>
      <c r="U807" s="179" t="n"/>
      <c r="V807" s="179" t="n"/>
      <c r="W807" s="12" t="n"/>
      <c r="X807" s="12" t="n"/>
      <c r="Y807" s="12" t="n"/>
      <c r="Z807" s="12" t="n"/>
    </row>
    <row r="808" ht="45.75" customHeight="1" s="21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84" t="n"/>
      <c r="P808" s="184" t="n"/>
      <c r="Q808" s="184" t="n"/>
      <c r="R808" s="184" t="n"/>
      <c r="S808" s="184" t="n"/>
      <c r="T808" s="165" t="n"/>
      <c r="U808" s="179" t="n"/>
      <c r="V808" s="179" t="n"/>
      <c r="W808" s="12" t="n"/>
      <c r="X808" s="12" t="n"/>
      <c r="Y808" s="12" t="n"/>
      <c r="Z808" s="12" t="n"/>
    </row>
    <row r="809" ht="45.75" customHeight="1" s="21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84" t="n"/>
      <c r="P809" s="184" t="n"/>
      <c r="Q809" s="184" t="n"/>
      <c r="R809" s="184" t="n"/>
      <c r="S809" s="184" t="n"/>
      <c r="T809" s="165" t="n"/>
      <c r="U809" s="179" t="n"/>
      <c r="V809" s="179" t="n"/>
      <c r="W809" s="12" t="n"/>
      <c r="X809" s="12" t="n"/>
      <c r="Y809" s="12" t="n"/>
      <c r="Z809" s="12" t="n"/>
    </row>
    <row r="810" ht="45.75" customHeight="1" s="21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84" t="n"/>
      <c r="P810" s="184" t="n"/>
      <c r="Q810" s="184" t="n"/>
      <c r="R810" s="184" t="n"/>
      <c r="S810" s="184" t="n"/>
      <c r="T810" s="165" t="n"/>
      <c r="U810" s="179" t="n"/>
      <c r="V810" s="179" t="n"/>
      <c r="W810" s="12" t="n"/>
      <c r="X810" s="12" t="n"/>
      <c r="Y810" s="12" t="n"/>
      <c r="Z810" s="12" t="n"/>
    </row>
    <row r="811" ht="45.75" customHeight="1" s="2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84" t="n"/>
      <c r="P811" s="184" t="n"/>
      <c r="Q811" s="184" t="n"/>
      <c r="R811" s="184" t="n"/>
      <c r="S811" s="184" t="n"/>
      <c r="T811" s="165" t="n"/>
      <c r="U811" s="179" t="n"/>
      <c r="V811" s="179" t="n"/>
      <c r="W811" s="12" t="n"/>
      <c r="X811" s="12" t="n"/>
      <c r="Y811" s="12" t="n"/>
      <c r="Z811" s="12" t="n"/>
    </row>
    <row r="812" ht="45.75" customHeight="1" s="21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84" t="n"/>
      <c r="P812" s="184" t="n"/>
      <c r="Q812" s="184" t="n"/>
      <c r="R812" s="184" t="n"/>
      <c r="S812" s="184" t="n"/>
      <c r="T812" s="165" t="n"/>
      <c r="U812" s="179" t="n"/>
      <c r="V812" s="179" t="n"/>
      <c r="W812" s="12" t="n"/>
      <c r="X812" s="12" t="n"/>
      <c r="Y812" s="12" t="n"/>
      <c r="Z812" s="12" t="n"/>
    </row>
    <row r="813" ht="45.75" customHeight="1" s="21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84" t="n"/>
      <c r="P813" s="184" t="n"/>
      <c r="Q813" s="184" t="n"/>
      <c r="R813" s="184" t="n"/>
      <c r="S813" s="184" t="n"/>
      <c r="T813" s="165" t="n"/>
      <c r="U813" s="179" t="n"/>
      <c r="V813" s="179" t="n"/>
      <c r="W813" s="12" t="n"/>
      <c r="X813" s="12" t="n"/>
      <c r="Y813" s="12" t="n"/>
      <c r="Z813" s="12" t="n"/>
    </row>
    <row r="814" ht="45.75" customHeight="1" s="21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84" t="n"/>
      <c r="P814" s="184" t="n"/>
      <c r="Q814" s="184" t="n"/>
      <c r="R814" s="184" t="n"/>
      <c r="S814" s="184" t="n"/>
      <c r="T814" s="165" t="n"/>
      <c r="U814" s="179" t="n"/>
      <c r="V814" s="179" t="n"/>
      <c r="W814" s="12" t="n"/>
      <c r="X814" s="12" t="n"/>
      <c r="Y814" s="12" t="n"/>
      <c r="Z814" s="12" t="n"/>
    </row>
    <row r="815" ht="45.75" customHeight="1" s="21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84" t="n"/>
      <c r="P815" s="184" t="n"/>
      <c r="Q815" s="184" t="n"/>
      <c r="R815" s="184" t="n"/>
      <c r="S815" s="184" t="n"/>
      <c r="T815" s="165" t="n"/>
      <c r="U815" s="179" t="n"/>
      <c r="V815" s="179" t="n"/>
      <c r="W815" s="12" t="n"/>
      <c r="X815" s="12" t="n"/>
      <c r="Y815" s="12" t="n"/>
      <c r="Z815" s="12" t="n"/>
    </row>
    <row r="816" ht="45.75" customHeight="1" s="21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84" t="n"/>
      <c r="P816" s="184" t="n"/>
      <c r="Q816" s="184" t="n"/>
      <c r="R816" s="184" t="n"/>
      <c r="S816" s="184" t="n"/>
      <c r="T816" s="165" t="n"/>
      <c r="U816" s="179" t="n"/>
      <c r="V816" s="179" t="n"/>
      <c r="W816" s="12" t="n"/>
      <c r="X816" s="12" t="n"/>
      <c r="Y816" s="12" t="n"/>
      <c r="Z816" s="12" t="n"/>
    </row>
    <row r="817" ht="45.75" customHeight="1" s="21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84" t="n"/>
      <c r="P817" s="184" t="n"/>
      <c r="Q817" s="184" t="n"/>
      <c r="R817" s="184" t="n"/>
      <c r="S817" s="184" t="n"/>
      <c r="T817" s="165" t="n"/>
      <c r="U817" s="179" t="n"/>
      <c r="V817" s="179" t="n"/>
      <c r="W817" s="12" t="n"/>
      <c r="X817" s="12" t="n"/>
      <c r="Y817" s="12" t="n"/>
      <c r="Z817" s="12" t="n"/>
    </row>
    <row r="818" ht="45.75" customHeight="1" s="21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84" t="n"/>
      <c r="P818" s="184" t="n"/>
      <c r="Q818" s="184" t="n"/>
      <c r="R818" s="184" t="n"/>
      <c r="S818" s="184" t="n"/>
      <c r="T818" s="165" t="n"/>
      <c r="U818" s="179" t="n"/>
      <c r="V818" s="179" t="n"/>
      <c r="W818" s="12" t="n"/>
      <c r="X818" s="12" t="n"/>
      <c r="Y818" s="12" t="n"/>
      <c r="Z818" s="12" t="n"/>
    </row>
    <row r="819" ht="45.75" customHeight="1" s="21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84" t="n"/>
      <c r="P819" s="184" t="n"/>
      <c r="Q819" s="184" t="n"/>
      <c r="R819" s="184" t="n"/>
      <c r="S819" s="184" t="n"/>
      <c r="T819" s="165" t="n"/>
      <c r="U819" s="179" t="n"/>
      <c r="V819" s="179" t="n"/>
      <c r="W819" s="12" t="n"/>
      <c r="X819" s="12" t="n"/>
      <c r="Y819" s="12" t="n"/>
      <c r="Z819" s="12" t="n"/>
    </row>
    <row r="820" ht="45.75" customHeight="1" s="21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84" t="n"/>
      <c r="P820" s="184" t="n"/>
      <c r="Q820" s="184" t="n"/>
      <c r="R820" s="184" t="n"/>
      <c r="S820" s="184" t="n"/>
      <c r="T820" s="165" t="n"/>
      <c r="U820" s="179" t="n"/>
      <c r="V820" s="179" t="n"/>
      <c r="W820" s="12" t="n"/>
      <c r="X820" s="12" t="n"/>
      <c r="Y820" s="12" t="n"/>
      <c r="Z820" s="12" t="n"/>
    </row>
    <row r="821" ht="45.75" customHeight="1" s="21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84" t="n"/>
      <c r="P821" s="184" t="n"/>
      <c r="Q821" s="184" t="n"/>
      <c r="R821" s="184" t="n"/>
      <c r="S821" s="184" t="n"/>
      <c r="T821" s="165" t="n"/>
      <c r="U821" s="179" t="n"/>
      <c r="V821" s="179" t="n"/>
      <c r="W821" s="12" t="n"/>
      <c r="X821" s="12" t="n"/>
      <c r="Y821" s="12" t="n"/>
      <c r="Z821" s="12" t="n"/>
    </row>
    <row r="822" ht="45.75" customHeight="1" s="21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84" t="n"/>
      <c r="P822" s="184" t="n"/>
      <c r="Q822" s="184" t="n"/>
      <c r="R822" s="184" t="n"/>
      <c r="S822" s="184" t="n"/>
      <c r="T822" s="165" t="n"/>
      <c r="U822" s="179" t="n"/>
      <c r="V822" s="179" t="n"/>
      <c r="W822" s="12" t="n"/>
      <c r="X822" s="12" t="n"/>
      <c r="Y822" s="12" t="n"/>
      <c r="Z822" s="12" t="n"/>
    </row>
    <row r="823" ht="45.75" customHeight="1" s="21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84" t="n"/>
      <c r="P823" s="184" t="n"/>
      <c r="Q823" s="184" t="n"/>
      <c r="R823" s="184" t="n"/>
      <c r="S823" s="184" t="n"/>
      <c r="T823" s="165" t="n"/>
      <c r="U823" s="179" t="n"/>
      <c r="V823" s="179" t="n"/>
      <c r="W823" s="12" t="n"/>
      <c r="X823" s="12" t="n"/>
      <c r="Y823" s="12" t="n"/>
      <c r="Z823" s="12" t="n"/>
    </row>
    <row r="824" ht="45.75" customHeight="1" s="21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84" t="n"/>
      <c r="P824" s="184" t="n"/>
      <c r="Q824" s="184" t="n"/>
      <c r="R824" s="184" t="n"/>
      <c r="S824" s="184" t="n"/>
      <c r="T824" s="165" t="n"/>
      <c r="U824" s="179" t="n"/>
      <c r="V824" s="179" t="n"/>
      <c r="W824" s="12" t="n"/>
      <c r="X824" s="12" t="n"/>
      <c r="Y824" s="12" t="n"/>
      <c r="Z824" s="12" t="n"/>
    </row>
    <row r="825" ht="45.75" customHeight="1" s="21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84" t="n"/>
      <c r="P825" s="184" t="n"/>
      <c r="Q825" s="184" t="n"/>
      <c r="R825" s="184" t="n"/>
      <c r="S825" s="184" t="n"/>
      <c r="T825" s="165" t="n"/>
      <c r="U825" s="179" t="n"/>
      <c r="V825" s="179" t="n"/>
      <c r="W825" s="12" t="n"/>
      <c r="X825" s="12" t="n"/>
      <c r="Y825" s="12" t="n"/>
      <c r="Z825" s="12" t="n"/>
    </row>
    <row r="826" ht="45.75" customHeight="1" s="21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84" t="n"/>
      <c r="P826" s="184" t="n"/>
      <c r="Q826" s="184" t="n"/>
      <c r="R826" s="184" t="n"/>
      <c r="S826" s="184" t="n"/>
      <c r="T826" s="165" t="n"/>
      <c r="U826" s="179" t="n"/>
      <c r="V826" s="179" t="n"/>
      <c r="W826" s="12" t="n"/>
      <c r="X826" s="12" t="n"/>
      <c r="Y826" s="12" t="n"/>
      <c r="Z826" s="12" t="n"/>
    </row>
    <row r="827" ht="45.75" customHeight="1" s="21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84" t="n"/>
      <c r="P827" s="184" t="n"/>
      <c r="Q827" s="184" t="n"/>
      <c r="R827" s="184" t="n"/>
      <c r="S827" s="184" t="n"/>
      <c r="T827" s="165" t="n"/>
      <c r="U827" s="179" t="n"/>
      <c r="V827" s="179" t="n"/>
      <c r="W827" s="12" t="n"/>
      <c r="X827" s="12" t="n"/>
      <c r="Y827" s="12" t="n"/>
      <c r="Z827" s="12" t="n"/>
    </row>
    <row r="828" ht="45.75" customHeight="1" s="21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84" t="n"/>
      <c r="P828" s="184" t="n"/>
      <c r="Q828" s="184" t="n"/>
      <c r="R828" s="184" t="n"/>
      <c r="S828" s="184" t="n"/>
      <c r="T828" s="165" t="n"/>
      <c r="U828" s="179" t="n"/>
      <c r="V828" s="179" t="n"/>
      <c r="W828" s="12" t="n"/>
      <c r="X828" s="12" t="n"/>
      <c r="Y828" s="12" t="n"/>
      <c r="Z828" s="12" t="n"/>
    </row>
    <row r="829" ht="45.75" customHeight="1" s="21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84" t="n"/>
      <c r="P829" s="184" t="n"/>
      <c r="Q829" s="184" t="n"/>
      <c r="R829" s="184" t="n"/>
      <c r="S829" s="184" t="n"/>
      <c r="T829" s="165" t="n"/>
      <c r="U829" s="179" t="n"/>
      <c r="V829" s="179" t="n"/>
      <c r="W829" s="12" t="n"/>
      <c r="X829" s="12" t="n"/>
      <c r="Y829" s="12" t="n"/>
      <c r="Z829" s="12" t="n"/>
    </row>
    <row r="830" ht="45.75" customHeight="1" s="21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84" t="n"/>
      <c r="P830" s="184" t="n"/>
      <c r="Q830" s="184" t="n"/>
      <c r="R830" s="184" t="n"/>
      <c r="S830" s="184" t="n"/>
      <c r="T830" s="165" t="n"/>
      <c r="U830" s="179" t="n"/>
      <c r="V830" s="179" t="n"/>
      <c r="W830" s="12" t="n"/>
      <c r="X830" s="12" t="n"/>
      <c r="Y830" s="12" t="n"/>
      <c r="Z830" s="12" t="n"/>
    </row>
    <row r="831" ht="45.75" customHeight="1" s="21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84" t="n"/>
      <c r="P831" s="184" t="n"/>
      <c r="Q831" s="184" t="n"/>
      <c r="R831" s="184" t="n"/>
      <c r="S831" s="184" t="n"/>
      <c r="T831" s="165" t="n"/>
      <c r="U831" s="179" t="n"/>
      <c r="V831" s="179" t="n"/>
      <c r="W831" s="12" t="n"/>
      <c r="X831" s="12" t="n"/>
      <c r="Y831" s="12" t="n"/>
      <c r="Z831" s="12" t="n"/>
    </row>
    <row r="832" ht="45.75" customHeight="1" s="21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84" t="n"/>
      <c r="P832" s="184" t="n"/>
      <c r="Q832" s="184" t="n"/>
      <c r="R832" s="184" t="n"/>
      <c r="S832" s="184" t="n"/>
      <c r="T832" s="165" t="n"/>
      <c r="U832" s="179" t="n"/>
      <c r="V832" s="179" t="n"/>
      <c r="W832" s="12" t="n"/>
      <c r="X832" s="12" t="n"/>
      <c r="Y832" s="12" t="n"/>
      <c r="Z832" s="12" t="n"/>
    </row>
    <row r="833" ht="45.75" customHeight="1" s="21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84" t="n"/>
      <c r="P833" s="184" t="n"/>
      <c r="Q833" s="184" t="n"/>
      <c r="R833" s="184" t="n"/>
      <c r="S833" s="184" t="n"/>
      <c r="T833" s="165" t="n"/>
      <c r="U833" s="179" t="n"/>
      <c r="V833" s="179" t="n"/>
      <c r="W833" s="12" t="n"/>
      <c r="X833" s="12" t="n"/>
      <c r="Y833" s="12" t="n"/>
      <c r="Z833" s="12" t="n"/>
    </row>
    <row r="834" ht="45.75" customHeight="1" s="21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84" t="n"/>
      <c r="P834" s="184" t="n"/>
      <c r="Q834" s="184" t="n"/>
      <c r="R834" s="184" t="n"/>
      <c r="S834" s="184" t="n"/>
      <c r="T834" s="165" t="n"/>
      <c r="U834" s="179" t="n"/>
      <c r="V834" s="179" t="n"/>
      <c r="W834" s="12" t="n"/>
      <c r="X834" s="12" t="n"/>
      <c r="Y834" s="12" t="n"/>
      <c r="Z834" s="12" t="n"/>
    </row>
    <row r="835" ht="45.75" customHeight="1" s="21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84" t="n"/>
      <c r="P835" s="184" t="n"/>
      <c r="Q835" s="184" t="n"/>
      <c r="R835" s="184" t="n"/>
      <c r="S835" s="184" t="n"/>
      <c r="T835" s="165" t="n"/>
      <c r="U835" s="179" t="n"/>
      <c r="V835" s="179" t="n"/>
      <c r="W835" s="12" t="n"/>
      <c r="X835" s="12" t="n"/>
      <c r="Y835" s="12" t="n"/>
      <c r="Z835" s="12" t="n"/>
    </row>
    <row r="836" ht="45.75" customHeight="1" s="21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84" t="n"/>
      <c r="P836" s="184" t="n"/>
      <c r="Q836" s="184" t="n"/>
      <c r="R836" s="184" t="n"/>
      <c r="S836" s="184" t="n"/>
      <c r="T836" s="165" t="n"/>
      <c r="U836" s="179" t="n"/>
      <c r="V836" s="179" t="n"/>
      <c r="W836" s="12" t="n"/>
      <c r="X836" s="12" t="n"/>
      <c r="Y836" s="12" t="n"/>
      <c r="Z836" s="12" t="n"/>
    </row>
    <row r="837" ht="45.75" customHeight="1" s="21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84" t="n"/>
      <c r="P837" s="184" t="n"/>
      <c r="Q837" s="184" t="n"/>
      <c r="R837" s="184" t="n"/>
      <c r="S837" s="184" t="n"/>
      <c r="T837" s="165" t="n"/>
      <c r="U837" s="179" t="n"/>
      <c r="V837" s="179" t="n"/>
      <c r="W837" s="12" t="n"/>
      <c r="X837" s="12" t="n"/>
      <c r="Y837" s="12" t="n"/>
      <c r="Z837" s="12" t="n"/>
    </row>
    <row r="838" ht="45.75" customHeight="1" s="21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84" t="n"/>
      <c r="P838" s="184" t="n"/>
      <c r="Q838" s="184" t="n"/>
      <c r="R838" s="184" t="n"/>
      <c r="S838" s="184" t="n"/>
      <c r="T838" s="165" t="n"/>
      <c r="U838" s="179" t="n"/>
      <c r="V838" s="179" t="n"/>
      <c r="W838" s="12" t="n"/>
      <c r="X838" s="12" t="n"/>
      <c r="Y838" s="12" t="n"/>
      <c r="Z838" s="12" t="n"/>
    </row>
    <row r="839" ht="45.75" customHeight="1" s="21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84" t="n"/>
      <c r="P839" s="184" t="n"/>
      <c r="Q839" s="184" t="n"/>
      <c r="R839" s="184" t="n"/>
      <c r="S839" s="184" t="n"/>
      <c r="T839" s="165" t="n"/>
      <c r="U839" s="179" t="n"/>
      <c r="V839" s="179" t="n"/>
      <c r="W839" s="12" t="n"/>
      <c r="X839" s="12" t="n"/>
      <c r="Y839" s="12" t="n"/>
      <c r="Z839" s="12" t="n"/>
    </row>
    <row r="840" ht="45.75" customHeight="1" s="21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84" t="n"/>
      <c r="P840" s="184" t="n"/>
      <c r="Q840" s="184" t="n"/>
      <c r="R840" s="184" t="n"/>
      <c r="S840" s="184" t="n"/>
      <c r="T840" s="165" t="n"/>
      <c r="U840" s="179" t="n"/>
      <c r="V840" s="179" t="n"/>
      <c r="W840" s="12" t="n"/>
      <c r="X840" s="12" t="n"/>
      <c r="Y840" s="12" t="n"/>
      <c r="Z840" s="12" t="n"/>
    </row>
    <row r="841" ht="45.75" customHeight="1" s="21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84" t="n"/>
      <c r="P841" s="184" t="n"/>
      <c r="Q841" s="184" t="n"/>
      <c r="R841" s="184" t="n"/>
      <c r="S841" s="184" t="n"/>
      <c r="T841" s="165" t="n"/>
      <c r="U841" s="179" t="n"/>
      <c r="V841" s="179" t="n"/>
      <c r="W841" s="12" t="n"/>
      <c r="X841" s="12" t="n"/>
      <c r="Y841" s="12" t="n"/>
      <c r="Z841" s="12" t="n"/>
    </row>
    <row r="842" ht="45.75" customHeight="1" s="21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84" t="n"/>
      <c r="P842" s="184" t="n"/>
      <c r="Q842" s="184" t="n"/>
      <c r="R842" s="184" t="n"/>
      <c r="S842" s="184" t="n"/>
      <c r="T842" s="165" t="n"/>
      <c r="U842" s="179" t="n"/>
      <c r="V842" s="179" t="n"/>
      <c r="W842" s="12" t="n"/>
      <c r="X842" s="12" t="n"/>
      <c r="Y842" s="12" t="n"/>
      <c r="Z842" s="12" t="n"/>
    </row>
    <row r="843" ht="45.75" customHeight="1" s="21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84" t="n"/>
      <c r="P843" s="184" t="n"/>
      <c r="Q843" s="184" t="n"/>
      <c r="R843" s="184" t="n"/>
      <c r="S843" s="184" t="n"/>
      <c r="T843" s="165" t="n"/>
      <c r="U843" s="179" t="n"/>
      <c r="V843" s="179" t="n"/>
      <c r="W843" s="12" t="n"/>
      <c r="X843" s="12" t="n"/>
      <c r="Y843" s="12" t="n"/>
      <c r="Z843" s="12" t="n"/>
    </row>
    <row r="844" ht="45.75" customHeight="1" s="21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84" t="n"/>
      <c r="P844" s="184" t="n"/>
      <c r="Q844" s="184" t="n"/>
      <c r="R844" s="184" t="n"/>
      <c r="S844" s="184" t="n"/>
      <c r="T844" s="165" t="n"/>
      <c r="U844" s="179" t="n"/>
      <c r="V844" s="179" t="n"/>
      <c r="W844" s="12" t="n"/>
      <c r="X844" s="12" t="n"/>
      <c r="Y844" s="12" t="n"/>
      <c r="Z844" s="12" t="n"/>
    </row>
    <row r="845" ht="45.75" customHeight="1" s="21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84" t="n"/>
      <c r="P845" s="184" t="n"/>
      <c r="Q845" s="184" t="n"/>
      <c r="R845" s="184" t="n"/>
      <c r="S845" s="184" t="n"/>
      <c r="T845" s="165" t="n"/>
      <c r="U845" s="179" t="n"/>
      <c r="V845" s="179" t="n"/>
      <c r="W845" s="12" t="n"/>
      <c r="X845" s="12" t="n"/>
      <c r="Y845" s="12" t="n"/>
      <c r="Z845" s="12" t="n"/>
    </row>
    <row r="846" ht="45.75" customHeight="1" s="21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84" t="n"/>
      <c r="P846" s="184" t="n"/>
      <c r="Q846" s="184" t="n"/>
      <c r="R846" s="184" t="n"/>
      <c r="S846" s="184" t="n"/>
      <c r="T846" s="165" t="n"/>
      <c r="U846" s="179" t="n"/>
      <c r="V846" s="179" t="n"/>
      <c r="W846" s="12" t="n"/>
      <c r="X846" s="12" t="n"/>
      <c r="Y846" s="12" t="n"/>
      <c r="Z846" s="12" t="n"/>
    </row>
    <row r="847" ht="45.75" customHeight="1" s="21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84" t="n"/>
      <c r="P847" s="184" t="n"/>
      <c r="Q847" s="184" t="n"/>
      <c r="R847" s="184" t="n"/>
      <c r="S847" s="184" t="n"/>
      <c r="T847" s="165" t="n"/>
      <c r="U847" s="179" t="n"/>
      <c r="V847" s="179" t="n"/>
      <c r="W847" s="12" t="n"/>
      <c r="X847" s="12" t="n"/>
      <c r="Y847" s="12" t="n"/>
      <c r="Z847" s="12" t="n"/>
    </row>
    <row r="848" ht="45.75" customHeight="1" s="21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84" t="n"/>
      <c r="P848" s="184" t="n"/>
      <c r="Q848" s="184" t="n"/>
      <c r="R848" s="184" t="n"/>
      <c r="S848" s="184" t="n"/>
      <c r="T848" s="165" t="n"/>
      <c r="U848" s="179" t="n"/>
      <c r="V848" s="179" t="n"/>
      <c r="W848" s="12" t="n"/>
      <c r="X848" s="12" t="n"/>
      <c r="Y848" s="12" t="n"/>
      <c r="Z848" s="12" t="n"/>
    </row>
    <row r="849" ht="45.75" customHeight="1" s="21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84" t="n"/>
      <c r="P849" s="184" t="n"/>
      <c r="Q849" s="184" t="n"/>
      <c r="R849" s="184" t="n"/>
      <c r="S849" s="184" t="n"/>
      <c r="T849" s="165" t="n"/>
      <c r="U849" s="179" t="n"/>
      <c r="V849" s="179" t="n"/>
      <c r="W849" s="12" t="n"/>
      <c r="X849" s="12" t="n"/>
      <c r="Y849" s="12" t="n"/>
      <c r="Z849" s="12" t="n"/>
    </row>
    <row r="850" ht="45.75" customHeight="1" s="21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84" t="n"/>
      <c r="P850" s="184" t="n"/>
      <c r="Q850" s="184" t="n"/>
      <c r="R850" s="184" t="n"/>
      <c r="S850" s="184" t="n"/>
      <c r="T850" s="165" t="n"/>
      <c r="U850" s="179" t="n"/>
      <c r="V850" s="179" t="n"/>
      <c r="W850" s="12" t="n"/>
      <c r="X850" s="12" t="n"/>
      <c r="Y850" s="12" t="n"/>
      <c r="Z850" s="12" t="n"/>
    </row>
    <row r="851" ht="45.75" customHeight="1" s="21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84" t="n"/>
      <c r="P851" s="184" t="n"/>
      <c r="Q851" s="184" t="n"/>
      <c r="R851" s="184" t="n"/>
      <c r="S851" s="184" t="n"/>
      <c r="T851" s="165" t="n"/>
      <c r="U851" s="179" t="n"/>
      <c r="V851" s="179" t="n"/>
      <c r="W851" s="12" t="n"/>
      <c r="X851" s="12" t="n"/>
      <c r="Y851" s="12" t="n"/>
      <c r="Z851" s="12" t="n"/>
    </row>
    <row r="852" ht="45.75" customHeight="1" s="21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84" t="n"/>
      <c r="P852" s="184" t="n"/>
      <c r="Q852" s="184" t="n"/>
      <c r="R852" s="184" t="n"/>
      <c r="S852" s="184" t="n"/>
      <c r="T852" s="165" t="n"/>
      <c r="U852" s="179" t="n"/>
      <c r="V852" s="179" t="n"/>
      <c r="W852" s="12" t="n"/>
      <c r="X852" s="12" t="n"/>
      <c r="Y852" s="12" t="n"/>
      <c r="Z852" s="12" t="n"/>
    </row>
    <row r="853" ht="45.75" customHeight="1" s="21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84" t="n"/>
      <c r="P853" s="184" t="n"/>
      <c r="Q853" s="184" t="n"/>
      <c r="R853" s="184" t="n"/>
      <c r="S853" s="184" t="n"/>
      <c r="T853" s="165" t="n"/>
      <c r="U853" s="179" t="n"/>
      <c r="V853" s="179" t="n"/>
      <c r="W853" s="12" t="n"/>
      <c r="X853" s="12" t="n"/>
      <c r="Y853" s="12" t="n"/>
      <c r="Z853" s="12" t="n"/>
    </row>
    <row r="854" ht="45.75" customHeight="1" s="21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84" t="n"/>
      <c r="P854" s="184" t="n"/>
      <c r="Q854" s="184" t="n"/>
      <c r="R854" s="184" t="n"/>
      <c r="S854" s="184" t="n"/>
      <c r="T854" s="165" t="n"/>
      <c r="U854" s="179" t="n"/>
      <c r="V854" s="179" t="n"/>
      <c r="W854" s="12" t="n"/>
      <c r="X854" s="12" t="n"/>
      <c r="Y854" s="12" t="n"/>
      <c r="Z854" s="12" t="n"/>
    </row>
    <row r="855" ht="45.75" customHeight="1" s="21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84" t="n"/>
      <c r="P855" s="184" t="n"/>
      <c r="Q855" s="184" t="n"/>
      <c r="R855" s="184" t="n"/>
      <c r="S855" s="184" t="n"/>
      <c r="T855" s="165" t="n"/>
      <c r="U855" s="179" t="n"/>
      <c r="V855" s="179" t="n"/>
      <c r="W855" s="12" t="n"/>
      <c r="X855" s="12" t="n"/>
      <c r="Y855" s="12" t="n"/>
      <c r="Z855" s="12" t="n"/>
    </row>
    <row r="856" ht="45.75" customHeight="1" s="21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84" t="n"/>
      <c r="P856" s="184" t="n"/>
      <c r="Q856" s="184" t="n"/>
      <c r="R856" s="184" t="n"/>
      <c r="S856" s="184" t="n"/>
      <c r="T856" s="165" t="n"/>
      <c r="U856" s="179" t="n"/>
      <c r="V856" s="179" t="n"/>
      <c r="W856" s="12" t="n"/>
      <c r="X856" s="12" t="n"/>
      <c r="Y856" s="12" t="n"/>
      <c r="Z856" s="12" t="n"/>
    </row>
    <row r="857" ht="45.75" customHeight="1" s="21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84" t="n"/>
      <c r="P857" s="184" t="n"/>
      <c r="Q857" s="184" t="n"/>
      <c r="R857" s="184" t="n"/>
      <c r="S857" s="184" t="n"/>
      <c r="T857" s="165" t="n"/>
      <c r="U857" s="179" t="n"/>
      <c r="V857" s="179" t="n"/>
      <c r="W857" s="12" t="n"/>
      <c r="X857" s="12" t="n"/>
      <c r="Y857" s="12" t="n"/>
      <c r="Z857" s="12" t="n"/>
    </row>
    <row r="858" ht="45.75" customHeight="1" s="21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84" t="n"/>
      <c r="P858" s="184" t="n"/>
      <c r="Q858" s="184" t="n"/>
      <c r="R858" s="184" t="n"/>
      <c r="S858" s="184" t="n"/>
      <c r="T858" s="165" t="n"/>
      <c r="U858" s="179" t="n"/>
      <c r="V858" s="179" t="n"/>
      <c r="W858" s="12" t="n"/>
      <c r="X858" s="12" t="n"/>
      <c r="Y858" s="12" t="n"/>
      <c r="Z858" s="12" t="n"/>
    </row>
    <row r="859" ht="45.75" customHeight="1" s="21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84" t="n"/>
      <c r="P859" s="184" t="n"/>
      <c r="Q859" s="184" t="n"/>
      <c r="R859" s="184" t="n"/>
      <c r="S859" s="184" t="n"/>
      <c r="T859" s="165" t="n"/>
      <c r="U859" s="179" t="n"/>
      <c r="V859" s="179" t="n"/>
      <c r="W859" s="12" t="n"/>
      <c r="X859" s="12" t="n"/>
      <c r="Y859" s="12" t="n"/>
      <c r="Z859" s="12" t="n"/>
    </row>
    <row r="860" ht="45.75" customHeight="1" s="21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84" t="n"/>
      <c r="P860" s="184" t="n"/>
      <c r="Q860" s="184" t="n"/>
      <c r="R860" s="184" t="n"/>
      <c r="S860" s="184" t="n"/>
      <c r="T860" s="165" t="n"/>
      <c r="U860" s="179" t="n"/>
      <c r="V860" s="179" t="n"/>
      <c r="W860" s="12" t="n"/>
      <c r="X860" s="12" t="n"/>
      <c r="Y860" s="12" t="n"/>
      <c r="Z860" s="12" t="n"/>
    </row>
    <row r="861" ht="45.75" customHeight="1" s="21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84" t="n"/>
      <c r="P861" s="184" t="n"/>
      <c r="Q861" s="184" t="n"/>
      <c r="R861" s="184" t="n"/>
      <c r="S861" s="184" t="n"/>
      <c r="T861" s="165" t="n"/>
      <c r="U861" s="179" t="n"/>
      <c r="V861" s="179" t="n"/>
      <c r="W861" s="12" t="n"/>
      <c r="X861" s="12" t="n"/>
      <c r="Y861" s="12" t="n"/>
      <c r="Z861" s="12" t="n"/>
    </row>
    <row r="862" ht="45.75" customHeight="1" s="21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84" t="n"/>
      <c r="P862" s="184" t="n"/>
      <c r="Q862" s="184" t="n"/>
      <c r="R862" s="184" t="n"/>
      <c r="S862" s="184" t="n"/>
      <c r="T862" s="165" t="n"/>
      <c r="U862" s="179" t="n"/>
      <c r="V862" s="179" t="n"/>
      <c r="W862" s="12" t="n"/>
      <c r="X862" s="12" t="n"/>
      <c r="Y862" s="12" t="n"/>
      <c r="Z862" s="12" t="n"/>
    </row>
    <row r="863" ht="45.75" customHeight="1" s="21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84" t="n"/>
      <c r="P863" s="184" t="n"/>
      <c r="Q863" s="184" t="n"/>
      <c r="R863" s="184" t="n"/>
      <c r="S863" s="184" t="n"/>
      <c r="T863" s="165" t="n"/>
      <c r="U863" s="179" t="n"/>
      <c r="V863" s="179" t="n"/>
      <c r="W863" s="12" t="n"/>
      <c r="X863" s="12" t="n"/>
      <c r="Y863" s="12" t="n"/>
      <c r="Z863" s="12" t="n"/>
    </row>
    <row r="864" ht="45.75" customHeight="1" s="21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84" t="n"/>
      <c r="P864" s="184" t="n"/>
      <c r="Q864" s="184" t="n"/>
      <c r="R864" s="184" t="n"/>
      <c r="S864" s="184" t="n"/>
      <c r="T864" s="165" t="n"/>
      <c r="U864" s="179" t="n"/>
      <c r="V864" s="179" t="n"/>
      <c r="W864" s="12" t="n"/>
      <c r="X864" s="12" t="n"/>
      <c r="Y864" s="12" t="n"/>
      <c r="Z864" s="12" t="n"/>
    </row>
    <row r="865" ht="45.75" customHeight="1" s="21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84" t="n"/>
      <c r="P865" s="184" t="n"/>
      <c r="Q865" s="184" t="n"/>
      <c r="R865" s="184" t="n"/>
      <c r="S865" s="184" t="n"/>
      <c r="T865" s="165" t="n"/>
      <c r="U865" s="179" t="n"/>
      <c r="V865" s="179" t="n"/>
      <c r="W865" s="12" t="n"/>
      <c r="X865" s="12" t="n"/>
      <c r="Y865" s="12" t="n"/>
      <c r="Z865" s="12" t="n"/>
    </row>
    <row r="866" ht="45.75" customHeight="1" s="21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84" t="n"/>
      <c r="P866" s="184" t="n"/>
      <c r="Q866" s="184" t="n"/>
      <c r="R866" s="184" t="n"/>
      <c r="S866" s="184" t="n"/>
      <c r="T866" s="165" t="n"/>
      <c r="U866" s="179" t="n"/>
      <c r="V866" s="179" t="n"/>
      <c r="W866" s="12" t="n"/>
      <c r="X866" s="12" t="n"/>
      <c r="Y866" s="12" t="n"/>
      <c r="Z866" s="12" t="n"/>
    </row>
    <row r="867" ht="45.75" customHeight="1" s="21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84" t="n"/>
      <c r="P867" s="184" t="n"/>
      <c r="Q867" s="184" t="n"/>
      <c r="R867" s="184" t="n"/>
      <c r="S867" s="184" t="n"/>
      <c r="T867" s="165" t="n"/>
      <c r="U867" s="179" t="n"/>
      <c r="V867" s="179" t="n"/>
      <c r="W867" s="12" t="n"/>
      <c r="X867" s="12" t="n"/>
      <c r="Y867" s="12" t="n"/>
      <c r="Z867" s="12" t="n"/>
    </row>
    <row r="868" ht="45.75" customHeight="1" s="21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84" t="n"/>
      <c r="P868" s="184" t="n"/>
      <c r="Q868" s="184" t="n"/>
      <c r="R868" s="184" t="n"/>
      <c r="S868" s="184" t="n"/>
      <c r="T868" s="165" t="n"/>
      <c r="U868" s="179" t="n"/>
      <c r="V868" s="179" t="n"/>
      <c r="W868" s="12" t="n"/>
      <c r="X868" s="12" t="n"/>
      <c r="Y868" s="12" t="n"/>
      <c r="Z868" s="12" t="n"/>
    </row>
    <row r="869" ht="45.75" customHeight="1" s="21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84" t="n"/>
      <c r="P869" s="184" t="n"/>
      <c r="Q869" s="184" t="n"/>
      <c r="R869" s="184" t="n"/>
      <c r="S869" s="184" t="n"/>
      <c r="T869" s="165" t="n"/>
      <c r="U869" s="179" t="n"/>
      <c r="V869" s="179" t="n"/>
      <c r="W869" s="12" t="n"/>
      <c r="X869" s="12" t="n"/>
      <c r="Y869" s="12" t="n"/>
      <c r="Z869" s="12" t="n"/>
    </row>
    <row r="870" ht="45.75" customHeight="1" s="21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84" t="n"/>
      <c r="P870" s="184" t="n"/>
      <c r="Q870" s="184" t="n"/>
      <c r="R870" s="184" t="n"/>
      <c r="S870" s="184" t="n"/>
      <c r="T870" s="165" t="n"/>
      <c r="U870" s="179" t="n"/>
      <c r="V870" s="179" t="n"/>
      <c r="W870" s="12" t="n"/>
      <c r="X870" s="12" t="n"/>
      <c r="Y870" s="12" t="n"/>
      <c r="Z870" s="12" t="n"/>
    </row>
    <row r="871" ht="45.75" customHeight="1" s="21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84" t="n"/>
      <c r="P871" s="184" t="n"/>
      <c r="Q871" s="184" t="n"/>
      <c r="R871" s="184" t="n"/>
      <c r="S871" s="184" t="n"/>
      <c r="T871" s="165" t="n"/>
      <c r="U871" s="179" t="n"/>
      <c r="V871" s="179" t="n"/>
      <c r="W871" s="12" t="n"/>
      <c r="X871" s="12" t="n"/>
      <c r="Y871" s="12" t="n"/>
      <c r="Z871" s="12" t="n"/>
    </row>
    <row r="872" ht="45.75" customHeight="1" s="21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84" t="n"/>
      <c r="P872" s="184" t="n"/>
      <c r="Q872" s="184" t="n"/>
      <c r="R872" s="184" t="n"/>
      <c r="S872" s="184" t="n"/>
      <c r="T872" s="165" t="n"/>
      <c r="U872" s="179" t="n"/>
      <c r="V872" s="179" t="n"/>
      <c r="W872" s="12" t="n"/>
      <c r="X872" s="12" t="n"/>
      <c r="Y872" s="12" t="n"/>
      <c r="Z872" s="12" t="n"/>
    </row>
    <row r="873" ht="45.75" customHeight="1" s="21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84" t="n"/>
      <c r="P873" s="184" t="n"/>
      <c r="Q873" s="184" t="n"/>
      <c r="R873" s="184" t="n"/>
      <c r="S873" s="184" t="n"/>
      <c r="T873" s="165" t="n"/>
      <c r="U873" s="179" t="n"/>
      <c r="V873" s="179" t="n"/>
      <c r="W873" s="12" t="n"/>
      <c r="X873" s="12" t="n"/>
      <c r="Y873" s="12" t="n"/>
      <c r="Z873" s="12" t="n"/>
    </row>
    <row r="874" ht="45.75" customHeight="1" s="21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84" t="n"/>
      <c r="P874" s="184" t="n"/>
      <c r="Q874" s="184" t="n"/>
      <c r="R874" s="184" t="n"/>
      <c r="S874" s="184" t="n"/>
      <c r="T874" s="165" t="n"/>
      <c r="U874" s="179" t="n"/>
      <c r="V874" s="179" t="n"/>
      <c r="W874" s="12" t="n"/>
      <c r="X874" s="12" t="n"/>
      <c r="Y874" s="12" t="n"/>
      <c r="Z874" s="12" t="n"/>
    </row>
    <row r="875" ht="45.75" customHeight="1" s="21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84" t="n"/>
      <c r="P875" s="184" t="n"/>
      <c r="Q875" s="184" t="n"/>
      <c r="R875" s="184" t="n"/>
      <c r="S875" s="184" t="n"/>
      <c r="T875" s="165" t="n"/>
      <c r="U875" s="179" t="n"/>
      <c r="V875" s="179" t="n"/>
      <c r="W875" s="12" t="n"/>
      <c r="X875" s="12" t="n"/>
      <c r="Y875" s="12" t="n"/>
      <c r="Z875" s="12" t="n"/>
    </row>
    <row r="876" ht="45.75" customHeight="1" s="21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84" t="n"/>
      <c r="P876" s="184" t="n"/>
      <c r="Q876" s="184" t="n"/>
      <c r="R876" s="184" t="n"/>
      <c r="S876" s="184" t="n"/>
      <c r="T876" s="165" t="n"/>
      <c r="U876" s="179" t="n"/>
      <c r="V876" s="179" t="n"/>
      <c r="W876" s="12" t="n"/>
      <c r="X876" s="12" t="n"/>
      <c r="Y876" s="12" t="n"/>
      <c r="Z876" s="12" t="n"/>
    </row>
    <row r="877" ht="45.75" customHeight="1" s="21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84" t="n"/>
      <c r="P877" s="184" t="n"/>
      <c r="Q877" s="184" t="n"/>
      <c r="R877" s="184" t="n"/>
      <c r="S877" s="184" t="n"/>
      <c r="T877" s="165" t="n"/>
      <c r="U877" s="179" t="n"/>
      <c r="V877" s="179" t="n"/>
      <c r="W877" s="12" t="n"/>
      <c r="X877" s="12" t="n"/>
      <c r="Y877" s="12" t="n"/>
      <c r="Z877" s="12" t="n"/>
    </row>
    <row r="878" ht="45.75" customHeight="1" s="21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84" t="n"/>
      <c r="P878" s="184" t="n"/>
      <c r="Q878" s="184" t="n"/>
      <c r="R878" s="184" t="n"/>
      <c r="S878" s="184" t="n"/>
      <c r="T878" s="165" t="n"/>
      <c r="U878" s="179" t="n"/>
      <c r="V878" s="179" t="n"/>
      <c r="W878" s="12" t="n"/>
      <c r="X878" s="12" t="n"/>
      <c r="Y878" s="12" t="n"/>
      <c r="Z878" s="12" t="n"/>
    </row>
    <row r="879" ht="45.75" customHeight="1" s="21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84" t="n"/>
      <c r="P879" s="184" t="n"/>
      <c r="Q879" s="184" t="n"/>
      <c r="R879" s="184" t="n"/>
      <c r="S879" s="184" t="n"/>
      <c r="T879" s="165" t="n"/>
      <c r="U879" s="179" t="n"/>
      <c r="V879" s="179" t="n"/>
      <c r="W879" s="12" t="n"/>
      <c r="X879" s="12" t="n"/>
      <c r="Y879" s="12" t="n"/>
      <c r="Z879" s="12" t="n"/>
    </row>
    <row r="880" ht="45.75" customHeight="1" s="21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84" t="n"/>
      <c r="P880" s="184" t="n"/>
      <c r="Q880" s="184" t="n"/>
      <c r="R880" s="184" t="n"/>
      <c r="S880" s="184" t="n"/>
      <c r="T880" s="165" t="n"/>
      <c r="U880" s="179" t="n"/>
      <c r="V880" s="179" t="n"/>
      <c r="W880" s="12" t="n"/>
      <c r="X880" s="12" t="n"/>
      <c r="Y880" s="12" t="n"/>
      <c r="Z880" s="12" t="n"/>
    </row>
    <row r="881" ht="45.75" customHeight="1" s="21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84" t="n"/>
      <c r="P881" s="184" t="n"/>
      <c r="Q881" s="184" t="n"/>
      <c r="R881" s="184" t="n"/>
      <c r="S881" s="184" t="n"/>
      <c r="T881" s="165" t="n"/>
      <c r="U881" s="179" t="n"/>
      <c r="V881" s="179" t="n"/>
      <c r="W881" s="12" t="n"/>
      <c r="X881" s="12" t="n"/>
      <c r="Y881" s="12" t="n"/>
      <c r="Z881" s="12" t="n"/>
    </row>
    <row r="882" ht="45.75" customHeight="1" s="21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84" t="n"/>
      <c r="P882" s="184" t="n"/>
      <c r="Q882" s="184" t="n"/>
      <c r="R882" s="184" t="n"/>
      <c r="S882" s="184" t="n"/>
      <c r="T882" s="165" t="n"/>
      <c r="U882" s="179" t="n"/>
      <c r="V882" s="179" t="n"/>
      <c r="W882" s="12" t="n"/>
      <c r="X882" s="12" t="n"/>
      <c r="Y882" s="12" t="n"/>
      <c r="Z882" s="12" t="n"/>
    </row>
    <row r="883" ht="45.75" customHeight="1" s="21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84" t="n"/>
      <c r="P883" s="184" t="n"/>
      <c r="Q883" s="184" t="n"/>
      <c r="R883" s="184" t="n"/>
      <c r="S883" s="184" t="n"/>
      <c r="T883" s="165" t="n"/>
      <c r="U883" s="179" t="n"/>
      <c r="V883" s="179" t="n"/>
      <c r="W883" s="12" t="n"/>
      <c r="X883" s="12" t="n"/>
      <c r="Y883" s="12" t="n"/>
      <c r="Z883" s="12" t="n"/>
    </row>
    <row r="884" ht="45.75" customHeight="1" s="21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84" t="n"/>
      <c r="P884" s="184" t="n"/>
      <c r="Q884" s="184" t="n"/>
      <c r="R884" s="184" t="n"/>
      <c r="S884" s="184" t="n"/>
      <c r="T884" s="165" t="n"/>
      <c r="U884" s="179" t="n"/>
      <c r="V884" s="179" t="n"/>
      <c r="W884" s="12" t="n"/>
      <c r="X884" s="12" t="n"/>
      <c r="Y884" s="12" t="n"/>
      <c r="Z884" s="12" t="n"/>
    </row>
    <row r="885" ht="45.75" customHeight="1" s="21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84" t="n"/>
      <c r="P885" s="184" t="n"/>
      <c r="Q885" s="184" t="n"/>
      <c r="R885" s="184" t="n"/>
      <c r="S885" s="184" t="n"/>
      <c r="T885" s="165" t="n"/>
      <c r="U885" s="179" t="n"/>
      <c r="V885" s="179" t="n"/>
      <c r="W885" s="12" t="n"/>
      <c r="X885" s="12" t="n"/>
      <c r="Y885" s="12" t="n"/>
      <c r="Z885" s="12" t="n"/>
    </row>
    <row r="886" ht="45.75" customHeight="1" s="21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84" t="n"/>
      <c r="P886" s="184" t="n"/>
      <c r="Q886" s="184" t="n"/>
      <c r="R886" s="184" t="n"/>
      <c r="S886" s="184" t="n"/>
      <c r="T886" s="165" t="n"/>
      <c r="U886" s="179" t="n"/>
      <c r="V886" s="179" t="n"/>
      <c r="W886" s="12" t="n"/>
      <c r="X886" s="12" t="n"/>
      <c r="Y886" s="12" t="n"/>
      <c r="Z886" s="12" t="n"/>
    </row>
    <row r="887" ht="45.75" customHeight="1" s="21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84" t="n"/>
      <c r="P887" s="184" t="n"/>
      <c r="Q887" s="184" t="n"/>
      <c r="R887" s="184" t="n"/>
      <c r="S887" s="184" t="n"/>
      <c r="T887" s="165" t="n"/>
      <c r="U887" s="179" t="n"/>
      <c r="V887" s="179" t="n"/>
      <c r="W887" s="12" t="n"/>
      <c r="X887" s="12" t="n"/>
      <c r="Y887" s="12" t="n"/>
      <c r="Z887" s="12" t="n"/>
    </row>
    <row r="888" ht="45.75" customHeight="1" s="21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84" t="n"/>
      <c r="P888" s="184" t="n"/>
      <c r="Q888" s="184" t="n"/>
      <c r="R888" s="184" t="n"/>
      <c r="S888" s="184" t="n"/>
      <c r="T888" s="165" t="n"/>
      <c r="U888" s="179" t="n"/>
      <c r="V888" s="179" t="n"/>
      <c r="W888" s="12" t="n"/>
      <c r="X888" s="12" t="n"/>
      <c r="Y888" s="12" t="n"/>
      <c r="Z888" s="12" t="n"/>
    </row>
    <row r="889" ht="45.75" customHeight="1" s="21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84" t="n"/>
      <c r="P889" s="184" t="n"/>
      <c r="Q889" s="184" t="n"/>
      <c r="R889" s="184" t="n"/>
      <c r="S889" s="184" t="n"/>
      <c r="T889" s="165" t="n"/>
      <c r="U889" s="179" t="n"/>
      <c r="V889" s="179" t="n"/>
      <c r="W889" s="12" t="n"/>
      <c r="X889" s="12" t="n"/>
      <c r="Y889" s="12" t="n"/>
      <c r="Z889" s="12" t="n"/>
    </row>
    <row r="890" ht="45.75" customHeight="1" s="21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84" t="n"/>
      <c r="P890" s="184" t="n"/>
      <c r="Q890" s="184" t="n"/>
      <c r="R890" s="184" t="n"/>
      <c r="S890" s="184" t="n"/>
      <c r="T890" s="165" t="n"/>
      <c r="U890" s="179" t="n"/>
      <c r="V890" s="179" t="n"/>
      <c r="W890" s="12" t="n"/>
      <c r="X890" s="12" t="n"/>
      <c r="Y890" s="12" t="n"/>
      <c r="Z890" s="12" t="n"/>
    </row>
    <row r="891" ht="45.75" customHeight="1" s="21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84" t="n"/>
      <c r="P891" s="184" t="n"/>
      <c r="Q891" s="184" t="n"/>
      <c r="R891" s="184" t="n"/>
      <c r="S891" s="184" t="n"/>
      <c r="T891" s="165" t="n"/>
      <c r="U891" s="179" t="n"/>
      <c r="V891" s="179" t="n"/>
      <c r="W891" s="12" t="n"/>
      <c r="X891" s="12" t="n"/>
      <c r="Y891" s="12" t="n"/>
      <c r="Z891" s="12" t="n"/>
    </row>
    <row r="892" ht="45.75" customHeight="1" s="21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84" t="n"/>
      <c r="P892" s="184" t="n"/>
      <c r="Q892" s="184" t="n"/>
      <c r="R892" s="184" t="n"/>
      <c r="S892" s="184" t="n"/>
      <c r="T892" s="165" t="n"/>
      <c r="U892" s="179" t="n"/>
      <c r="V892" s="179" t="n"/>
      <c r="W892" s="12" t="n"/>
      <c r="X892" s="12" t="n"/>
      <c r="Y892" s="12" t="n"/>
      <c r="Z892" s="12" t="n"/>
    </row>
    <row r="893" ht="45.75" customHeight="1" s="21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84" t="n"/>
      <c r="P893" s="184" t="n"/>
      <c r="Q893" s="184" t="n"/>
      <c r="R893" s="184" t="n"/>
      <c r="S893" s="184" t="n"/>
      <c r="T893" s="165" t="n"/>
      <c r="U893" s="179" t="n"/>
      <c r="V893" s="179" t="n"/>
      <c r="W893" s="12" t="n"/>
      <c r="X893" s="12" t="n"/>
      <c r="Y893" s="12" t="n"/>
      <c r="Z893" s="12" t="n"/>
    </row>
    <row r="894" ht="45.75" customHeight="1" s="21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84" t="n"/>
      <c r="P894" s="184" t="n"/>
      <c r="Q894" s="184" t="n"/>
      <c r="R894" s="184" t="n"/>
      <c r="S894" s="184" t="n"/>
      <c r="T894" s="165" t="n"/>
      <c r="U894" s="179" t="n"/>
      <c r="V894" s="179" t="n"/>
      <c r="W894" s="12" t="n"/>
      <c r="X894" s="12" t="n"/>
      <c r="Y894" s="12" t="n"/>
      <c r="Z894" s="12" t="n"/>
    </row>
    <row r="895" ht="45.75" customHeight="1" s="21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84" t="n"/>
      <c r="P895" s="184" t="n"/>
      <c r="Q895" s="184" t="n"/>
      <c r="R895" s="184" t="n"/>
      <c r="S895" s="184" t="n"/>
      <c r="T895" s="165" t="n"/>
      <c r="U895" s="179" t="n"/>
      <c r="V895" s="179" t="n"/>
      <c r="W895" s="12" t="n"/>
      <c r="X895" s="12" t="n"/>
      <c r="Y895" s="12" t="n"/>
      <c r="Z895" s="12" t="n"/>
    </row>
    <row r="896" ht="45.75" customHeight="1" s="21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84" t="n"/>
      <c r="P896" s="184" t="n"/>
      <c r="Q896" s="184" t="n"/>
      <c r="R896" s="184" t="n"/>
      <c r="S896" s="184" t="n"/>
      <c r="T896" s="165" t="n"/>
      <c r="U896" s="179" t="n"/>
      <c r="V896" s="179" t="n"/>
      <c r="W896" s="12" t="n"/>
      <c r="X896" s="12" t="n"/>
      <c r="Y896" s="12" t="n"/>
      <c r="Z896" s="12" t="n"/>
    </row>
    <row r="897" ht="45.75" customHeight="1" s="21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84" t="n"/>
      <c r="P897" s="184" t="n"/>
      <c r="Q897" s="184" t="n"/>
      <c r="R897" s="184" t="n"/>
      <c r="S897" s="184" t="n"/>
      <c r="T897" s="165" t="n"/>
      <c r="U897" s="179" t="n"/>
      <c r="V897" s="179" t="n"/>
      <c r="W897" s="12" t="n"/>
      <c r="X897" s="12" t="n"/>
      <c r="Y897" s="12" t="n"/>
      <c r="Z897" s="12" t="n"/>
    </row>
    <row r="898" ht="45.75" customHeight="1" s="21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84" t="n"/>
      <c r="P898" s="184" t="n"/>
      <c r="Q898" s="184" t="n"/>
      <c r="R898" s="184" t="n"/>
      <c r="S898" s="184" t="n"/>
      <c r="T898" s="165" t="n"/>
      <c r="U898" s="179" t="n"/>
      <c r="V898" s="179" t="n"/>
      <c r="W898" s="12" t="n"/>
      <c r="X898" s="12" t="n"/>
      <c r="Y898" s="12" t="n"/>
      <c r="Z898" s="12" t="n"/>
    </row>
    <row r="899" ht="45.75" customHeight="1" s="21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84" t="n"/>
      <c r="P899" s="184" t="n"/>
      <c r="Q899" s="184" t="n"/>
      <c r="R899" s="184" t="n"/>
      <c r="S899" s="184" t="n"/>
      <c r="T899" s="165" t="n"/>
      <c r="U899" s="179" t="n"/>
      <c r="V899" s="179" t="n"/>
      <c r="W899" s="12" t="n"/>
      <c r="X899" s="12" t="n"/>
      <c r="Y899" s="12" t="n"/>
      <c r="Z899" s="12" t="n"/>
    </row>
    <row r="900" ht="45.75" customHeight="1" s="21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84" t="n"/>
      <c r="P900" s="184" t="n"/>
      <c r="Q900" s="184" t="n"/>
      <c r="R900" s="184" t="n"/>
      <c r="S900" s="184" t="n"/>
      <c r="T900" s="165" t="n"/>
      <c r="U900" s="179" t="n"/>
      <c r="V900" s="179" t="n"/>
      <c r="W900" s="12" t="n"/>
      <c r="X900" s="12" t="n"/>
      <c r="Y900" s="12" t="n"/>
      <c r="Z900" s="12" t="n"/>
    </row>
    <row r="901" ht="45.75" customHeight="1" s="21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84" t="n"/>
      <c r="P901" s="184" t="n"/>
      <c r="Q901" s="184" t="n"/>
      <c r="R901" s="184" t="n"/>
      <c r="S901" s="184" t="n"/>
      <c r="T901" s="165" t="n"/>
      <c r="U901" s="179" t="n"/>
      <c r="V901" s="179" t="n"/>
      <c r="W901" s="12" t="n"/>
      <c r="X901" s="12" t="n"/>
      <c r="Y901" s="12" t="n"/>
      <c r="Z901" s="12" t="n"/>
    </row>
    <row r="902" ht="45.75" customHeight="1" s="21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84" t="n"/>
      <c r="P902" s="184" t="n"/>
      <c r="Q902" s="184" t="n"/>
      <c r="R902" s="184" t="n"/>
      <c r="S902" s="184" t="n"/>
      <c r="T902" s="165" t="n"/>
      <c r="U902" s="179" t="n"/>
      <c r="V902" s="179" t="n"/>
      <c r="W902" s="12" t="n"/>
      <c r="X902" s="12" t="n"/>
      <c r="Y902" s="12" t="n"/>
      <c r="Z902" s="12" t="n"/>
    </row>
    <row r="903" ht="45.75" customHeight="1" s="21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84" t="n"/>
      <c r="P903" s="184" t="n"/>
      <c r="Q903" s="184" t="n"/>
      <c r="R903" s="184" t="n"/>
      <c r="S903" s="184" t="n"/>
      <c r="T903" s="165" t="n"/>
      <c r="U903" s="179" t="n"/>
      <c r="V903" s="179" t="n"/>
      <c r="W903" s="12" t="n"/>
      <c r="X903" s="12" t="n"/>
      <c r="Y903" s="12" t="n"/>
      <c r="Z903" s="12" t="n"/>
    </row>
    <row r="904" ht="45.75" customHeight="1" s="21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84" t="n"/>
      <c r="P904" s="184" t="n"/>
      <c r="Q904" s="184" t="n"/>
      <c r="R904" s="184" t="n"/>
      <c r="S904" s="184" t="n"/>
      <c r="T904" s="165" t="n"/>
      <c r="U904" s="179" t="n"/>
      <c r="V904" s="179" t="n"/>
      <c r="W904" s="12" t="n"/>
      <c r="X904" s="12" t="n"/>
      <c r="Y904" s="12" t="n"/>
      <c r="Z904" s="12" t="n"/>
    </row>
    <row r="905" ht="45.75" customHeight="1" s="21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84" t="n"/>
      <c r="P905" s="184" t="n"/>
      <c r="Q905" s="184" t="n"/>
      <c r="R905" s="184" t="n"/>
      <c r="S905" s="184" t="n"/>
      <c r="T905" s="165" t="n"/>
      <c r="U905" s="179" t="n"/>
      <c r="V905" s="179" t="n"/>
      <c r="W905" s="12" t="n"/>
      <c r="X905" s="12" t="n"/>
      <c r="Y905" s="12" t="n"/>
      <c r="Z905" s="12" t="n"/>
    </row>
    <row r="906" ht="45.75" customHeight="1" s="21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84" t="n"/>
      <c r="P906" s="184" t="n"/>
      <c r="Q906" s="184" t="n"/>
      <c r="R906" s="184" t="n"/>
      <c r="S906" s="184" t="n"/>
      <c r="T906" s="165" t="n"/>
      <c r="U906" s="179" t="n"/>
      <c r="V906" s="179" t="n"/>
      <c r="W906" s="12" t="n"/>
      <c r="X906" s="12" t="n"/>
      <c r="Y906" s="12" t="n"/>
      <c r="Z906" s="12" t="n"/>
    </row>
    <row r="907" ht="45.75" customHeight="1" s="21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84" t="n"/>
      <c r="P907" s="184" t="n"/>
      <c r="Q907" s="184" t="n"/>
      <c r="R907" s="184" t="n"/>
      <c r="S907" s="184" t="n"/>
      <c r="T907" s="165" t="n"/>
      <c r="U907" s="179" t="n"/>
      <c r="V907" s="179" t="n"/>
      <c r="W907" s="12" t="n"/>
      <c r="X907" s="12" t="n"/>
      <c r="Y907" s="12" t="n"/>
      <c r="Z907" s="12" t="n"/>
    </row>
    <row r="908" ht="45.75" customHeight="1" s="21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84" t="n"/>
      <c r="P908" s="184" t="n"/>
      <c r="Q908" s="184" t="n"/>
      <c r="R908" s="184" t="n"/>
      <c r="S908" s="184" t="n"/>
      <c r="T908" s="165" t="n"/>
      <c r="U908" s="179" t="n"/>
      <c r="V908" s="179" t="n"/>
      <c r="W908" s="12" t="n"/>
      <c r="X908" s="12" t="n"/>
      <c r="Y908" s="12" t="n"/>
      <c r="Z908" s="12" t="n"/>
    </row>
    <row r="909" ht="45.75" customHeight="1" s="21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84" t="n"/>
      <c r="P909" s="184" t="n"/>
      <c r="Q909" s="184" t="n"/>
      <c r="R909" s="184" t="n"/>
      <c r="S909" s="184" t="n"/>
      <c r="T909" s="165" t="n"/>
      <c r="U909" s="179" t="n"/>
      <c r="V909" s="179" t="n"/>
      <c r="W909" s="12" t="n"/>
      <c r="X909" s="12" t="n"/>
      <c r="Y909" s="12" t="n"/>
      <c r="Z909" s="12" t="n"/>
    </row>
    <row r="910" ht="45.75" customHeight="1" s="21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84" t="n"/>
      <c r="P910" s="184" t="n"/>
      <c r="Q910" s="184" t="n"/>
      <c r="R910" s="184" t="n"/>
      <c r="S910" s="184" t="n"/>
      <c r="T910" s="165" t="n"/>
      <c r="U910" s="179" t="n"/>
      <c r="V910" s="179" t="n"/>
      <c r="W910" s="12" t="n"/>
      <c r="X910" s="12" t="n"/>
      <c r="Y910" s="12" t="n"/>
      <c r="Z910" s="12" t="n"/>
    </row>
    <row r="911" ht="45.75" customHeight="1" s="2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84" t="n"/>
      <c r="P911" s="184" t="n"/>
      <c r="Q911" s="184" t="n"/>
      <c r="R911" s="184" t="n"/>
      <c r="S911" s="184" t="n"/>
      <c r="T911" s="165" t="n"/>
      <c r="U911" s="179" t="n"/>
      <c r="V911" s="179" t="n"/>
      <c r="W911" s="12" t="n"/>
      <c r="X911" s="12" t="n"/>
      <c r="Y911" s="12" t="n"/>
      <c r="Z911" s="12" t="n"/>
    </row>
    <row r="912" ht="45.75" customHeight="1" s="21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84" t="n"/>
      <c r="P912" s="184" t="n"/>
      <c r="Q912" s="184" t="n"/>
      <c r="R912" s="184" t="n"/>
      <c r="S912" s="184" t="n"/>
      <c r="T912" s="165" t="n"/>
      <c r="U912" s="179" t="n"/>
      <c r="V912" s="179" t="n"/>
      <c r="W912" s="12" t="n"/>
      <c r="X912" s="12" t="n"/>
      <c r="Y912" s="12" t="n"/>
      <c r="Z912" s="12" t="n"/>
    </row>
    <row r="913" ht="45.75" customHeight="1" s="21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84" t="n"/>
      <c r="P913" s="184" t="n"/>
      <c r="Q913" s="184" t="n"/>
      <c r="R913" s="184" t="n"/>
      <c r="S913" s="184" t="n"/>
      <c r="T913" s="165" t="n"/>
      <c r="U913" s="179" t="n"/>
      <c r="V913" s="179" t="n"/>
      <c r="W913" s="12" t="n"/>
      <c r="X913" s="12" t="n"/>
      <c r="Y913" s="12" t="n"/>
      <c r="Z913" s="12" t="n"/>
    </row>
    <row r="914" ht="45.75" customHeight="1" s="21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84" t="n"/>
      <c r="P914" s="184" t="n"/>
      <c r="Q914" s="184" t="n"/>
      <c r="R914" s="184" t="n"/>
      <c r="S914" s="184" t="n"/>
      <c r="T914" s="165" t="n"/>
      <c r="U914" s="179" t="n"/>
      <c r="V914" s="179" t="n"/>
      <c r="W914" s="12" t="n"/>
      <c r="X914" s="12" t="n"/>
      <c r="Y914" s="12" t="n"/>
      <c r="Z914" s="12" t="n"/>
    </row>
    <row r="915" ht="45.75" customHeight="1" s="21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84" t="n"/>
      <c r="P915" s="184" t="n"/>
      <c r="Q915" s="184" t="n"/>
      <c r="R915" s="184" t="n"/>
      <c r="S915" s="184" t="n"/>
      <c r="T915" s="165" t="n"/>
      <c r="U915" s="179" t="n"/>
      <c r="V915" s="179" t="n"/>
      <c r="W915" s="12" t="n"/>
      <c r="X915" s="12" t="n"/>
      <c r="Y915" s="12" t="n"/>
      <c r="Z915" s="12" t="n"/>
    </row>
    <row r="916" ht="45.75" customHeight="1" s="21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84" t="n"/>
      <c r="P916" s="184" t="n"/>
      <c r="Q916" s="184" t="n"/>
      <c r="R916" s="184" t="n"/>
      <c r="S916" s="184" t="n"/>
      <c r="T916" s="165" t="n"/>
      <c r="U916" s="179" t="n"/>
      <c r="V916" s="179" t="n"/>
      <c r="W916" s="12" t="n"/>
      <c r="X916" s="12" t="n"/>
      <c r="Y916" s="12" t="n"/>
      <c r="Z916" s="12" t="n"/>
    </row>
    <row r="917" ht="45.75" customHeight="1" s="21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84" t="n"/>
      <c r="P917" s="184" t="n"/>
      <c r="Q917" s="184" t="n"/>
      <c r="R917" s="184" t="n"/>
      <c r="S917" s="184" t="n"/>
      <c r="T917" s="165" t="n"/>
      <c r="U917" s="179" t="n"/>
      <c r="V917" s="179" t="n"/>
      <c r="W917" s="12" t="n"/>
      <c r="X917" s="12" t="n"/>
      <c r="Y917" s="12" t="n"/>
      <c r="Z917" s="12" t="n"/>
    </row>
    <row r="918" ht="45.75" customHeight="1" s="21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84" t="n"/>
      <c r="P918" s="184" t="n"/>
      <c r="Q918" s="184" t="n"/>
      <c r="R918" s="184" t="n"/>
      <c r="S918" s="184" t="n"/>
      <c r="T918" s="165" t="n"/>
      <c r="U918" s="179" t="n"/>
      <c r="V918" s="179" t="n"/>
      <c r="W918" s="12" t="n"/>
      <c r="X918" s="12" t="n"/>
      <c r="Y918" s="12" t="n"/>
      <c r="Z918" s="12" t="n"/>
    </row>
    <row r="919" ht="45.75" customHeight="1" s="21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84" t="n"/>
      <c r="P919" s="184" t="n"/>
      <c r="Q919" s="184" t="n"/>
      <c r="R919" s="184" t="n"/>
      <c r="S919" s="184" t="n"/>
      <c r="T919" s="165" t="n"/>
      <c r="U919" s="179" t="n"/>
      <c r="V919" s="179" t="n"/>
      <c r="W919" s="12" t="n"/>
      <c r="X919" s="12" t="n"/>
      <c r="Y919" s="12" t="n"/>
      <c r="Z919" s="12" t="n"/>
    </row>
    <row r="920" ht="45.75" customHeight="1" s="21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84" t="n"/>
      <c r="P920" s="184" t="n"/>
      <c r="Q920" s="184" t="n"/>
      <c r="R920" s="184" t="n"/>
      <c r="S920" s="184" t="n"/>
      <c r="T920" s="165" t="n"/>
      <c r="U920" s="179" t="n"/>
      <c r="V920" s="179" t="n"/>
      <c r="W920" s="12" t="n"/>
      <c r="X920" s="12" t="n"/>
      <c r="Y920" s="12" t="n"/>
      <c r="Z920" s="12" t="n"/>
    </row>
    <row r="921" ht="45.75" customHeight="1" s="21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84" t="n"/>
      <c r="P921" s="184" t="n"/>
      <c r="Q921" s="184" t="n"/>
      <c r="R921" s="184" t="n"/>
      <c r="S921" s="184" t="n"/>
      <c r="T921" s="165" t="n"/>
      <c r="U921" s="179" t="n"/>
      <c r="V921" s="179" t="n"/>
      <c r="W921" s="12" t="n"/>
      <c r="X921" s="12" t="n"/>
      <c r="Y921" s="12" t="n"/>
      <c r="Z921" s="12" t="n"/>
    </row>
    <row r="922" ht="45.75" customHeight="1" s="21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84" t="n"/>
      <c r="P922" s="184" t="n"/>
      <c r="Q922" s="184" t="n"/>
      <c r="R922" s="184" t="n"/>
      <c r="S922" s="184" t="n"/>
      <c r="T922" s="165" t="n"/>
      <c r="U922" s="179" t="n"/>
      <c r="V922" s="179" t="n"/>
      <c r="W922" s="12" t="n"/>
      <c r="X922" s="12" t="n"/>
      <c r="Y922" s="12" t="n"/>
      <c r="Z922" s="12" t="n"/>
    </row>
    <row r="923" ht="45.75" customHeight="1" s="21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84" t="n"/>
      <c r="P923" s="184" t="n"/>
      <c r="Q923" s="184" t="n"/>
      <c r="R923" s="184" t="n"/>
      <c r="S923" s="184" t="n"/>
      <c r="T923" s="165" t="n"/>
      <c r="U923" s="179" t="n"/>
      <c r="V923" s="179" t="n"/>
      <c r="W923" s="12" t="n"/>
      <c r="X923" s="12" t="n"/>
      <c r="Y923" s="12" t="n"/>
      <c r="Z923" s="12" t="n"/>
    </row>
    <row r="924" ht="45.75" customHeight="1" s="21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84" t="n"/>
      <c r="P924" s="184" t="n"/>
      <c r="Q924" s="184" t="n"/>
      <c r="R924" s="184" t="n"/>
      <c r="S924" s="184" t="n"/>
      <c r="T924" s="165" t="n"/>
      <c r="U924" s="179" t="n"/>
      <c r="V924" s="179" t="n"/>
      <c r="W924" s="12" t="n"/>
      <c r="X924" s="12" t="n"/>
      <c r="Y924" s="12" t="n"/>
      <c r="Z924" s="12" t="n"/>
    </row>
    <row r="925" ht="45.75" customHeight="1" s="21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84" t="n"/>
      <c r="P925" s="184" t="n"/>
      <c r="Q925" s="184" t="n"/>
      <c r="R925" s="184" t="n"/>
      <c r="S925" s="184" t="n"/>
      <c r="T925" s="165" t="n"/>
      <c r="U925" s="179" t="n"/>
      <c r="V925" s="179" t="n"/>
      <c r="W925" s="12" t="n"/>
      <c r="X925" s="12" t="n"/>
      <c r="Y925" s="12" t="n"/>
      <c r="Z925" s="12" t="n"/>
    </row>
    <row r="926" ht="45.75" customHeight="1" s="21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84" t="n"/>
      <c r="P926" s="184" t="n"/>
      <c r="Q926" s="184" t="n"/>
      <c r="R926" s="184" t="n"/>
      <c r="S926" s="184" t="n"/>
      <c r="T926" s="165" t="n"/>
      <c r="U926" s="179" t="n"/>
      <c r="V926" s="179" t="n"/>
      <c r="W926" s="12" t="n"/>
      <c r="X926" s="12" t="n"/>
      <c r="Y926" s="12" t="n"/>
      <c r="Z926" s="12" t="n"/>
    </row>
    <row r="927" ht="45.75" customHeight="1" s="21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84" t="n"/>
      <c r="P927" s="184" t="n"/>
      <c r="Q927" s="184" t="n"/>
      <c r="R927" s="184" t="n"/>
      <c r="S927" s="184" t="n"/>
      <c r="T927" s="165" t="n"/>
      <c r="U927" s="179" t="n"/>
      <c r="V927" s="179" t="n"/>
      <c r="W927" s="12" t="n"/>
      <c r="X927" s="12" t="n"/>
      <c r="Y927" s="12" t="n"/>
      <c r="Z927" s="12" t="n"/>
    </row>
    <row r="928" ht="45.75" customHeight="1" s="21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84" t="n"/>
      <c r="P928" s="184" t="n"/>
      <c r="Q928" s="184" t="n"/>
      <c r="R928" s="184" t="n"/>
      <c r="S928" s="184" t="n"/>
      <c r="T928" s="165" t="n"/>
      <c r="U928" s="179" t="n"/>
      <c r="V928" s="179" t="n"/>
      <c r="W928" s="12" t="n"/>
      <c r="X928" s="12" t="n"/>
      <c r="Y928" s="12" t="n"/>
      <c r="Z928" s="12" t="n"/>
    </row>
    <row r="929" ht="45.75" customHeight="1" s="21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84" t="n"/>
      <c r="P929" s="184" t="n"/>
      <c r="Q929" s="184" t="n"/>
      <c r="R929" s="184" t="n"/>
      <c r="S929" s="184" t="n"/>
      <c r="T929" s="165" t="n"/>
      <c r="U929" s="179" t="n"/>
      <c r="V929" s="179" t="n"/>
      <c r="W929" s="12" t="n"/>
      <c r="X929" s="12" t="n"/>
      <c r="Y929" s="12" t="n"/>
      <c r="Z929" s="12" t="n"/>
    </row>
    <row r="930" ht="45.75" customHeight="1" s="21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84" t="n"/>
      <c r="P930" s="184" t="n"/>
      <c r="Q930" s="184" t="n"/>
      <c r="R930" s="184" t="n"/>
      <c r="S930" s="184" t="n"/>
      <c r="T930" s="165" t="n"/>
      <c r="U930" s="179" t="n"/>
      <c r="V930" s="179" t="n"/>
      <c r="W930" s="12" t="n"/>
      <c r="X930" s="12" t="n"/>
      <c r="Y930" s="12" t="n"/>
      <c r="Z930" s="12" t="n"/>
    </row>
    <row r="931" ht="45.75" customHeight="1" s="21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84" t="n"/>
      <c r="P931" s="184" t="n"/>
      <c r="Q931" s="184" t="n"/>
      <c r="R931" s="184" t="n"/>
      <c r="S931" s="184" t="n"/>
      <c r="T931" s="165" t="n"/>
      <c r="U931" s="179" t="n"/>
      <c r="V931" s="179" t="n"/>
      <c r="W931" s="12" t="n"/>
      <c r="X931" s="12" t="n"/>
      <c r="Y931" s="12" t="n"/>
      <c r="Z931" s="12" t="n"/>
    </row>
    <row r="932" ht="45.75" customHeight="1" s="21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84" t="n"/>
      <c r="P932" s="184" t="n"/>
      <c r="Q932" s="184" t="n"/>
      <c r="R932" s="184" t="n"/>
      <c r="S932" s="184" t="n"/>
      <c r="T932" s="165" t="n"/>
      <c r="U932" s="179" t="n"/>
      <c r="V932" s="179" t="n"/>
      <c r="W932" s="12" t="n"/>
      <c r="X932" s="12" t="n"/>
      <c r="Y932" s="12" t="n"/>
      <c r="Z932" s="12" t="n"/>
    </row>
    <row r="933" ht="45.75" customHeight="1" s="21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84" t="n"/>
      <c r="P933" s="184" t="n"/>
      <c r="Q933" s="184" t="n"/>
      <c r="R933" s="184" t="n"/>
      <c r="S933" s="184" t="n"/>
      <c r="T933" s="165" t="n"/>
      <c r="U933" s="179" t="n"/>
      <c r="V933" s="179" t="n"/>
      <c r="W933" s="12" t="n"/>
      <c r="X933" s="12" t="n"/>
      <c r="Y933" s="12" t="n"/>
      <c r="Z933" s="12" t="n"/>
    </row>
    <row r="934" ht="45.75" customHeight="1" s="21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84" t="n"/>
      <c r="P934" s="184" t="n"/>
      <c r="Q934" s="184" t="n"/>
      <c r="R934" s="184" t="n"/>
      <c r="S934" s="184" t="n"/>
      <c r="T934" s="165" t="n"/>
      <c r="U934" s="179" t="n"/>
      <c r="V934" s="179" t="n"/>
      <c r="W934" s="12" t="n"/>
      <c r="X934" s="12" t="n"/>
      <c r="Y934" s="12" t="n"/>
      <c r="Z934" s="12" t="n"/>
    </row>
    <row r="935" ht="45.75" customHeight="1" s="21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84" t="n"/>
      <c r="P935" s="184" t="n"/>
      <c r="Q935" s="184" t="n"/>
      <c r="R935" s="184" t="n"/>
      <c r="S935" s="184" t="n"/>
      <c r="T935" s="165" t="n"/>
      <c r="U935" s="179" t="n"/>
      <c r="V935" s="179" t="n"/>
      <c r="W935" s="12" t="n"/>
      <c r="X935" s="12" t="n"/>
      <c r="Y935" s="12" t="n"/>
      <c r="Z935" s="12" t="n"/>
    </row>
    <row r="936" ht="45.75" customHeight="1" s="21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84" t="n"/>
      <c r="P936" s="184" t="n"/>
      <c r="Q936" s="184" t="n"/>
      <c r="R936" s="184" t="n"/>
      <c r="S936" s="184" t="n"/>
      <c r="T936" s="165" t="n"/>
      <c r="U936" s="179" t="n"/>
      <c r="V936" s="179" t="n"/>
      <c r="W936" s="12" t="n"/>
      <c r="X936" s="12" t="n"/>
      <c r="Y936" s="12" t="n"/>
      <c r="Z936" s="12" t="n"/>
    </row>
    <row r="937" ht="45.75" customHeight="1" s="21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84" t="n"/>
      <c r="P937" s="184" t="n"/>
      <c r="Q937" s="184" t="n"/>
      <c r="R937" s="184" t="n"/>
      <c r="S937" s="184" t="n"/>
      <c r="T937" s="165" t="n"/>
      <c r="U937" s="179" t="n"/>
      <c r="V937" s="179" t="n"/>
      <c r="W937" s="12" t="n"/>
      <c r="X937" s="12" t="n"/>
      <c r="Y937" s="12" t="n"/>
      <c r="Z937" s="12" t="n"/>
    </row>
    <row r="938" ht="45.75" customHeight="1" s="21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84" t="n"/>
      <c r="P938" s="184" t="n"/>
      <c r="Q938" s="184" t="n"/>
      <c r="R938" s="184" t="n"/>
      <c r="S938" s="184" t="n"/>
      <c r="T938" s="165" t="n"/>
      <c r="U938" s="179" t="n"/>
      <c r="V938" s="179" t="n"/>
      <c r="W938" s="12" t="n"/>
      <c r="X938" s="12" t="n"/>
      <c r="Y938" s="12" t="n"/>
      <c r="Z938" s="12" t="n"/>
    </row>
    <row r="939" ht="45.75" customHeight="1" s="21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84" t="n"/>
      <c r="P939" s="184" t="n"/>
      <c r="Q939" s="184" t="n"/>
      <c r="R939" s="184" t="n"/>
      <c r="S939" s="184" t="n"/>
      <c r="T939" s="165" t="n"/>
      <c r="U939" s="179" t="n"/>
      <c r="V939" s="179" t="n"/>
      <c r="W939" s="12" t="n"/>
      <c r="X939" s="12" t="n"/>
      <c r="Y939" s="12" t="n"/>
      <c r="Z939" s="12" t="n"/>
    </row>
    <row r="940" ht="45.75" customHeight="1" s="21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84" t="n"/>
      <c r="P940" s="184" t="n"/>
      <c r="Q940" s="184" t="n"/>
      <c r="R940" s="184" t="n"/>
      <c r="S940" s="184" t="n"/>
      <c r="T940" s="165" t="n"/>
      <c r="U940" s="179" t="n"/>
      <c r="V940" s="179" t="n"/>
      <c r="W940" s="12" t="n"/>
      <c r="X940" s="12" t="n"/>
      <c r="Y940" s="12" t="n"/>
      <c r="Z940" s="12" t="n"/>
    </row>
    <row r="941" ht="45.75" customHeight="1" s="21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84" t="n"/>
      <c r="P941" s="184" t="n"/>
      <c r="Q941" s="184" t="n"/>
      <c r="R941" s="184" t="n"/>
      <c r="S941" s="184" t="n"/>
      <c r="T941" s="165" t="n"/>
      <c r="U941" s="179" t="n"/>
      <c r="V941" s="179" t="n"/>
      <c r="W941" s="12" t="n"/>
      <c r="X941" s="12" t="n"/>
      <c r="Y941" s="12" t="n"/>
      <c r="Z941" s="12" t="n"/>
    </row>
    <row r="942" ht="45.75" customHeight="1" s="21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84" t="n"/>
      <c r="P942" s="184" t="n"/>
      <c r="Q942" s="184" t="n"/>
      <c r="R942" s="184" t="n"/>
      <c r="S942" s="184" t="n"/>
      <c r="T942" s="165" t="n"/>
      <c r="U942" s="179" t="n"/>
      <c r="V942" s="179" t="n"/>
      <c r="W942" s="12" t="n"/>
      <c r="X942" s="12" t="n"/>
      <c r="Y942" s="12" t="n"/>
      <c r="Z942" s="12" t="n"/>
    </row>
    <row r="943" ht="45.75" customHeight="1" s="21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84" t="n"/>
      <c r="P943" s="184" t="n"/>
      <c r="Q943" s="184" t="n"/>
      <c r="R943" s="184" t="n"/>
      <c r="S943" s="184" t="n"/>
      <c r="T943" s="165" t="n"/>
      <c r="U943" s="179" t="n"/>
      <c r="V943" s="179" t="n"/>
      <c r="W943" s="12" t="n"/>
      <c r="X943" s="12" t="n"/>
      <c r="Y943" s="12" t="n"/>
      <c r="Z943" s="12" t="n"/>
    </row>
    <row r="944" ht="45.75" customHeight="1" s="21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84" t="n"/>
      <c r="P944" s="184" t="n"/>
      <c r="Q944" s="184" t="n"/>
      <c r="R944" s="184" t="n"/>
      <c r="S944" s="184" t="n"/>
      <c r="T944" s="165" t="n"/>
      <c r="U944" s="179" t="n"/>
      <c r="V944" s="179" t="n"/>
      <c r="W944" s="12" t="n"/>
      <c r="X944" s="12" t="n"/>
      <c r="Y944" s="12" t="n"/>
      <c r="Z944" s="12" t="n"/>
    </row>
    <row r="945" ht="45.75" customHeight="1" s="21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84" t="n"/>
      <c r="P945" s="184" t="n"/>
      <c r="Q945" s="184" t="n"/>
      <c r="R945" s="184" t="n"/>
      <c r="S945" s="184" t="n"/>
      <c r="T945" s="165" t="n"/>
      <c r="U945" s="179" t="n"/>
      <c r="V945" s="179" t="n"/>
      <c r="W945" s="12" t="n"/>
      <c r="X945" s="12" t="n"/>
      <c r="Y945" s="12" t="n"/>
      <c r="Z945" s="12" t="n"/>
    </row>
    <row r="946" ht="45.75" customHeight="1" s="21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84" t="n"/>
      <c r="P946" s="184" t="n"/>
      <c r="Q946" s="184" t="n"/>
      <c r="R946" s="184" t="n"/>
      <c r="S946" s="184" t="n"/>
      <c r="T946" s="165" t="n"/>
      <c r="U946" s="179" t="n"/>
      <c r="V946" s="179" t="n"/>
      <c r="W946" s="12" t="n"/>
      <c r="X946" s="12" t="n"/>
      <c r="Y946" s="12" t="n"/>
      <c r="Z946" s="12" t="n"/>
    </row>
    <row r="947" ht="45.75" customHeight="1" s="21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84" t="n"/>
      <c r="P947" s="184" t="n"/>
      <c r="Q947" s="184" t="n"/>
      <c r="R947" s="184" t="n"/>
      <c r="S947" s="184" t="n"/>
      <c r="T947" s="165" t="n"/>
      <c r="U947" s="179" t="n"/>
      <c r="V947" s="179" t="n"/>
      <c r="W947" s="12" t="n"/>
      <c r="X947" s="12" t="n"/>
      <c r="Y947" s="12" t="n"/>
      <c r="Z947" s="12" t="n"/>
    </row>
    <row r="948" ht="45.75" customHeight="1" s="21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84" t="n"/>
      <c r="P948" s="184" t="n"/>
      <c r="Q948" s="184" t="n"/>
      <c r="R948" s="184" t="n"/>
      <c r="S948" s="184" t="n"/>
      <c r="T948" s="165" t="n"/>
      <c r="U948" s="179" t="n"/>
      <c r="V948" s="179" t="n"/>
      <c r="W948" s="12" t="n"/>
      <c r="X948" s="12" t="n"/>
      <c r="Y948" s="12" t="n"/>
      <c r="Z948" s="12" t="n"/>
    </row>
    <row r="949" ht="45.75" customHeight="1" s="21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84" t="n"/>
      <c r="P949" s="184" t="n"/>
      <c r="Q949" s="184" t="n"/>
      <c r="R949" s="184" t="n"/>
      <c r="S949" s="184" t="n"/>
      <c r="T949" s="165" t="n"/>
      <c r="U949" s="179" t="n"/>
      <c r="V949" s="179" t="n"/>
      <c r="W949" s="12" t="n"/>
      <c r="X949" s="12" t="n"/>
      <c r="Y949" s="12" t="n"/>
      <c r="Z949" s="12" t="n"/>
    </row>
    <row r="950" ht="45.75" customHeight="1" s="21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84" t="n"/>
      <c r="P950" s="184" t="n"/>
      <c r="Q950" s="184" t="n"/>
      <c r="R950" s="184" t="n"/>
      <c r="S950" s="184" t="n"/>
      <c r="T950" s="165" t="n"/>
      <c r="U950" s="179" t="n"/>
      <c r="V950" s="179" t="n"/>
      <c r="W950" s="12" t="n"/>
      <c r="X950" s="12" t="n"/>
      <c r="Y950" s="12" t="n"/>
      <c r="Z950" s="12" t="n"/>
    </row>
    <row r="951" ht="45.75" customHeight="1" s="21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84" t="n"/>
      <c r="P951" s="184" t="n"/>
      <c r="Q951" s="184" t="n"/>
      <c r="R951" s="184" t="n"/>
      <c r="S951" s="184" t="n"/>
      <c r="T951" s="165" t="n"/>
      <c r="U951" s="179" t="n"/>
      <c r="V951" s="179" t="n"/>
      <c r="W951" s="12" t="n"/>
      <c r="X951" s="12" t="n"/>
      <c r="Y951" s="12" t="n"/>
      <c r="Z951" s="12" t="n"/>
    </row>
    <row r="952" ht="45.75" customHeight="1" s="21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84" t="n"/>
      <c r="P952" s="184" t="n"/>
      <c r="Q952" s="184" t="n"/>
      <c r="R952" s="184" t="n"/>
      <c r="S952" s="184" t="n"/>
      <c r="T952" s="165" t="n"/>
      <c r="U952" s="179" t="n"/>
      <c r="V952" s="179" t="n"/>
      <c r="W952" s="12" t="n"/>
      <c r="X952" s="12" t="n"/>
      <c r="Y952" s="12" t="n"/>
      <c r="Z952" s="12" t="n"/>
    </row>
    <row r="953" ht="45.75" customHeight="1" s="21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84" t="n"/>
      <c r="P953" s="184" t="n"/>
      <c r="Q953" s="184" t="n"/>
      <c r="R953" s="184" t="n"/>
      <c r="S953" s="184" t="n"/>
      <c r="T953" s="165" t="n"/>
      <c r="U953" s="179" t="n"/>
      <c r="V953" s="179" t="n"/>
      <c r="W953" s="12" t="n"/>
      <c r="X953" s="12" t="n"/>
      <c r="Y953" s="12" t="n"/>
      <c r="Z953" s="12" t="n"/>
    </row>
    <row r="954" ht="45.75" customHeight="1" s="21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84" t="n"/>
      <c r="P954" s="184" t="n"/>
      <c r="Q954" s="184" t="n"/>
      <c r="R954" s="184" t="n"/>
      <c r="S954" s="184" t="n"/>
      <c r="T954" s="165" t="n"/>
      <c r="U954" s="179" t="n"/>
      <c r="V954" s="179" t="n"/>
      <c r="W954" s="12" t="n"/>
      <c r="X954" s="12" t="n"/>
      <c r="Y954" s="12" t="n"/>
      <c r="Z954" s="12" t="n"/>
    </row>
    <row r="955" ht="45.75" customHeight="1" s="21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84" t="n"/>
      <c r="P955" s="184" t="n"/>
      <c r="Q955" s="184" t="n"/>
      <c r="R955" s="184" t="n"/>
      <c r="S955" s="184" t="n"/>
      <c r="T955" s="165" t="n"/>
      <c r="U955" s="179" t="n"/>
      <c r="V955" s="179" t="n"/>
      <c r="W955" s="12" t="n"/>
      <c r="X955" s="12" t="n"/>
      <c r="Y955" s="12" t="n"/>
      <c r="Z955" s="12" t="n"/>
    </row>
    <row r="956" ht="45.75" customHeight="1" s="21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84" t="n"/>
      <c r="P956" s="184" t="n"/>
      <c r="Q956" s="184" t="n"/>
      <c r="R956" s="184" t="n"/>
      <c r="S956" s="184" t="n"/>
      <c r="T956" s="165" t="n"/>
      <c r="U956" s="179" t="n"/>
      <c r="V956" s="179" t="n"/>
      <c r="W956" s="12" t="n"/>
      <c r="X956" s="12" t="n"/>
      <c r="Y956" s="12" t="n"/>
      <c r="Z956" s="12" t="n"/>
    </row>
    <row r="957" ht="45.75" customHeight="1" s="21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84" t="n"/>
      <c r="P957" s="184" t="n"/>
      <c r="Q957" s="184" t="n"/>
      <c r="R957" s="184" t="n"/>
      <c r="S957" s="184" t="n"/>
      <c r="T957" s="165" t="n"/>
      <c r="U957" s="179" t="n"/>
      <c r="V957" s="179" t="n"/>
      <c r="W957" s="12" t="n"/>
      <c r="X957" s="12" t="n"/>
      <c r="Y957" s="12" t="n"/>
      <c r="Z957" s="12" t="n"/>
    </row>
    <row r="958" ht="45.75" customHeight="1" s="21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84" t="n"/>
      <c r="P958" s="184" t="n"/>
      <c r="Q958" s="184" t="n"/>
      <c r="R958" s="184" t="n"/>
      <c r="S958" s="184" t="n"/>
      <c r="T958" s="165" t="n"/>
      <c r="U958" s="179" t="n"/>
      <c r="V958" s="179" t="n"/>
      <c r="W958" s="12" t="n"/>
      <c r="X958" s="12" t="n"/>
      <c r="Y958" s="12" t="n"/>
      <c r="Z958" s="12" t="n"/>
    </row>
    <row r="959" ht="45.75" customHeight="1" s="21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84" t="n"/>
      <c r="P959" s="184" t="n"/>
      <c r="Q959" s="184" t="n"/>
      <c r="R959" s="184" t="n"/>
      <c r="S959" s="184" t="n"/>
      <c r="T959" s="165" t="n"/>
      <c r="U959" s="179" t="n"/>
      <c r="V959" s="179" t="n"/>
      <c r="W959" s="12" t="n"/>
      <c r="X959" s="12" t="n"/>
      <c r="Y959" s="12" t="n"/>
      <c r="Z959" s="12" t="n"/>
    </row>
    <row r="960" ht="45.75" customHeight="1" s="21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84" t="n"/>
      <c r="P960" s="184" t="n"/>
      <c r="Q960" s="184" t="n"/>
      <c r="R960" s="184" t="n"/>
      <c r="S960" s="184" t="n"/>
      <c r="T960" s="165" t="n"/>
      <c r="U960" s="179" t="n"/>
      <c r="V960" s="179" t="n"/>
      <c r="W960" s="12" t="n"/>
      <c r="X960" s="12" t="n"/>
      <c r="Y960" s="12" t="n"/>
      <c r="Z960" s="12" t="n"/>
    </row>
    <row r="961" ht="45.75" customHeight="1" s="21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84" t="n"/>
      <c r="P961" s="184" t="n"/>
      <c r="Q961" s="184" t="n"/>
      <c r="R961" s="184" t="n"/>
      <c r="S961" s="184" t="n"/>
      <c r="T961" s="165" t="n"/>
      <c r="U961" s="179" t="n"/>
      <c r="V961" s="179" t="n"/>
      <c r="W961" s="12" t="n"/>
      <c r="X961" s="12" t="n"/>
      <c r="Y961" s="12" t="n"/>
      <c r="Z961" s="12" t="n"/>
    </row>
    <row r="962" ht="45.75" customHeight="1" s="21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84" t="n"/>
      <c r="P962" s="184" t="n"/>
      <c r="Q962" s="184" t="n"/>
      <c r="R962" s="184" t="n"/>
      <c r="S962" s="184" t="n"/>
      <c r="T962" s="165" t="n"/>
      <c r="U962" s="179" t="n"/>
      <c r="V962" s="179" t="n"/>
      <c r="W962" s="12" t="n"/>
      <c r="X962" s="12" t="n"/>
      <c r="Y962" s="12" t="n"/>
      <c r="Z962" s="12" t="n"/>
    </row>
    <row r="963" ht="45.75" customHeight="1" s="21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84" t="n"/>
      <c r="P963" s="184" t="n"/>
      <c r="Q963" s="184" t="n"/>
      <c r="R963" s="184" t="n"/>
      <c r="S963" s="184" t="n"/>
      <c r="T963" s="165" t="n"/>
      <c r="U963" s="179" t="n"/>
      <c r="V963" s="179" t="n"/>
      <c r="W963" s="12" t="n"/>
      <c r="X963" s="12" t="n"/>
      <c r="Y963" s="12" t="n"/>
      <c r="Z963" s="12" t="n"/>
    </row>
    <row r="964" ht="45.75" customHeight="1" s="21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84" t="n"/>
      <c r="P964" s="184" t="n"/>
      <c r="Q964" s="184" t="n"/>
      <c r="R964" s="184" t="n"/>
      <c r="S964" s="184" t="n"/>
      <c r="T964" s="165" t="n"/>
      <c r="U964" s="179" t="n"/>
      <c r="V964" s="179" t="n"/>
      <c r="W964" s="12" t="n"/>
      <c r="X964" s="12" t="n"/>
      <c r="Y964" s="12" t="n"/>
      <c r="Z964" s="12" t="n"/>
    </row>
    <row r="965" ht="45.75" customHeight="1" s="21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84" t="n"/>
      <c r="P965" s="184" t="n"/>
      <c r="Q965" s="184" t="n"/>
      <c r="R965" s="184" t="n"/>
      <c r="S965" s="184" t="n"/>
      <c r="T965" s="165" t="n"/>
      <c r="U965" s="179" t="n"/>
      <c r="V965" s="179" t="n"/>
      <c r="W965" s="12" t="n"/>
      <c r="X965" s="12" t="n"/>
      <c r="Y965" s="12" t="n"/>
      <c r="Z965" s="12" t="n"/>
    </row>
    <row r="966" ht="45.75" customHeight="1" s="21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84" t="n"/>
      <c r="P966" s="184" t="n"/>
      <c r="Q966" s="184" t="n"/>
      <c r="R966" s="184" t="n"/>
      <c r="S966" s="184" t="n"/>
      <c r="T966" s="165" t="n"/>
      <c r="U966" s="179" t="n"/>
      <c r="V966" s="179" t="n"/>
      <c r="W966" s="12" t="n"/>
      <c r="X966" s="12" t="n"/>
      <c r="Y966" s="12" t="n"/>
      <c r="Z966" s="12" t="n"/>
    </row>
    <row r="967" ht="45.75" customHeight="1" s="21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84" t="n"/>
      <c r="P967" s="184" t="n"/>
      <c r="Q967" s="184" t="n"/>
      <c r="R967" s="184" t="n"/>
      <c r="S967" s="184" t="n"/>
      <c r="T967" s="165" t="n"/>
      <c r="U967" s="179" t="n"/>
      <c r="V967" s="179" t="n"/>
      <c r="W967" s="12" t="n"/>
      <c r="X967" s="12" t="n"/>
      <c r="Y967" s="12" t="n"/>
      <c r="Z967" s="12" t="n"/>
    </row>
    <row r="968" ht="45.75" customHeight="1" s="21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84" t="n"/>
      <c r="P968" s="184" t="n"/>
      <c r="Q968" s="184" t="n"/>
      <c r="R968" s="184" t="n"/>
      <c r="S968" s="184" t="n"/>
      <c r="T968" s="165" t="n"/>
      <c r="U968" s="179" t="n"/>
      <c r="V968" s="179" t="n"/>
      <c r="W968" s="12" t="n"/>
      <c r="X968" s="12" t="n"/>
      <c r="Y968" s="12" t="n"/>
      <c r="Z968" s="12" t="n"/>
    </row>
    <row r="969" ht="45.75" customHeight="1" s="21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84" t="n"/>
      <c r="P969" s="184" t="n"/>
      <c r="Q969" s="184" t="n"/>
      <c r="R969" s="184" t="n"/>
      <c r="S969" s="184" t="n"/>
      <c r="T969" s="165" t="n"/>
      <c r="U969" s="179" t="n"/>
      <c r="V969" s="179" t="n"/>
      <c r="W969" s="12" t="n"/>
      <c r="X969" s="12" t="n"/>
      <c r="Y969" s="12" t="n"/>
      <c r="Z969" s="12" t="n"/>
    </row>
    <row r="970" ht="45.75" customHeight="1" s="21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84" t="n"/>
      <c r="P970" s="184" t="n"/>
      <c r="Q970" s="184" t="n"/>
      <c r="R970" s="184" t="n"/>
      <c r="S970" s="184" t="n"/>
      <c r="T970" s="165" t="n"/>
      <c r="U970" s="179" t="n"/>
      <c r="V970" s="179" t="n"/>
      <c r="W970" s="12" t="n"/>
      <c r="X970" s="12" t="n"/>
      <c r="Y970" s="12" t="n"/>
      <c r="Z970" s="12" t="n"/>
    </row>
    <row r="971" ht="45.75" customHeight="1" s="21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84" t="n"/>
      <c r="P971" s="184" t="n"/>
      <c r="Q971" s="184" t="n"/>
      <c r="R971" s="184" t="n"/>
      <c r="S971" s="184" t="n"/>
      <c r="T971" s="165" t="n"/>
      <c r="U971" s="179" t="n"/>
      <c r="V971" s="179" t="n"/>
      <c r="W971" s="12" t="n"/>
      <c r="X971" s="12" t="n"/>
      <c r="Y971" s="12" t="n"/>
      <c r="Z971" s="12" t="n"/>
    </row>
    <row r="972" ht="45.75" customHeight="1" s="21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84" t="n"/>
      <c r="P972" s="184" t="n"/>
      <c r="Q972" s="184" t="n"/>
      <c r="R972" s="184" t="n"/>
      <c r="S972" s="184" t="n"/>
      <c r="T972" s="165" t="n"/>
      <c r="U972" s="179" t="n"/>
      <c r="V972" s="179" t="n"/>
      <c r="W972" s="12" t="n"/>
      <c r="X972" s="12" t="n"/>
      <c r="Y972" s="12" t="n"/>
      <c r="Z972" s="12" t="n"/>
    </row>
    <row r="973" ht="45.75" customHeight="1" s="21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84" t="n"/>
      <c r="P973" s="184" t="n"/>
      <c r="Q973" s="184" t="n"/>
      <c r="R973" s="184" t="n"/>
      <c r="S973" s="184" t="n"/>
      <c r="T973" s="165" t="n"/>
      <c r="U973" s="179" t="n"/>
      <c r="V973" s="179" t="n"/>
      <c r="W973" s="12" t="n"/>
      <c r="X973" s="12" t="n"/>
      <c r="Y973" s="12" t="n"/>
      <c r="Z973" s="12" t="n"/>
    </row>
    <row r="974" ht="45.75" customHeight="1" s="21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84" t="n"/>
      <c r="P974" s="184" t="n"/>
      <c r="Q974" s="184" t="n"/>
      <c r="R974" s="184" t="n"/>
      <c r="S974" s="184" t="n"/>
      <c r="T974" s="165" t="n"/>
      <c r="U974" s="179" t="n"/>
      <c r="V974" s="179" t="n"/>
      <c r="W974" s="12" t="n"/>
      <c r="X974" s="12" t="n"/>
      <c r="Y974" s="12" t="n"/>
      <c r="Z974" s="12" t="n"/>
    </row>
    <row r="975" ht="45.75" customHeight="1" s="21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84" t="n"/>
      <c r="P975" s="184" t="n"/>
      <c r="Q975" s="184" t="n"/>
      <c r="R975" s="184" t="n"/>
      <c r="S975" s="184" t="n"/>
      <c r="T975" s="165" t="n"/>
      <c r="U975" s="179" t="n"/>
      <c r="V975" s="179" t="n"/>
      <c r="W975" s="12" t="n"/>
      <c r="X975" s="12" t="n"/>
      <c r="Y975" s="12" t="n"/>
      <c r="Z975" s="12" t="n"/>
    </row>
    <row r="976" ht="45.75" customHeight="1" s="21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84" t="n"/>
      <c r="P976" s="184" t="n"/>
      <c r="Q976" s="184" t="n"/>
      <c r="R976" s="184" t="n"/>
      <c r="S976" s="184" t="n"/>
      <c r="T976" s="165" t="n"/>
      <c r="U976" s="179" t="n"/>
      <c r="V976" s="179" t="n"/>
      <c r="W976" s="12" t="n"/>
      <c r="X976" s="12" t="n"/>
      <c r="Y976" s="12" t="n"/>
      <c r="Z976" s="12" t="n"/>
    </row>
    <row r="977" ht="45.75" customHeight="1" s="21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84" t="n"/>
      <c r="P977" s="184" t="n"/>
      <c r="Q977" s="184" t="n"/>
      <c r="R977" s="184" t="n"/>
      <c r="S977" s="184" t="n"/>
      <c r="T977" s="165" t="n"/>
      <c r="U977" s="179" t="n"/>
      <c r="V977" s="179" t="n"/>
      <c r="W977" s="12" t="n"/>
      <c r="X977" s="12" t="n"/>
      <c r="Y977" s="12" t="n"/>
      <c r="Z977" s="12" t="n"/>
    </row>
    <row r="978" ht="45.75" customHeight="1" s="21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84" t="n"/>
      <c r="P978" s="184" t="n"/>
      <c r="Q978" s="184" t="n"/>
      <c r="R978" s="184" t="n"/>
      <c r="S978" s="184" t="n"/>
      <c r="T978" s="165" t="n"/>
      <c r="U978" s="179" t="n"/>
      <c r="V978" s="179" t="n"/>
      <c r="W978" s="12" t="n"/>
      <c r="X978" s="12" t="n"/>
      <c r="Y978" s="12" t="n"/>
      <c r="Z978" s="12" t="n"/>
    </row>
    <row r="979" ht="45.75" customHeight="1" s="21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84" t="n"/>
      <c r="P979" s="184" t="n"/>
      <c r="Q979" s="184" t="n"/>
      <c r="R979" s="184" t="n"/>
      <c r="S979" s="184" t="n"/>
      <c r="T979" s="165" t="n"/>
      <c r="U979" s="179" t="n"/>
      <c r="V979" s="179" t="n"/>
      <c r="W979" s="12" t="n"/>
      <c r="X979" s="12" t="n"/>
      <c r="Y979" s="12" t="n"/>
      <c r="Z979" s="12" t="n"/>
    </row>
    <row r="980" ht="45.75" customHeight="1" s="21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84" t="n"/>
      <c r="P980" s="184" t="n"/>
      <c r="Q980" s="184" t="n"/>
      <c r="R980" s="184" t="n"/>
      <c r="S980" s="184" t="n"/>
      <c r="T980" s="165" t="n"/>
      <c r="U980" s="179" t="n"/>
      <c r="V980" s="179" t="n"/>
      <c r="W980" s="12" t="n"/>
      <c r="X980" s="12" t="n"/>
      <c r="Y980" s="12" t="n"/>
      <c r="Z980" s="12" t="n"/>
    </row>
    <row r="981" ht="45.75" customHeight="1" s="21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84" t="n"/>
      <c r="P981" s="184" t="n"/>
      <c r="Q981" s="184" t="n"/>
      <c r="R981" s="184" t="n"/>
      <c r="S981" s="184" t="n"/>
      <c r="T981" s="165" t="n"/>
      <c r="U981" s="179" t="n"/>
      <c r="V981" s="179" t="n"/>
      <c r="W981" s="12" t="n"/>
      <c r="X981" s="12" t="n"/>
      <c r="Y981" s="12" t="n"/>
      <c r="Z981" s="12" t="n"/>
    </row>
    <row r="982" ht="45.75" customHeight="1" s="21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84" t="n"/>
      <c r="P982" s="184" t="n"/>
      <c r="Q982" s="184" t="n"/>
      <c r="R982" s="184" t="n"/>
      <c r="S982" s="184" t="n"/>
      <c r="T982" s="165" t="n"/>
      <c r="U982" s="179" t="n"/>
      <c r="V982" s="179" t="n"/>
      <c r="W982" s="12" t="n"/>
      <c r="X982" s="12" t="n"/>
      <c r="Y982" s="12" t="n"/>
      <c r="Z982" s="12" t="n"/>
    </row>
    <row r="983" ht="45.75" customHeight="1" s="21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84" t="n"/>
      <c r="P983" s="184" t="n"/>
      <c r="Q983" s="184" t="n"/>
      <c r="R983" s="184" t="n"/>
      <c r="S983" s="184" t="n"/>
      <c r="T983" s="165" t="n"/>
      <c r="U983" s="179" t="n"/>
      <c r="V983" s="179" t="n"/>
      <c r="W983" s="12" t="n"/>
      <c r="X983" s="12" t="n"/>
      <c r="Y983" s="12" t="n"/>
      <c r="Z983" s="12" t="n"/>
    </row>
    <row r="984" ht="45.75" customHeight="1" s="21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84" t="n"/>
      <c r="P984" s="184" t="n"/>
      <c r="Q984" s="184" t="n"/>
      <c r="R984" s="184" t="n"/>
      <c r="S984" s="184" t="n"/>
      <c r="T984" s="165" t="n"/>
      <c r="U984" s="179" t="n"/>
      <c r="V984" s="179" t="n"/>
      <c r="W984" s="12" t="n"/>
      <c r="X984" s="12" t="n"/>
      <c r="Y984" s="12" t="n"/>
      <c r="Z984" s="12" t="n"/>
    </row>
    <row r="985" ht="45.75" customHeight="1" s="21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84" t="n"/>
      <c r="P985" s="184" t="n"/>
      <c r="Q985" s="184" t="n"/>
      <c r="R985" s="184" t="n"/>
      <c r="S985" s="184" t="n"/>
      <c r="T985" s="165" t="n"/>
      <c r="U985" s="179" t="n"/>
      <c r="V985" s="179" t="n"/>
      <c r="W985" s="12" t="n"/>
      <c r="X985" s="12" t="n"/>
      <c r="Y985" s="12" t="n"/>
      <c r="Z985" s="12" t="n"/>
    </row>
    <row r="986" ht="45.75" customHeight="1" s="21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84" t="n"/>
      <c r="P986" s="184" t="n"/>
      <c r="Q986" s="184" t="n"/>
      <c r="R986" s="184" t="n"/>
      <c r="S986" s="184" t="n"/>
      <c r="T986" s="165" t="n"/>
      <c r="U986" s="179" t="n"/>
      <c r="V986" s="179" t="n"/>
      <c r="W986" s="12" t="n"/>
      <c r="X986" s="12" t="n"/>
      <c r="Y986" s="12" t="n"/>
      <c r="Z986" s="12" t="n"/>
    </row>
    <row r="987" ht="45.75" customHeight="1" s="21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84" t="n"/>
      <c r="P987" s="184" t="n"/>
      <c r="Q987" s="184" t="n"/>
      <c r="R987" s="184" t="n"/>
      <c r="S987" s="184" t="n"/>
      <c r="T987" s="165" t="n"/>
      <c r="U987" s="179" t="n"/>
      <c r="V987" s="179" t="n"/>
      <c r="W987" s="12" t="n"/>
      <c r="X987" s="12" t="n"/>
      <c r="Y987" s="12" t="n"/>
      <c r="Z987" s="12" t="n"/>
    </row>
    <row r="988" ht="45.75" customHeight="1" s="21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84" t="n"/>
      <c r="P988" s="184" t="n"/>
      <c r="Q988" s="184" t="n"/>
      <c r="R988" s="184" t="n"/>
      <c r="S988" s="184" t="n"/>
      <c r="T988" s="165" t="n"/>
      <c r="U988" s="179" t="n"/>
      <c r="V988" s="179" t="n"/>
      <c r="W988" s="12" t="n"/>
      <c r="X988" s="12" t="n"/>
      <c r="Y988" s="12" t="n"/>
      <c r="Z988" s="12" t="n"/>
    </row>
    <row r="989" ht="45.75" customHeight="1" s="21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84" t="n"/>
      <c r="P989" s="184" t="n"/>
      <c r="Q989" s="184" t="n"/>
      <c r="R989" s="184" t="n"/>
      <c r="S989" s="184" t="n"/>
      <c r="T989" s="165" t="n"/>
      <c r="U989" s="179" t="n"/>
      <c r="V989" s="179" t="n"/>
      <c r="W989" s="12" t="n"/>
      <c r="X989" s="12" t="n"/>
      <c r="Y989" s="12" t="n"/>
      <c r="Z989" s="12" t="n"/>
    </row>
    <row r="990" ht="45.75" customHeight="1" s="21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84" t="n"/>
      <c r="P990" s="184" t="n"/>
      <c r="Q990" s="184" t="n"/>
      <c r="R990" s="184" t="n"/>
      <c r="S990" s="184" t="n"/>
      <c r="T990" s="165" t="n"/>
      <c r="U990" s="179" t="n"/>
      <c r="V990" s="179" t="n"/>
      <c r="W990" s="12" t="n"/>
      <c r="X990" s="12" t="n"/>
      <c r="Y990" s="12" t="n"/>
      <c r="Z990" s="12" t="n"/>
    </row>
    <row r="991" ht="45.75" customHeight="1" s="21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84" t="n"/>
      <c r="P991" s="184" t="n"/>
      <c r="Q991" s="184" t="n"/>
      <c r="R991" s="184" t="n"/>
      <c r="S991" s="184" t="n"/>
      <c r="T991" s="165" t="n"/>
      <c r="U991" s="179" t="n"/>
      <c r="V991" s="179" t="n"/>
      <c r="W991" s="12" t="n"/>
      <c r="X991" s="12" t="n"/>
      <c r="Y991" s="12" t="n"/>
      <c r="Z991" s="12" t="n"/>
    </row>
    <row r="992" ht="45.75" customHeight="1" s="21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84" t="n"/>
      <c r="P992" s="184" t="n"/>
      <c r="Q992" s="184" t="n"/>
      <c r="R992" s="184" t="n"/>
      <c r="S992" s="184" t="n"/>
      <c r="T992" s="165" t="n"/>
      <c r="U992" s="179" t="n"/>
      <c r="V992" s="179" t="n"/>
      <c r="W992" s="12" t="n"/>
      <c r="X992" s="12" t="n"/>
      <c r="Y992" s="12" t="n"/>
      <c r="Z992" s="12" t="n"/>
    </row>
    <row r="993" ht="45.75" customHeight="1" s="21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84" t="n"/>
      <c r="P993" s="184" t="n"/>
      <c r="Q993" s="184" t="n"/>
      <c r="R993" s="184" t="n"/>
      <c r="S993" s="184" t="n"/>
      <c r="T993" s="165" t="n"/>
      <c r="U993" s="179" t="n"/>
      <c r="V993" s="179" t="n"/>
      <c r="W993" s="12" t="n"/>
      <c r="X993" s="12" t="n"/>
      <c r="Y993" s="12" t="n"/>
      <c r="Z993" s="12" t="n"/>
    </row>
    <row r="994" ht="45.75" customHeight="1" s="21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84" t="n"/>
      <c r="P994" s="184" t="n"/>
      <c r="Q994" s="184" t="n"/>
      <c r="R994" s="184" t="n"/>
      <c r="S994" s="184" t="n"/>
      <c r="T994" s="165" t="n"/>
      <c r="U994" s="179" t="n"/>
      <c r="V994" s="179" t="n"/>
      <c r="W994" s="12" t="n"/>
      <c r="X994" s="12" t="n"/>
      <c r="Y994" s="12" t="n"/>
      <c r="Z994" s="12" t="n"/>
    </row>
    <row r="995" ht="45.75" customHeight="1" s="21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84" t="n"/>
      <c r="P995" s="184" t="n"/>
      <c r="Q995" s="184" t="n"/>
      <c r="R995" s="184" t="n"/>
      <c r="S995" s="184" t="n"/>
      <c r="T995" s="165" t="n"/>
      <c r="U995" s="179" t="n"/>
      <c r="V995" s="179" t="n"/>
      <c r="W995" s="12" t="n"/>
      <c r="X995" s="12" t="n"/>
      <c r="Y995" s="12" t="n"/>
      <c r="Z995" s="12" t="n"/>
    </row>
    <row r="996" ht="45.75" customHeight="1" s="21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84" t="n"/>
      <c r="P996" s="184" t="n"/>
      <c r="Q996" s="184" t="n"/>
      <c r="R996" s="184" t="n"/>
      <c r="S996" s="184" t="n"/>
      <c r="T996" s="165" t="n"/>
      <c r="U996" s="179" t="n"/>
      <c r="V996" s="179" t="n"/>
      <c r="W996" s="12" t="n"/>
      <c r="X996" s="12" t="n"/>
      <c r="Y996" s="12" t="n"/>
      <c r="Z996" s="12" t="n"/>
    </row>
    <row r="997" ht="45.75" customHeight="1" s="21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84" t="n"/>
      <c r="P997" s="184" t="n"/>
      <c r="Q997" s="184" t="n"/>
      <c r="R997" s="184" t="n"/>
      <c r="S997" s="184" t="n"/>
      <c r="T997" s="165" t="n"/>
      <c r="U997" s="179" t="n"/>
      <c r="V997" s="179" t="n"/>
      <c r="W997" s="12" t="n"/>
      <c r="X997" s="12" t="n"/>
      <c r="Y997" s="12" t="n"/>
      <c r="Z997" s="12" t="n"/>
    </row>
    <row r="998" ht="45.75" customHeight="1" s="21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84" t="n"/>
      <c r="P998" s="184" t="n"/>
      <c r="Q998" s="184" t="n"/>
      <c r="R998" s="184" t="n"/>
      <c r="S998" s="184" t="n"/>
      <c r="T998" s="165" t="n"/>
      <c r="U998" s="179" t="n"/>
      <c r="V998" s="179" t="n"/>
      <c r="W998" s="12" t="n"/>
      <c r="X998" s="12" t="n"/>
      <c r="Y998" s="12" t="n"/>
      <c r="Z998" s="12" t="n"/>
    </row>
    <row r="999" ht="45.75" customHeight="1" s="21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84" t="n"/>
      <c r="P999" s="184" t="n"/>
      <c r="Q999" s="184" t="n"/>
      <c r="R999" s="184" t="n"/>
      <c r="S999" s="184" t="n"/>
      <c r="T999" s="165" t="n"/>
      <c r="U999" s="179" t="n"/>
      <c r="V999" s="179" t="n"/>
      <c r="W999" s="12" t="n"/>
      <c r="X999" s="12" t="n"/>
      <c r="Y999" s="12" t="n"/>
      <c r="Z999" s="12" t="n"/>
    </row>
    <row r="1000" ht="45.75" customHeight="1" s="21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84" t="n"/>
      <c r="P1000" s="184" t="n"/>
      <c r="Q1000" s="184" t="n"/>
      <c r="R1000" s="184" t="n"/>
      <c r="S1000" s="184" t="n"/>
      <c r="T1000" s="165" t="n"/>
      <c r="U1000" s="179" t="n"/>
      <c r="V1000" s="179" t="n"/>
      <c r="W1000" s="12" t="n"/>
      <c r="X1000" s="12" t="n"/>
      <c r="Y1000" s="12" t="n"/>
      <c r="Z1000" s="12" t="n"/>
    </row>
    <row r="1001" ht="45.75" customHeight="1" s="21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2" t="n"/>
      <c r="O1001" s="184" t="n"/>
      <c r="P1001" s="184" t="n"/>
      <c r="Q1001" s="184" t="n"/>
      <c r="R1001" s="184" t="n"/>
      <c r="S1001" s="184" t="n"/>
      <c r="T1001" s="165" t="n"/>
      <c r="U1001" s="179" t="n"/>
      <c r="V1001" s="179" t="n"/>
      <c r="W1001" s="12" t="n"/>
      <c r="X1001" s="12" t="n"/>
      <c r="Y1001" s="12" t="n"/>
      <c r="Z1001" s="12" t="n"/>
    </row>
    <row r="1002" ht="45.75" customHeight="1" s="211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84" t="n"/>
      <c r="P1002" s="184" t="n"/>
      <c r="Q1002" s="184" t="n"/>
      <c r="R1002" s="184" t="n"/>
      <c r="S1002" s="184" t="n"/>
      <c r="T1002" s="165" t="n"/>
      <c r="U1002" s="179" t="n"/>
      <c r="V1002" s="179" t="n"/>
      <c r="W1002" s="12" t="n"/>
      <c r="X1002" s="12" t="n"/>
      <c r="Y1002" s="12" t="n"/>
      <c r="Z1002" s="12" t="n"/>
    </row>
    <row r="1003" ht="45.75" customHeight="1" s="211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  <c r="L1003" s="12" t="n"/>
      <c r="M1003" s="12" t="n"/>
      <c r="N1003" s="12" t="n"/>
      <c r="O1003" s="184" t="n"/>
      <c r="P1003" s="184" t="n"/>
      <c r="Q1003" s="184" t="n"/>
      <c r="R1003" s="184" t="n"/>
      <c r="S1003" s="184" t="n"/>
      <c r="T1003" s="165" t="n"/>
      <c r="U1003" s="179" t="n"/>
      <c r="V1003" s="179" t="n"/>
      <c r="W1003" s="12" t="n"/>
      <c r="X1003" s="12" t="n"/>
      <c r="Y1003" s="12" t="n"/>
      <c r="Z1003" s="12" t="n"/>
    </row>
    <row r="1004" ht="45.75" customHeight="1" s="211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  <c r="L1004" s="12" t="n"/>
      <c r="M1004" s="12" t="n"/>
      <c r="N1004" s="12" t="n"/>
      <c r="O1004" s="184" t="n"/>
      <c r="P1004" s="184" t="n"/>
      <c r="Q1004" s="184" t="n"/>
      <c r="R1004" s="184" t="n"/>
      <c r="S1004" s="184" t="n"/>
      <c r="T1004" s="165" t="n"/>
      <c r="U1004" s="179" t="n"/>
      <c r="V1004" s="179" t="n"/>
      <c r="W1004" s="12" t="n"/>
      <c r="X1004" s="12" t="n"/>
      <c r="Y1004" s="12" t="n"/>
      <c r="Z1004" s="12" t="n"/>
    </row>
    <row r="1005" ht="45.75" customHeight="1" s="211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2" t="n"/>
      <c r="L1005" s="12" t="n"/>
      <c r="M1005" s="12" t="n"/>
      <c r="N1005" s="12" t="n"/>
      <c r="O1005" s="184" t="n"/>
      <c r="P1005" s="184" t="n"/>
      <c r="Q1005" s="184" t="n"/>
      <c r="R1005" s="184" t="n"/>
      <c r="S1005" s="184" t="n"/>
      <c r="T1005" s="165" t="n"/>
      <c r="U1005" s="179" t="n"/>
      <c r="V1005" s="179" t="n"/>
      <c r="W1005" s="12" t="n"/>
      <c r="X1005" s="12" t="n"/>
      <c r="Y1005" s="12" t="n"/>
      <c r="Z1005" s="12" t="n"/>
    </row>
    <row r="1006" ht="45.75" customHeight="1" s="211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  <c r="L1006" s="12" t="n"/>
      <c r="M1006" s="12" t="n"/>
      <c r="N1006" s="12" t="n"/>
      <c r="O1006" s="184" t="n"/>
      <c r="P1006" s="184" t="n"/>
      <c r="Q1006" s="184" t="n"/>
      <c r="R1006" s="184" t="n"/>
      <c r="S1006" s="184" t="n"/>
      <c r="T1006" s="165" t="n"/>
      <c r="U1006" s="179" t="n"/>
      <c r="V1006" s="179" t="n"/>
      <c r="W1006" s="12" t="n"/>
      <c r="X1006" s="12" t="n"/>
      <c r="Y1006" s="12" t="n"/>
      <c r="Z1006" s="12" t="n"/>
    </row>
    <row r="1007" ht="45.75" customHeight="1" s="211">
      <c r="A1007" s="12" t="n"/>
      <c r="B1007" s="12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2" t="n"/>
      <c r="L1007" s="12" t="n"/>
      <c r="M1007" s="12" t="n"/>
      <c r="N1007" s="12" t="n"/>
      <c r="O1007" s="184" t="n"/>
      <c r="P1007" s="184" t="n"/>
      <c r="Q1007" s="184" t="n"/>
      <c r="R1007" s="184" t="n"/>
      <c r="S1007" s="184" t="n"/>
      <c r="T1007" s="165" t="n"/>
      <c r="U1007" s="179" t="n"/>
      <c r="V1007" s="179" t="n"/>
      <c r="W1007" s="12" t="n"/>
      <c r="X1007" s="12" t="n"/>
      <c r="Y1007" s="12" t="n"/>
      <c r="Z1007" s="12" t="n"/>
    </row>
    <row r="1008" ht="45.75" customHeight="1" s="211">
      <c r="A1008" s="12" t="n"/>
      <c r="B1008" s="12" t="n"/>
      <c r="C1008" s="12" t="n"/>
      <c r="D1008" s="12" t="n"/>
      <c r="E1008" s="12" t="n"/>
      <c r="F1008" s="12" t="n"/>
      <c r="G1008" s="12" t="n"/>
      <c r="H1008" s="12" t="n"/>
      <c r="I1008" s="12" t="n"/>
      <c r="J1008" s="12" t="n"/>
      <c r="K1008" s="12" t="n"/>
      <c r="L1008" s="12" t="n"/>
      <c r="M1008" s="12" t="n"/>
      <c r="N1008" s="12" t="n"/>
      <c r="O1008" s="184" t="n"/>
      <c r="P1008" s="184" t="n"/>
      <c r="Q1008" s="184" t="n"/>
      <c r="R1008" s="184" t="n"/>
      <c r="S1008" s="184" t="n"/>
      <c r="T1008" s="165" t="n"/>
      <c r="U1008" s="179" t="n"/>
      <c r="V1008" s="179" t="n"/>
      <c r="W1008" s="12" t="n"/>
      <c r="X1008" s="12" t="n"/>
      <c r="Y1008" s="12" t="n"/>
      <c r="Z1008" s="12" t="n"/>
    </row>
    <row r="1009" ht="45.75" customHeight="1" s="211">
      <c r="A1009" s="12" t="n"/>
      <c r="B1009" s="12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2" t="n"/>
      <c r="L1009" s="12" t="n"/>
      <c r="M1009" s="12" t="n"/>
      <c r="N1009" s="12" t="n"/>
      <c r="O1009" s="184" t="n"/>
      <c r="P1009" s="184" t="n"/>
      <c r="Q1009" s="184" t="n"/>
      <c r="R1009" s="184" t="n"/>
      <c r="S1009" s="184" t="n"/>
      <c r="T1009" s="165" t="n"/>
      <c r="U1009" s="179" t="n"/>
      <c r="V1009" s="179" t="n"/>
      <c r="W1009" s="12" t="n"/>
      <c r="X1009" s="12" t="n"/>
      <c r="Y1009" s="12" t="n"/>
      <c r="Z1009" s="12" t="n"/>
    </row>
    <row r="1010" ht="45.75" customHeight="1" s="211">
      <c r="A1010" s="12" t="n"/>
      <c r="B1010" s="12" t="n"/>
      <c r="C1010" s="12" t="n"/>
      <c r="D1010" s="12" t="n"/>
      <c r="E1010" s="12" t="n"/>
      <c r="F1010" s="12" t="n"/>
      <c r="G1010" s="12" t="n"/>
      <c r="H1010" s="12" t="n"/>
      <c r="I1010" s="12" t="n"/>
      <c r="J1010" s="12" t="n"/>
      <c r="K1010" s="12" t="n"/>
      <c r="L1010" s="12" t="n"/>
      <c r="M1010" s="12" t="n"/>
      <c r="N1010" s="12" t="n"/>
      <c r="O1010" s="184" t="n"/>
      <c r="P1010" s="184" t="n"/>
      <c r="Q1010" s="184" t="n"/>
      <c r="R1010" s="184" t="n"/>
      <c r="S1010" s="184" t="n"/>
      <c r="T1010" s="165" t="n"/>
      <c r="U1010" s="179" t="n"/>
      <c r="V1010" s="179" t="n"/>
      <c r="W1010" s="12" t="n"/>
      <c r="X1010" s="12" t="n"/>
      <c r="Y1010" s="12" t="n"/>
      <c r="Z1010" s="12" t="n"/>
    </row>
    <row r="1011" ht="45.75" customHeight="1" s="211">
      <c r="A1011" s="12" t="n"/>
      <c r="B1011" s="12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2" t="n"/>
      <c r="L1011" s="12" t="n"/>
      <c r="M1011" s="12" t="n"/>
      <c r="N1011" s="12" t="n"/>
      <c r="O1011" s="184" t="n"/>
      <c r="P1011" s="184" t="n"/>
      <c r="Q1011" s="184" t="n"/>
      <c r="R1011" s="184" t="n"/>
      <c r="S1011" s="184" t="n"/>
      <c r="T1011" s="165" t="n"/>
      <c r="U1011" s="179" t="n"/>
      <c r="V1011" s="179" t="n"/>
      <c r="W1011" s="12" t="n"/>
      <c r="X1011" s="12" t="n"/>
      <c r="Y1011" s="12" t="n"/>
      <c r="Z1011" s="12" t="n"/>
    </row>
    <row r="1012" ht="45.75" customHeight="1" s="211">
      <c r="A1012" s="12" t="n"/>
      <c r="B1012" s="12" t="n"/>
      <c r="C1012" s="12" t="n"/>
      <c r="D1012" s="12" t="n"/>
      <c r="E1012" s="12" t="n"/>
      <c r="F1012" s="12" t="n"/>
      <c r="G1012" s="12" t="n"/>
      <c r="H1012" s="12" t="n"/>
      <c r="I1012" s="12" t="n"/>
      <c r="J1012" s="12" t="n"/>
      <c r="K1012" s="12" t="n"/>
      <c r="L1012" s="12" t="n"/>
      <c r="M1012" s="12" t="n"/>
      <c r="N1012" s="12" t="n"/>
      <c r="O1012" s="184" t="n"/>
      <c r="P1012" s="184" t="n"/>
      <c r="Q1012" s="184" t="n"/>
      <c r="R1012" s="184" t="n"/>
      <c r="S1012" s="184" t="n"/>
      <c r="T1012" s="165" t="n"/>
      <c r="U1012" s="179" t="n"/>
      <c r="V1012" s="179" t="n"/>
      <c r="W1012" s="12" t="n"/>
      <c r="X1012" s="12" t="n"/>
      <c r="Y1012" s="12" t="n"/>
      <c r="Z1012" s="12" t="n"/>
    </row>
    <row r="1013" ht="45.75" customHeight="1" s="211">
      <c r="A1013" s="12" t="n"/>
      <c r="B1013" s="12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2" t="n"/>
      <c r="L1013" s="12" t="n"/>
      <c r="M1013" s="12" t="n"/>
      <c r="N1013" s="12" t="n"/>
      <c r="O1013" s="184" t="n"/>
      <c r="P1013" s="184" t="n"/>
      <c r="Q1013" s="184" t="n"/>
      <c r="R1013" s="184" t="n"/>
      <c r="S1013" s="184" t="n"/>
      <c r="T1013" s="165" t="n"/>
      <c r="U1013" s="179" t="n"/>
      <c r="V1013" s="179" t="n"/>
      <c r="W1013" s="12" t="n"/>
      <c r="X1013" s="12" t="n"/>
      <c r="Y1013" s="12" t="n"/>
      <c r="Z1013" s="12" t="n"/>
    </row>
    <row r="1014" ht="45.75" customHeight="1" s="211">
      <c r="A1014" s="12" t="n"/>
      <c r="B1014" s="12" t="n"/>
      <c r="C1014" s="12" t="n"/>
      <c r="D1014" s="12" t="n"/>
      <c r="E1014" s="12" t="n"/>
      <c r="F1014" s="12" t="n"/>
      <c r="G1014" s="12" t="n"/>
      <c r="H1014" s="12" t="n"/>
      <c r="I1014" s="12" t="n"/>
      <c r="J1014" s="12" t="n"/>
      <c r="K1014" s="12" t="n"/>
      <c r="L1014" s="12" t="n"/>
      <c r="M1014" s="12" t="n"/>
      <c r="N1014" s="12" t="n"/>
      <c r="O1014" s="184" t="n"/>
      <c r="P1014" s="184" t="n"/>
      <c r="Q1014" s="184" t="n"/>
      <c r="R1014" s="184" t="n"/>
      <c r="S1014" s="184" t="n"/>
      <c r="T1014" s="165" t="n"/>
      <c r="U1014" s="179" t="n"/>
      <c r="V1014" s="179" t="n"/>
      <c r="W1014" s="12" t="n"/>
      <c r="X1014" s="12" t="n"/>
      <c r="Y1014" s="12" t="n"/>
      <c r="Z1014" s="12" t="n"/>
    </row>
    <row r="1015" ht="45.75" customHeight="1" s="211">
      <c r="A1015" s="12" t="n"/>
      <c r="B1015" s="12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2" t="n"/>
      <c r="L1015" s="12" t="n"/>
      <c r="M1015" s="12" t="n"/>
      <c r="N1015" s="12" t="n"/>
      <c r="O1015" s="184" t="n"/>
      <c r="P1015" s="184" t="n"/>
      <c r="Q1015" s="184" t="n"/>
      <c r="R1015" s="184" t="n"/>
      <c r="S1015" s="184" t="n"/>
      <c r="T1015" s="165" t="n"/>
      <c r="U1015" s="179" t="n"/>
      <c r="V1015" s="179" t="n"/>
      <c r="W1015" s="12" t="n"/>
      <c r="X1015" s="12" t="n"/>
      <c r="Y1015" s="12" t="n"/>
      <c r="Z1015" s="12" t="n"/>
    </row>
    <row r="1016" ht="45.75" customHeight="1" s="211">
      <c r="A1016" s="12" t="n"/>
      <c r="B1016" s="12" t="n"/>
      <c r="C1016" s="12" t="n"/>
      <c r="D1016" s="12" t="n"/>
      <c r="E1016" s="12" t="n"/>
      <c r="F1016" s="12" t="n"/>
      <c r="G1016" s="12" t="n"/>
      <c r="H1016" s="12" t="n"/>
      <c r="I1016" s="12" t="n"/>
      <c r="J1016" s="12" t="n"/>
      <c r="K1016" s="12" t="n"/>
      <c r="L1016" s="12" t="n"/>
      <c r="M1016" s="12" t="n"/>
      <c r="N1016" s="12" t="n"/>
      <c r="O1016" s="184" t="n"/>
      <c r="P1016" s="184" t="n"/>
      <c r="Q1016" s="184" t="n"/>
      <c r="R1016" s="184" t="n"/>
      <c r="S1016" s="184" t="n"/>
      <c r="T1016" s="165" t="n"/>
      <c r="U1016" s="179" t="n"/>
      <c r="V1016" s="179" t="n"/>
      <c r="W1016" s="12" t="n"/>
      <c r="X1016" s="12" t="n"/>
      <c r="Y1016" s="12" t="n"/>
      <c r="Z1016" s="12" t="n"/>
    </row>
    <row r="1017" ht="45.75" customHeight="1" s="211">
      <c r="A1017" s="12" t="n"/>
      <c r="B1017" s="12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2" t="n"/>
      <c r="L1017" s="12" t="n"/>
      <c r="M1017" s="12" t="n"/>
      <c r="N1017" s="12" t="n"/>
      <c r="O1017" s="184" t="n"/>
      <c r="P1017" s="184" t="n"/>
      <c r="Q1017" s="184" t="n"/>
      <c r="R1017" s="184" t="n"/>
      <c r="S1017" s="184" t="n"/>
      <c r="T1017" s="165" t="n"/>
      <c r="U1017" s="179" t="n"/>
      <c r="V1017" s="179" t="n"/>
      <c r="W1017" s="12" t="n"/>
      <c r="X1017" s="12" t="n"/>
      <c r="Y1017" s="12" t="n"/>
      <c r="Z1017" s="12" t="n"/>
    </row>
    <row r="1018" ht="45.75" customHeight="1" s="211">
      <c r="A1018" s="12" t="n"/>
      <c r="B1018" s="12" t="n"/>
      <c r="C1018" s="12" t="n"/>
      <c r="D1018" s="12" t="n"/>
      <c r="E1018" s="12" t="n"/>
      <c r="F1018" s="12" t="n"/>
      <c r="G1018" s="12" t="n"/>
      <c r="H1018" s="12" t="n"/>
      <c r="I1018" s="12" t="n"/>
      <c r="J1018" s="12" t="n"/>
      <c r="K1018" s="12" t="n"/>
      <c r="L1018" s="12" t="n"/>
      <c r="M1018" s="12" t="n"/>
      <c r="N1018" s="12" t="n"/>
      <c r="O1018" s="184" t="n"/>
      <c r="P1018" s="184" t="n"/>
      <c r="Q1018" s="184" t="n"/>
      <c r="R1018" s="184" t="n"/>
      <c r="S1018" s="184" t="n"/>
      <c r="T1018" s="165" t="n"/>
      <c r="U1018" s="179" t="n"/>
      <c r="V1018" s="179" t="n"/>
      <c r="W1018" s="12" t="n"/>
      <c r="X1018" s="12" t="n"/>
      <c r="Y1018" s="12" t="n"/>
      <c r="Z1018" s="12" t="n"/>
    </row>
    <row r="1019" ht="45.75" customHeight="1" s="211">
      <c r="A1019" s="12" t="n"/>
      <c r="B1019" s="12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2" t="n"/>
      <c r="L1019" s="12" t="n"/>
      <c r="M1019" s="12" t="n"/>
      <c r="N1019" s="12" t="n"/>
      <c r="O1019" s="184" t="n"/>
      <c r="P1019" s="184" t="n"/>
      <c r="Q1019" s="184" t="n"/>
      <c r="R1019" s="184" t="n"/>
      <c r="S1019" s="184" t="n"/>
      <c r="T1019" s="165" t="n"/>
      <c r="U1019" s="179" t="n"/>
      <c r="V1019" s="179" t="n"/>
      <c r="W1019" s="12" t="n"/>
      <c r="X1019" s="12" t="n"/>
      <c r="Y1019" s="12" t="n"/>
      <c r="Z1019" s="12" t="n"/>
    </row>
    <row r="1020" ht="45.75" customHeight="1" s="211">
      <c r="A1020" s="12" t="n"/>
      <c r="B1020" s="12" t="n"/>
      <c r="C1020" s="12" t="n"/>
      <c r="D1020" s="12" t="n"/>
      <c r="E1020" s="12" t="n"/>
      <c r="F1020" s="12" t="n"/>
      <c r="G1020" s="12" t="n"/>
      <c r="H1020" s="12" t="n"/>
      <c r="I1020" s="12" t="n"/>
      <c r="J1020" s="12" t="n"/>
      <c r="K1020" s="12" t="n"/>
      <c r="L1020" s="12" t="n"/>
      <c r="M1020" s="12" t="n"/>
      <c r="N1020" s="12" t="n"/>
      <c r="O1020" s="184" t="n"/>
      <c r="P1020" s="184" t="n"/>
      <c r="Q1020" s="184" t="n"/>
      <c r="R1020" s="184" t="n"/>
      <c r="S1020" s="184" t="n"/>
      <c r="T1020" s="165" t="n"/>
      <c r="U1020" s="179" t="n"/>
      <c r="V1020" s="179" t="n"/>
      <c r="W1020" s="12" t="n"/>
      <c r="X1020" s="12" t="n"/>
      <c r="Y1020" s="12" t="n"/>
      <c r="Z1020" s="12" t="n"/>
    </row>
    <row r="1021" ht="45.75" customHeight="1" s="211">
      <c r="A1021" s="12" t="n"/>
      <c r="B1021" s="12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2" t="n"/>
      <c r="L1021" s="12" t="n"/>
      <c r="M1021" s="12" t="n"/>
      <c r="N1021" s="12" t="n"/>
      <c r="O1021" s="184" t="n"/>
      <c r="P1021" s="184" t="n"/>
      <c r="Q1021" s="184" t="n"/>
      <c r="R1021" s="184" t="n"/>
      <c r="S1021" s="184" t="n"/>
      <c r="T1021" s="165" t="n"/>
      <c r="U1021" s="179" t="n"/>
      <c r="V1021" s="179" t="n"/>
      <c r="W1021" s="12" t="n"/>
      <c r="X1021" s="12" t="n"/>
      <c r="Y1021" s="12" t="n"/>
      <c r="Z1021" s="12" t="n"/>
    </row>
    <row r="1022" ht="45.75" customHeight="1" s="211">
      <c r="A1022" s="12" t="n"/>
      <c r="B1022" s="12" t="n"/>
      <c r="C1022" s="12" t="n"/>
      <c r="D1022" s="12" t="n"/>
      <c r="E1022" s="12" t="n"/>
      <c r="F1022" s="12" t="n"/>
      <c r="G1022" s="12" t="n"/>
      <c r="H1022" s="12" t="n"/>
      <c r="I1022" s="12" t="n"/>
      <c r="J1022" s="12" t="n"/>
      <c r="K1022" s="12" t="n"/>
      <c r="L1022" s="12" t="n"/>
      <c r="M1022" s="12" t="n"/>
      <c r="N1022" s="12" t="n"/>
      <c r="O1022" s="184" t="n"/>
      <c r="P1022" s="184" t="n"/>
      <c r="Q1022" s="184" t="n"/>
      <c r="R1022" s="184" t="n"/>
      <c r="S1022" s="184" t="n"/>
      <c r="T1022" s="165" t="n"/>
      <c r="U1022" s="179" t="n"/>
      <c r="V1022" s="179" t="n"/>
      <c r="W1022" s="12" t="n"/>
      <c r="X1022" s="12" t="n"/>
      <c r="Y1022" s="12" t="n"/>
      <c r="Z1022" s="12" t="n"/>
    </row>
    <row r="1023" ht="45.75" customHeight="1" s="211">
      <c r="A1023" s="12" t="n"/>
      <c r="B1023" s="12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2" t="n"/>
      <c r="L1023" s="12" t="n"/>
      <c r="M1023" s="12" t="n"/>
      <c r="N1023" s="12" t="n"/>
      <c r="O1023" s="184" t="n"/>
      <c r="P1023" s="184" t="n"/>
      <c r="Q1023" s="184" t="n"/>
      <c r="R1023" s="184" t="n"/>
      <c r="S1023" s="184" t="n"/>
      <c r="T1023" s="165" t="n"/>
      <c r="U1023" s="179" t="n"/>
      <c r="V1023" s="179" t="n"/>
      <c r="W1023" s="12" t="n"/>
      <c r="X1023" s="12" t="n"/>
      <c r="Y1023" s="12" t="n"/>
      <c r="Z1023" s="12" t="n"/>
    </row>
    <row r="1024" ht="45.75" customHeight="1" s="211">
      <c r="A1024" s="12" t="n"/>
      <c r="B1024" s="12" t="n"/>
      <c r="C1024" s="12" t="n"/>
      <c r="D1024" s="12" t="n"/>
      <c r="E1024" s="12" t="n"/>
      <c r="F1024" s="12" t="n"/>
      <c r="G1024" s="12" t="n"/>
      <c r="H1024" s="12" t="n"/>
      <c r="I1024" s="12" t="n"/>
      <c r="J1024" s="12" t="n"/>
      <c r="K1024" s="12" t="n"/>
      <c r="L1024" s="12" t="n"/>
      <c r="M1024" s="12" t="n"/>
      <c r="N1024" s="12" t="n"/>
      <c r="O1024" s="184" t="n"/>
      <c r="P1024" s="184" t="n"/>
      <c r="Q1024" s="184" t="n"/>
      <c r="R1024" s="184" t="n"/>
      <c r="S1024" s="184" t="n"/>
      <c r="T1024" s="165" t="n"/>
      <c r="U1024" s="179" t="n"/>
      <c r="V1024" s="179" t="n"/>
      <c r="W1024" s="12" t="n"/>
      <c r="X1024" s="12" t="n"/>
      <c r="Y1024" s="12" t="n"/>
      <c r="Z1024" s="12" t="n"/>
    </row>
    <row r="1025" ht="45.75" customHeight="1" s="211">
      <c r="A1025" s="12" t="n"/>
      <c r="B1025" s="12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2" t="n"/>
      <c r="L1025" s="12" t="n"/>
      <c r="M1025" s="12" t="n"/>
      <c r="N1025" s="12" t="n"/>
      <c r="O1025" s="184" t="n"/>
      <c r="P1025" s="184" t="n"/>
      <c r="Q1025" s="184" t="n"/>
      <c r="R1025" s="184" t="n"/>
      <c r="S1025" s="184" t="n"/>
      <c r="T1025" s="165" t="n"/>
      <c r="U1025" s="179" t="n"/>
      <c r="V1025" s="179" t="n"/>
      <c r="W1025" s="12" t="n"/>
      <c r="X1025" s="12" t="n"/>
      <c r="Y1025" s="12" t="n"/>
      <c r="Z1025" s="12" t="n"/>
    </row>
    <row r="1026" ht="45.75" customHeight="1" s="211">
      <c r="A1026" s="12" t="n"/>
      <c r="B1026" s="12" t="n"/>
      <c r="C1026" s="12" t="n"/>
      <c r="D1026" s="12" t="n"/>
      <c r="E1026" s="12" t="n"/>
      <c r="F1026" s="12" t="n"/>
      <c r="G1026" s="12" t="n"/>
      <c r="H1026" s="12" t="n"/>
      <c r="I1026" s="12" t="n"/>
      <c r="J1026" s="12" t="n"/>
      <c r="K1026" s="12" t="n"/>
      <c r="L1026" s="12" t="n"/>
      <c r="M1026" s="12" t="n"/>
      <c r="N1026" s="12" t="n"/>
      <c r="O1026" s="184" t="n"/>
      <c r="P1026" s="184" t="n"/>
      <c r="Q1026" s="184" t="n"/>
      <c r="R1026" s="184" t="n"/>
      <c r="S1026" s="184" t="n"/>
      <c r="T1026" s="165" t="n"/>
      <c r="U1026" s="179" t="n"/>
      <c r="V1026" s="179" t="n"/>
      <c r="W1026" s="12" t="n"/>
      <c r="X1026" s="12" t="n"/>
      <c r="Y1026" s="12" t="n"/>
      <c r="Z1026" s="12" t="n"/>
    </row>
    <row r="1027" ht="45.75" customHeight="1" s="211">
      <c r="A1027" s="12" t="n"/>
      <c r="B1027" s="12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2" t="n"/>
      <c r="L1027" s="12" t="n"/>
      <c r="M1027" s="12" t="n"/>
      <c r="N1027" s="12" t="n"/>
      <c r="O1027" s="184" t="n"/>
      <c r="P1027" s="184" t="n"/>
      <c r="Q1027" s="184" t="n"/>
      <c r="R1027" s="184" t="n"/>
      <c r="S1027" s="184" t="n"/>
      <c r="T1027" s="165" t="n"/>
      <c r="U1027" s="179" t="n"/>
      <c r="V1027" s="179" t="n"/>
      <c r="W1027" s="12" t="n"/>
      <c r="X1027" s="12" t="n"/>
      <c r="Y1027" s="12" t="n"/>
      <c r="Z1027" s="12" t="n"/>
    </row>
    <row r="1028" ht="45.75" customHeight="1" s="211">
      <c r="A1028" s="12" t="n"/>
      <c r="B1028" s="12" t="n"/>
      <c r="C1028" s="12" t="n"/>
      <c r="D1028" s="12" t="n"/>
      <c r="E1028" s="12" t="n"/>
      <c r="F1028" s="12" t="n"/>
      <c r="G1028" s="12" t="n"/>
      <c r="H1028" s="12" t="n"/>
      <c r="I1028" s="12" t="n"/>
      <c r="J1028" s="12" t="n"/>
      <c r="K1028" s="12" t="n"/>
      <c r="L1028" s="12" t="n"/>
      <c r="M1028" s="12" t="n"/>
      <c r="N1028" s="12" t="n"/>
      <c r="O1028" s="184" t="n"/>
      <c r="P1028" s="184" t="n"/>
      <c r="Q1028" s="184" t="n"/>
      <c r="R1028" s="184" t="n"/>
      <c r="S1028" s="184" t="n"/>
      <c r="T1028" s="165" t="n"/>
      <c r="U1028" s="179" t="n"/>
      <c r="V1028" s="179" t="n"/>
      <c r="W1028" s="12" t="n"/>
      <c r="X1028" s="12" t="n"/>
      <c r="Y1028" s="12" t="n"/>
      <c r="Z1028" s="12" t="n"/>
    </row>
    <row r="1029" ht="45.75" customHeight="1" s="211">
      <c r="A1029" s="12" t="n"/>
      <c r="B1029" s="12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2" t="n"/>
      <c r="L1029" s="12" t="n"/>
      <c r="M1029" s="12" t="n"/>
      <c r="N1029" s="12" t="n"/>
      <c r="O1029" s="184" t="n"/>
      <c r="P1029" s="184" t="n"/>
      <c r="Q1029" s="184" t="n"/>
      <c r="R1029" s="184" t="n"/>
      <c r="S1029" s="184" t="n"/>
      <c r="T1029" s="165" t="n"/>
      <c r="U1029" s="179" t="n"/>
      <c r="V1029" s="179" t="n"/>
      <c r="W1029" s="12" t="n"/>
      <c r="X1029" s="12" t="n"/>
      <c r="Y1029" s="12" t="n"/>
      <c r="Z1029" s="12" t="n"/>
    </row>
    <row r="1030" ht="45.75" customHeight="1" s="211">
      <c r="A1030" s="12" t="n"/>
      <c r="B1030" s="12" t="n"/>
      <c r="C1030" s="12" t="n"/>
      <c r="D1030" s="12" t="n"/>
      <c r="E1030" s="12" t="n"/>
      <c r="F1030" s="12" t="n"/>
      <c r="G1030" s="12" t="n"/>
      <c r="H1030" s="12" t="n"/>
      <c r="I1030" s="12" t="n"/>
      <c r="J1030" s="12" t="n"/>
      <c r="K1030" s="12" t="n"/>
      <c r="L1030" s="12" t="n"/>
      <c r="M1030" s="12" t="n"/>
      <c r="N1030" s="12" t="n"/>
      <c r="O1030" s="184" t="n"/>
      <c r="P1030" s="184" t="n"/>
      <c r="Q1030" s="184" t="n"/>
      <c r="R1030" s="184" t="n"/>
      <c r="S1030" s="184" t="n"/>
      <c r="T1030" s="165" t="n"/>
      <c r="U1030" s="179" t="n"/>
      <c r="V1030" s="179" t="n"/>
      <c r="W1030" s="12" t="n"/>
      <c r="X1030" s="12" t="n"/>
      <c r="Y1030" s="12" t="n"/>
      <c r="Z1030" s="12" t="n"/>
    </row>
    <row r="1031" ht="45.75" customHeight="1" s="211">
      <c r="A1031" s="12" t="n"/>
      <c r="B1031" s="12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2" t="n"/>
      <c r="L1031" s="12" t="n"/>
      <c r="M1031" s="12" t="n"/>
      <c r="N1031" s="12" t="n"/>
      <c r="O1031" s="184" t="n"/>
      <c r="P1031" s="184" t="n"/>
      <c r="Q1031" s="184" t="n"/>
      <c r="R1031" s="184" t="n"/>
      <c r="S1031" s="184" t="n"/>
      <c r="T1031" s="165" t="n"/>
      <c r="U1031" s="179" t="n"/>
      <c r="V1031" s="179" t="n"/>
      <c r="W1031" s="12" t="n"/>
      <c r="X1031" s="12" t="n"/>
      <c r="Y1031" s="12" t="n"/>
      <c r="Z1031" s="12" t="n"/>
    </row>
    <row r="1032" ht="45.75" customHeight="1" s="211">
      <c r="A1032" s="12" t="n"/>
      <c r="B1032" s="12" t="n"/>
      <c r="C1032" s="12" t="n"/>
      <c r="D1032" s="12" t="n"/>
      <c r="E1032" s="12" t="n"/>
      <c r="F1032" s="12" t="n"/>
      <c r="G1032" s="12" t="n"/>
      <c r="H1032" s="12" t="n"/>
      <c r="I1032" s="12" t="n"/>
      <c r="J1032" s="12" t="n"/>
      <c r="K1032" s="12" t="n"/>
      <c r="L1032" s="12" t="n"/>
      <c r="M1032" s="12" t="n"/>
      <c r="N1032" s="12" t="n"/>
      <c r="O1032" s="184" t="n"/>
      <c r="P1032" s="184" t="n"/>
      <c r="Q1032" s="184" t="n"/>
      <c r="R1032" s="184" t="n"/>
      <c r="S1032" s="184" t="n"/>
      <c r="T1032" s="165" t="n"/>
      <c r="U1032" s="179" t="n"/>
      <c r="V1032" s="179" t="n"/>
      <c r="W1032" s="12" t="n"/>
      <c r="X1032" s="12" t="n"/>
      <c r="Y1032" s="12" t="n"/>
      <c r="Z1032" s="12" t="n"/>
    </row>
    <row r="1033" ht="45.75" customHeight="1" s="211">
      <c r="A1033" s="12" t="n"/>
      <c r="B1033" s="12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2" t="n"/>
      <c r="L1033" s="12" t="n"/>
      <c r="M1033" s="12" t="n"/>
      <c r="N1033" s="12" t="n"/>
      <c r="O1033" s="184" t="n"/>
      <c r="P1033" s="184" t="n"/>
      <c r="Q1033" s="184" t="n"/>
      <c r="R1033" s="184" t="n"/>
      <c r="S1033" s="184" t="n"/>
      <c r="T1033" s="165" t="n"/>
      <c r="U1033" s="179" t="n"/>
      <c r="V1033" s="179" t="n"/>
      <c r="W1033" s="12" t="n"/>
      <c r="X1033" s="12" t="n"/>
      <c r="Y1033" s="12" t="n"/>
      <c r="Z1033" s="12" t="n"/>
    </row>
    <row r="1034" ht="45.75" customHeight="1" s="211">
      <c r="A1034" s="12" t="n"/>
      <c r="B1034" s="12" t="n"/>
      <c r="C1034" s="12" t="n"/>
      <c r="D1034" s="12" t="n"/>
      <c r="E1034" s="12" t="n"/>
      <c r="F1034" s="12" t="n"/>
      <c r="G1034" s="12" t="n"/>
      <c r="H1034" s="12" t="n"/>
      <c r="I1034" s="12" t="n"/>
      <c r="J1034" s="12" t="n"/>
      <c r="K1034" s="12" t="n"/>
      <c r="L1034" s="12" t="n"/>
      <c r="M1034" s="12" t="n"/>
      <c r="N1034" s="12" t="n"/>
      <c r="O1034" s="184" t="n"/>
      <c r="P1034" s="184" t="n"/>
      <c r="Q1034" s="184" t="n"/>
      <c r="R1034" s="184" t="n"/>
      <c r="S1034" s="184" t="n"/>
      <c r="T1034" s="165" t="n"/>
      <c r="U1034" s="179" t="n"/>
      <c r="V1034" s="179" t="n"/>
      <c r="W1034" s="12" t="n"/>
      <c r="X1034" s="12" t="n"/>
      <c r="Y1034" s="12" t="n"/>
      <c r="Z1034" s="12" t="n"/>
    </row>
    <row r="1035" ht="45.75" customHeight="1" s="211">
      <c r="A1035" s="12" t="n"/>
      <c r="B1035" s="12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2" t="n"/>
      <c r="L1035" s="12" t="n"/>
      <c r="M1035" s="12" t="n"/>
      <c r="N1035" s="12" t="n"/>
      <c r="O1035" s="184" t="n"/>
      <c r="P1035" s="184" t="n"/>
      <c r="Q1035" s="184" t="n"/>
      <c r="R1035" s="184" t="n"/>
      <c r="S1035" s="184" t="n"/>
      <c r="T1035" s="165" t="n"/>
      <c r="U1035" s="179" t="n"/>
      <c r="V1035" s="179" t="n"/>
      <c r="W1035" s="12" t="n"/>
      <c r="X1035" s="12" t="n"/>
      <c r="Y1035" s="12" t="n"/>
      <c r="Z1035" s="12" t="n"/>
    </row>
    <row r="1036" ht="45.75" customHeight="1" s="211">
      <c r="A1036" s="12" t="n"/>
      <c r="B1036" s="12" t="n"/>
      <c r="C1036" s="12" t="n"/>
      <c r="D1036" s="12" t="n"/>
      <c r="E1036" s="12" t="n"/>
      <c r="F1036" s="12" t="n"/>
      <c r="G1036" s="12" t="n"/>
      <c r="H1036" s="12" t="n"/>
      <c r="I1036" s="12" t="n"/>
      <c r="J1036" s="12" t="n"/>
      <c r="K1036" s="12" t="n"/>
      <c r="L1036" s="12" t="n"/>
      <c r="M1036" s="12" t="n"/>
      <c r="N1036" s="12" t="n"/>
      <c r="O1036" s="184" t="n"/>
      <c r="P1036" s="184" t="n"/>
      <c r="Q1036" s="184" t="n"/>
      <c r="R1036" s="184" t="n"/>
      <c r="S1036" s="184" t="n"/>
      <c r="T1036" s="165" t="n"/>
      <c r="U1036" s="179" t="n"/>
      <c r="V1036" s="179" t="n"/>
      <c r="W1036" s="12" t="n"/>
      <c r="X1036" s="12" t="n"/>
      <c r="Y1036" s="12" t="n"/>
      <c r="Z1036" s="12" t="n"/>
    </row>
    <row r="1037" ht="45.75" customHeight="1" s="211">
      <c r="A1037" s="12" t="n"/>
      <c r="B1037" s="12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2" t="n"/>
      <c r="L1037" s="12" t="n"/>
      <c r="M1037" s="12" t="n"/>
      <c r="N1037" s="12" t="n"/>
      <c r="O1037" s="184" t="n"/>
      <c r="P1037" s="184" t="n"/>
      <c r="Q1037" s="184" t="n"/>
      <c r="R1037" s="184" t="n"/>
      <c r="S1037" s="184" t="n"/>
      <c r="T1037" s="165" t="n"/>
      <c r="U1037" s="179" t="n"/>
      <c r="V1037" s="179" t="n"/>
      <c r="W1037" s="12" t="n"/>
      <c r="X1037" s="12" t="n"/>
      <c r="Y1037" s="12" t="n"/>
      <c r="Z1037" s="12" t="n"/>
    </row>
    <row r="1038" ht="45.75" customHeight="1" s="211">
      <c r="A1038" s="12" t="n"/>
      <c r="B1038" s="12" t="n"/>
      <c r="C1038" s="12" t="n"/>
      <c r="D1038" s="12" t="n"/>
      <c r="E1038" s="12" t="n"/>
      <c r="F1038" s="12" t="n"/>
      <c r="G1038" s="12" t="n"/>
      <c r="H1038" s="12" t="n"/>
      <c r="I1038" s="12" t="n"/>
      <c r="J1038" s="12" t="n"/>
      <c r="K1038" s="12" t="n"/>
      <c r="L1038" s="12" t="n"/>
      <c r="M1038" s="12" t="n"/>
      <c r="N1038" s="12" t="n"/>
      <c r="O1038" s="184" t="n"/>
      <c r="P1038" s="184" t="n"/>
      <c r="Q1038" s="184" t="n"/>
      <c r="R1038" s="184" t="n"/>
      <c r="S1038" s="184" t="n"/>
      <c r="T1038" s="165" t="n"/>
      <c r="U1038" s="179" t="n"/>
      <c r="V1038" s="179" t="n"/>
      <c r="W1038" s="12" t="n"/>
      <c r="X1038" s="12" t="n"/>
      <c r="Y1038" s="12" t="n"/>
      <c r="Z1038" s="12" t="n"/>
    </row>
    <row r="1039" ht="45.75" customHeight="1" s="211">
      <c r="A1039" s="12" t="n"/>
      <c r="B1039" s="12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2" t="n"/>
      <c r="L1039" s="12" t="n"/>
      <c r="M1039" s="12" t="n"/>
      <c r="N1039" s="12" t="n"/>
      <c r="O1039" s="184" t="n"/>
      <c r="P1039" s="184" t="n"/>
      <c r="Q1039" s="184" t="n"/>
      <c r="R1039" s="184" t="n"/>
      <c r="S1039" s="184" t="n"/>
      <c r="T1039" s="165" t="n"/>
      <c r="U1039" s="179" t="n"/>
      <c r="V1039" s="179" t="n"/>
      <c r="W1039" s="12" t="n"/>
      <c r="X1039" s="12" t="n"/>
      <c r="Y1039" s="12" t="n"/>
      <c r="Z1039" s="12" t="n"/>
    </row>
    <row r="1040" ht="45.75" customHeight="1" s="211">
      <c r="A1040" s="12" t="n"/>
      <c r="B1040" s="12" t="n"/>
      <c r="C1040" s="12" t="n"/>
      <c r="D1040" s="12" t="n"/>
      <c r="E1040" s="12" t="n"/>
      <c r="F1040" s="12" t="n"/>
      <c r="G1040" s="12" t="n"/>
      <c r="H1040" s="12" t="n"/>
      <c r="I1040" s="12" t="n"/>
      <c r="J1040" s="12" t="n"/>
      <c r="K1040" s="12" t="n"/>
      <c r="L1040" s="12" t="n"/>
      <c r="M1040" s="12" t="n"/>
      <c r="N1040" s="12" t="n"/>
      <c r="O1040" s="184" t="n"/>
      <c r="P1040" s="184" t="n"/>
      <c r="Q1040" s="184" t="n"/>
      <c r="R1040" s="184" t="n"/>
      <c r="S1040" s="184" t="n"/>
      <c r="T1040" s="165" t="n"/>
      <c r="U1040" s="179" t="n"/>
      <c r="V1040" s="179" t="n"/>
      <c r="W1040" s="12" t="n"/>
      <c r="X1040" s="12" t="n"/>
      <c r="Y1040" s="12" t="n"/>
      <c r="Z1040" s="12" t="n"/>
    </row>
    <row r="1041" ht="45.75" customHeight="1" s="211">
      <c r="A1041" s="12" t="n"/>
      <c r="B1041" s="12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2" t="n"/>
      <c r="L1041" s="12" t="n"/>
      <c r="M1041" s="12" t="n"/>
      <c r="N1041" s="12" t="n"/>
      <c r="O1041" s="184" t="n"/>
      <c r="P1041" s="184" t="n"/>
      <c r="Q1041" s="184" t="n"/>
      <c r="R1041" s="184" t="n"/>
      <c r="S1041" s="184" t="n"/>
      <c r="T1041" s="165" t="n"/>
      <c r="U1041" s="179" t="n"/>
      <c r="V1041" s="179" t="n"/>
      <c r="W1041" s="12" t="n"/>
      <c r="X1041" s="12" t="n"/>
      <c r="Y1041" s="12" t="n"/>
      <c r="Z1041" s="12" t="n"/>
    </row>
    <row r="1042" ht="45.75" customHeight="1" s="211">
      <c r="A1042" s="12" t="n"/>
      <c r="B1042" s="12" t="n"/>
      <c r="C1042" s="12" t="n"/>
      <c r="D1042" s="12" t="n"/>
      <c r="E1042" s="12" t="n"/>
      <c r="F1042" s="12" t="n"/>
      <c r="G1042" s="12" t="n"/>
      <c r="H1042" s="12" t="n"/>
      <c r="I1042" s="12" t="n"/>
      <c r="J1042" s="12" t="n"/>
      <c r="K1042" s="12" t="n"/>
      <c r="L1042" s="12" t="n"/>
      <c r="M1042" s="12" t="n"/>
      <c r="N1042" s="12" t="n"/>
      <c r="O1042" s="184" t="n"/>
      <c r="P1042" s="184" t="n"/>
      <c r="Q1042" s="184" t="n"/>
      <c r="R1042" s="184" t="n"/>
      <c r="S1042" s="184" t="n"/>
      <c r="T1042" s="165" t="n"/>
      <c r="U1042" s="179" t="n"/>
      <c r="V1042" s="179" t="n"/>
      <c r="W1042" s="12" t="n"/>
      <c r="X1042" s="12" t="n"/>
      <c r="Y1042" s="12" t="n"/>
      <c r="Z1042" s="12" t="n"/>
    </row>
    <row r="1043" ht="45.75" customHeight="1" s="211">
      <c r="A1043" s="12" t="n"/>
      <c r="B1043" s="12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2" t="n"/>
      <c r="L1043" s="12" t="n"/>
      <c r="M1043" s="12" t="n"/>
      <c r="N1043" s="12" t="n"/>
      <c r="O1043" s="184" t="n"/>
      <c r="P1043" s="184" t="n"/>
      <c r="Q1043" s="184" t="n"/>
      <c r="R1043" s="184" t="n"/>
      <c r="S1043" s="184" t="n"/>
      <c r="T1043" s="165" t="n"/>
      <c r="U1043" s="179" t="n"/>
      <c r="V1043" s="179" t="n"/>
      <c r="W1043" s="12" t="n"/>
      <c r="X1043" s="12" t="n"/>
      <c r="Y1043" s="12" t="n"/>
      <c r="Z1043" s="12" t="n"/>
    </row>
    <row r="1044" ht="45.75" customHeight="1" s="211">
      <c r="A1044" s="12" t="n"/>
      <c r="B1044" s="12" t="n"/>
      <c r="C1044" s="12" t="n"/>
      <c r="D1044" s="12" t="n"/>
      <c r="E1044" s="12" t="n"/>
      <c r="F1044" s="12" t="n"/>
      <c r="G1044" s="12" t="n"/>
      <c r="H1044" s="12" t="n"/>
      <c r="I1044" s="12" t="n"/>
      <c r="J1044" s="12" t="n"/>
      <c r="K1044" s="12" t="n"/>
      <c r="L1044" s="12" t="n"/>
      <c r="M1044" s="12" t="n"/>
      <c r="N1044" s="12" t="n"/>
      <c r="O1044" s="184" t="n"/>
      <c r="P1044" s="184" t="n"/>
      <c r="Q1044" s="184" t="n"/>
      <c r="R1044" s="184" t="n"/>
      <c r="S1044" s="184" t="n"/>
      <c r="T1044" s="165" t="n"/>
      <c r="U1044" s="179" t="n"/>
      <c r="V1044" s="179" t="n"/>
      <c r="W1044" s="12" t="n"/>
      <c r="X1044" s="12" t="n"/>
      <c r="Y1044" s="12" t="n"/>
      <c r="Z1044" s="12" t="n"/>
    </row>
    <row r="1045" ht="45.75" customHeight="1" s="211">
      <c r="A1045" s="12" t="n"/>
      <c r="B1045" s="12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2" t="n"/>
      <c r="L1045" s="12" t="n"/>
      <c r="M1045" s="12" t="n"/>
      <c r="N1045" s="12" t="n"/>
      <c r="O1045" s="184" t="n"/>
      <c r="P1045" s="184" t="n"/>
      <c r="Q1045" s="184" t="n"/>
      <c r="R1045" s="184" t="n"/>
      <c r="S1045" s="184" t="n"/>
      <c r="T1045" s="165" t="n"/>
      <c r="U1045" s="179" t="n"/>
      <c r="V1045" s="179" t="n"/>
      <c r="W1045" s="12" t="n"/>
      <c r="X1045" s="12" t="n"/>
      <c r="Y1045" s="12" t="n"/>
      <c r="Z1045" s="12" t="n"/>
    </row>
    <row r="1046" ht="45.75" customHeight="1" s="211">
      <c r="A1046" s="12" t="n"/>
      <c r="B1046" s="12" t="n"/>
      <c r="C1046" s="12" t="n"/>
      <c r="D1046" s="12" t="n"/>
      <c r="E1046" s="12" t="n"/>
      <c r="F1046" s="12" t="n"/>
      <c r="G1046" s="12" t="n"/>
      <c r="H1046" s="12" t="n"/>
      <c r="I1046" s="12" t="n"/>
      <c r="J1046" s="12" t="n"/>
      <c r="K1046" s="12" t="n"/>
      <c r="L1046" s="12" t="n"/>
      <c r="M1046" s="12" t="n"/>
      <c r="N1046" s="12" t="n"/>
      <c r="O1046" s="184" t="n"/>
      <c r="P1046" s="184" t="n"/>
      <c r="Q1046" s="184" t="n"/>
      <c r="R1046" s="184" t="n"/>
      <c r="S1046" s="184" t="n"/>
      <c r="T1046" s="165" t="n"/>
      <c r="U1046" s="179" t="n"/>
      <c r="V1046" s="179" t="n"/>
      <c r="W1046" s="12" t="n"/>
      <c r="X1046" s="12" t="n"/>
      <c r="Y1046" s="12" t="n"/>
      <c r="Z1046" s="12" t="n"/>
    </row>
    <row r="1047" ht="45.75" customHeight="1" s="211">
      <c r="A1047" s="12" t="n"/>
      <c r="B1047" s="12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2" t="n"/>
      <c r="L1047" s="12" t="n"/>
      <c r="M1047" s="12" t="n"/>
      <c r="N1047" s="12" t="n"/>
      <c r="O1047" s="184" t="n"/>
      <c r="P1047" s="184" t="n"/>
      <c r="Q1047" s="184" t="n"/>
      <c r="R1047" s="184" t="n"/>
      <c r="S1047" s="184" t="n"/>
      <c r="T1047" s="165" t="n"/>
      <c r="U1047" s="179" t="n"/>
      <c r="V1047" s="179" t="n"/>
      <c r="W1047" s="12" t="n"/>
      <c r="X1047" s="12" t="n"/>
      <c r="Y1047" s="12" t="n"/>
      <c r="Z1047" s="12" t="n"/>
    </row>
    <row r="1048" ht="45.75" customHeight="1" s="211">
      <c r="A1048" s="12" t="n"/>
      <c r="B1048" s="12" t="n"/>
      <c r="C1048" s="12" t="n"/>
      <c r="D1048" s="12" t="n"/>
      <c r="E1048" s="12" t="n"/>
      <c r="F1048" s="12" t="n"/>
      <c r="G1048" s="12" t="n"/>
      <c r="H1048" s="12" t="n"/>
      <c r="I1048" s="12" t="n"/>
      <c r="J1048" s="12" t="n"/>
      <c r="K1048" s="12" t="n"/>
      <c r="L1048" s="12" t="n"/>
      <c r="M1048" s="12" t="n"/>
      <c r="N1048" s="12" t="n"/>
      <c r="O1048" s="184" t="n"/>
      <c r="P1048" s="184" t="n"/>
      <c r="Q1048" s="184" t="n"/>
      <c r="R1048" s="184" t="n"/>
      <c r="S1048" s="184" t="n"/>
      <c r="T1048" s="165" t="n"/>
      <c r="U1048" s="179" t="n"/>
      <c r="V1048" s="179" t="n"/>
      <c r="W1048" s="12" t="n"/>
      <c r="X1048" s="12" t="n"/>
      <c r="Y1048" s="12" t="n"/>
      <c r="Z1048" s="12" t="n"/>
    </row>
    <row r="1049" ht="45.75" customHeight="1" s="211">
      <c r="A1049" s="12" t="n"/>
      <c r="B1049" s="12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2" t="n"/>
      <c r="L1049" s="12" t="n"/>
      <c r="M1049" s="12" t="n"/>
      <c r="N1049" s="12" t="n"/>
      <c r="O1049" s="184" t="n"/>
      <c r="P1049" s="184" t="n"/>
      <c r="Q1049" s="184" t="n"/>
      <c r="R1049" s="184" t="n"/>
      <c r="S1049" s="184" t="n"/>
      <c r="T1049" s="165" t="n"/>
      <c r="U1049" s="179" t="n"/>
      <c r="V1049" s="179" t="n"/>
      <c r="W1049" s="12" t="n"/>
      <c r="X1049" s="12" t="n"/>
      <c r="Y1049" s="12" t="n"/>
      <c r="Z1049" s="12" t="n"/>
    </row>
    <row r="1050" ht="45.75" customHeight="1" s="211">
      <c r="A1050" s="12" t="n"/>
      <c r="B1050" s="12" t="n"/>
      <c r="C1050" s="12" t="n"/>
      <c r="D1050" s="12" t="n"/>
      <c r="E1050" s="12" t="n"/>
      <c r="F1050" s="12" t="n"/>
      <c r="G1050" s="12" t="n"/>
      <c r="H1050" s="12" t="n"/>
      <c r="I1050" s="12" t="n"/>
      <c r="J1050" s="12" t="n"/>
      <c r="K1050" s="12" t="n"/>
      <c r="L1050" s="12" t="n"/>
      <c r="M1050" s="12" t="n"/>
      <c r="N1050" s="12" t="n"/>
      <c r="O1050" s="184" t="n"/>
      <c r="P1050" s="184" t="n"/>
      <c r="Q1050" s="184" t="n"/>
      <c r="R1050" s="184" t="n"/>
      <c r="S1050" s="184" t="n"/>
      <c r="T1050" s="165" t="n"/>
      <c r="U1050" s="179" t="n"/>
      <c r="V1050" s="179" t="n"/>
      <c r="W1050" s="12" t="n"/>
      <c r="X1050" s="12" t="n"/>
      <c r="Y1050" s="12" t="n"/>
      <c r="Z1050" s="12" t="n"/>
    </row>
    <row r="1051" ht="45.75" customHeight="1" s="211">
      <c r="A1051" s="12" t="n"/>
      <c r="B1051" s="12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2" t="n"/>
      <c r="L1051" s="12" t="n"/>
      <c r="M1051" s="12" t="n"/>
      <c r="N1051" s="12" t="n"/>
      <c r="O1051" s="184" t="n"/>
      <c r="P1051" s="184" t="n"/>
      <c r="Q1051" s="184" t="n"/>
      <c r="R1051" s="184" t="n"/>
      <c r="S1051" s="184" t="n"/>
      <c r="T1051" s="165" t="n"/>
      <c r="U1051" s="179" t="n"/>
      <c r="V1051" s="179" t="n"/>
      <c r="W1051" s="12" t="n"/>
      <c r="X1051" s="12" t="n"/>
      <c r="Y1051" s="12" t="n"/>
      <c r="Z1051" s="12" t="n"/>
    </row>
    <row r="1052" ht="45.75" customHeight="1" s="211">
      <c r="A1052" s="12" t="n"/>
      <c r="B1052" s="12" t="n"/>
      <c r="C1052" s="12" t="n"/>
      <c r="D1052" s="12" t="n"/>
      <c r="E1052" s="12" t="n"/>
      <c r="F1052" s="12" t="n"/>
      <c r="G1052" s="12" t="n"/>
      <c r="H1052" s="12" t="n"/>
      <c r="I1052" s="12" t="n"/>
      <c r="J1052" s="12" t="n"/>
      <c r="K1052" s="12" t="n"/>
      <c r="L1052" s="12" t="n"/>
      <c r="M1052" s="12" t="n"/>
      <c r="N1052" s="12" t="n"/>
      <c r="O1052" s="184" t="n"/>
      <c r="P1052" s="184" t="n"/>
      <c r="Q1052" s="184" t="n"/>
      <c r="R1052" s="184" t="n"/>
      <c r="S1052" s="184" t="n"/>
      <c r="T1052" s="165" t="n"/>
      <c r="U1052" s="179" t="n"/>
      <c r="V1052" s="179" t="n"/>
      <c r="W1052" s="12" t="n"/>
      <c r="X1052" s="12" t="n"/>
      <c r="Y1052" s="12" t="n"/>
      <c r="Z1052" s="12" t="n"/>
    </row>
    <row r="1053" ht="45.75" customHeight="1" s="211">
      <c r="A1053" s="12" t="n"/>
      <c r="B1053" s="12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2" t="n"/>
      <c r="L1053" s="12" t="n"/>
      <c r="M1053" s="12" t="n"/>
      <c r="N1053" s="12" t="n"/>
      <c r="O1053" s="184" t="n"/>
      <c r="P1053" s="184" t="n"/>
      <c r="Q1053" s="184" t="n"/>
      <c r="R1053" s="184" t="n"/>
      <c r="S1053" s="184" t="n"/>
      <c r="T1053" s="165" t="n"/>
      <c r="U1053" s="179" t="n"/>
      <c r="V1053" s="179" t="n"/>
      <c r="W1053" s="12" t="n"/>
      <c r="X1053" s="12" t="n"/>
      <c r="Y1053" s="12" t="n"/>
      <c r="Z1053" s="12" t="n"/>
    </row>
    <row r="1054" ht="45.75" customHeight="1" s="211">
      <c r="A1054" s="12" t="n"/>
      <c r="B1054" s="12" t="n"/>
      <c r="C1054" s="12" t="n"/>
      <c r="D1054" s="12" t="n"/>
      <c r="E1054" s="12" t="n"/>
      <c r="F1054" s="12" t="n"/>
      <c r="G1054" s="12" t="n"/>
      <c r="H1054" s="12" t="n"/>
      <c r="I1054" s="12" t="n"/>
      <c r="J1054" s="12" t="n"/>
      <c r="K1054" s="12" t="n"/>
      <c r="L1054" s="12" t="n"/>
      <c r="M1054" s="12" t="n"/>
      <c r="N1054" s="12" t="n"/>
      <c r="O1054" s="184" t="n"/>
      <c r="P1054" s="184" t="n"/>
      <c r="Q1054" s="184" t="n"/>
      <c r="R1054" s="184" t="n"/>
      <c r="S1054" s="184" t="n"/>
      <c r="T1054" s="165" t="n"/>
      <c r="U1054" s="179" t="n"/>
      <c r="V1054" s="179" t="n"/>
      <c r="W1054" s="12" t="n"/>
      <c r="X1054" s="12" t="n"/>
      <c r="Y1054" s="12" t="n"/>
      <c r="Z1054" s="12" t="n"/>
    </row>
    <row r="1055" ht="45.75" customHeight="1" s="211">
      <c r="A1055" s="12" t="n"/>
      <c r="B1055" s="12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2" t="n"/>
      <c r="L1055" s="12" t="n"/>
      <c r="M1055" s="12" t="n"/>
      <c r="N1055" s="12" t="n"/>
      <c r="O1055" s="184" t="n"/>
      <c r="P1055" s="184" t="n"/>
      <c r="Q1055" s="184" t="n"/>
      <c r="R1055" s="184" t="n"/>
      <c r="S1055" s="184" t="n"/>
      <c r="T1055" s="165" t="n"/>
      <c r="U1055" s="179" t="n"/>
      <c r="V1055" s="179" t="n"/>
      <c r="W1055" s="12" t="n"/>
      <c r="X1055" s="12" t="n"/>
      <c r="Y1055" s="12" t="n"/>
      <c r="Z1055" s="12" t="n"/>
    </row>
    <row r="1056" ht="45.75" customHeight="1" s="211">
      <c r="A1056" s="12" t="n"/>
      <c r="B1056" s="12" t="n"/>
      <c r="C1056" s="12" t="n"/>
      <c r="D1056" s="12" t="n"/>
      <c r="E1056" s="12" t="n"/>
      <c r="F1056" s="12" t="n"/>
      <c r="G1056" s="12" t="n"/>
      <c r="H1056" s="12" t="n"/>
      <c r="I1056" s="12" t="n"/>
      <c r="J1056" s="12" t="n"/>
      <c r="K1056" s="12" t="n"/>
      <c r="L1056" s="12" t="n"/>
      <c r="M1056" s="12" t="n"/>
      <c r="N1056" s="12" t="n"/>
      <c r="O1056" s="184" t="n"/>
      <c r="P1056" s="184" t="n"/>
      <c r="Q1056" s="184" t="n"/>
      <c r="R1056" s="184" t="n"/>
      <c r="S1056" s="184" t="n"/>
      <c r="T1056" s="165" t="n"/>
      <c r="U1056" s="179" t="n"/>
      <c r="V1056" s="179" t="n"/>
      <c r="W1056" s="12" t="n"/>
      <c r="X1056" s="12" t="n"/>
      <c r="Y1056" s="12" t="n"/>
      <c r="Z1056" s="12" t="n"/>
    </row>
    <row r="1057" ht="45.75" customHeight="1" s="211">
      <c r="A1057" s="12" t="n"/>
      <c r="B1057" s="12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2" t="n"/>
      <c r="L1057" s="12" t="n"/>
      <c r="M1057" s="12" t="n"/>
      <c r="N1057" s="12" t="n"/>
      <c r="O1057" s="184" t="n"/>
      <c r="P1057" s="184" t="n"/>
      <c r="Q1057" s="184" t="n"/>
      <c r="R1057" s="184" t="n"/>
      <c r="S1057" s="184" t="n"/>
      <c r="T1057" s="165" t="n"/>
      <c r="U1057" s="179" t="n"/>
      <c r="V1057" s="179" t="n"/>
      <c r="W1057" s="12" t="n"/>
      <c r="X1057" s="12" t="n"/>
      <c r="Y1057" s="12" t="n"/>
      <c r="Z1057" s="12" t="n"/>
    </row>
    <row r="1058" ht="45.75" customHeight="1" s="211">
      <c r="A1058" s="12" t="n"/>
      <c r="B1058" s="12" t="n"/>
      <c r="C1058" s="12" t="n"/>
      <c r="D1058" s="12" t="n"/>
      <c r="E1058" s="12" t="n"/>
      <c r="F1058" s="12" t="n"/>
      <c r="G1058" s="12" t="n"/>
      <c r="H1058" s="12" t="n"/>
      <c r="I1058" s="12" t="n"/>
      <c r="J1058" s="12" t="n"/>
      <c r="K1058" s="12" t="n"/>
      <c r="L1058" s="12" t="n"/>
      <c r="M1058" s="12" t="n"/>
      <c r="N1058" s="12" t="n"/>
      <c r="O1058" s="184" t="n"/>
      <c r="P1058" s="184" t="n"/>
      <c r="Q1058" s="184" t="n"/>
      <c r="R1058" s="184" t="n"/>
      <c r="S1058" s="184" t="n"/>
      <c r="T1058" s="165" t="n"/>
      <c r="U1058" s="179" t="n"/>
      <c r="V1058" s="179" t="n"/>
      <c r="W1058" s="12" t="n"/>
      <c r="X1058" s="12" t="n"/>
      <c r="Y1058" s="12" t="n"/>
      <c r="Z1058" s="12" t="n"/>
    </row>
    <row r="1059" ht="45.75" customHeight="1" s="211">
      <c r="A1059" s="12" t="n"/>
      <c r="B1059" s="12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2" t="n"/>
      <c r="L1059" s="12" t="n"/>
      <c r="M1059" s="12" t="n"/>
      <c r="N1059" s="12" t="n"/>
      <c r="O1059" s="184" t="n"/>
      <c r="P1059" s="184" t="n"/>
      <c r="Q1059" s="184" t="n"/>
      <c r="R1059" s="184" t="n"/>
      <c r="S1059" s="184" t="n"/>
      <c r="T1059" s="165" t="n"/>
      <c r="U1059" s="179" t="n"/>
      <c r="V1059" s="179" t="n"/>
      <c r="W1059" s="12" t="n"/>
      <c r="X1059" s="12" t="n"/>
      <c r="Y1059" s="12" t="n"/>
      <c r="Z1059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S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sheetData>
    <row r="1">
      <c r="A1" s="197" t="inlineStr">
        <is>
          <t>Accounts</t>
        </is>
      </c>
      <c r="B1" s="198" t="inlineStr">
        <is>
          <t>Account Type</t>
        </is>
      </c>
      <c r="C1" s="198" t="inlineStr">
        <is>
          <t>Contact Created?</t>
        </is>
      </c>
      <c r="D1" s="198" t="inlineStr">
        <is>
          <t>Address</t>
        </is>
      </c>
      <c r="E1" s="199" t="inlineStr">
        <is>
          <t>Phone Number</t>
        </is>
      </c>
      <c r="F1" s="199" t="inlineStr">
        <is>
          <t>Email</t>
        </is>
      </c>
      <c r="G1" s="198" t="inlineStr">
        <is>
          <t>URL</t>
        </is>
      </c>
      <c r="H1" s="199" t="inlineStr">
        <is>
          <t>Self Parking Rate</t>
        </is>
      </c>
      <c r="I1" s="199" t="inlineStr">
        <is>
          <t>Valet Rate</t>
        </is>
      </c>
      <c r="J1" s="198" t="inlineStr">
        <is>
          <t># of Rooms</t>
        </is>
      </c>
      <c r="K1" s="200" t="inlineStr">
        <is>
          <t>Parking Reviews %</t>
        </is>
      </c>
      <c r="L1" s="198" t="inlineStr">
        <is>
          <t>Parking Reviews #</t>
        </is>
      </c>
      <c r="M1" s="198" t="inlineStr">
        <is>
          <t>GM Name</t>
        </is>
      </c>
      <c r="N1" s="198" t="inlineStr">
        <is>
          <t>Management Group</t>
        </is>
      </c>
      <c r="O1" s="199" t="inlineStr">
        <is>
          <t>Linked Accounts</t>
        </is>
      </c>
      <c r="P1" s="199" t="inlineStr">
        <is>
          <t xml:space="preserve">Garage Operator </t>
        </is>
      </c>
      <c r="Q1" s="199" t="inlineStr">
        <is>
          <t>Valet Operator</t>
        </is>
      </c>
      <c r="R1" s="198" t="inlineStr">
        <is>
          <t>Sourcing Notes</t>
        </is>
      </c>
      <c r="S1" s="201" t="inlineStr">
        <is>
          <t>Location Notes</t>
        </is>
      </c>
    </row>
    <row r="2">
      <c r="A2" s="202" t="inlineStr">
        <is>
          <t>Hilton Charlotte Uptown</t>
        </is>
      </c>
      <c r="B2" s="203" t="inlineStr">
        <is>
          <t>Hotel</t>
        </is>
      </c>
      <c r="C2" s="203" t="n"/>
      <c r="D2" s="203" t="inlineStr">
        <is>
          <t>222 East vThird Street Charlotte NC 20802</t>
        </is>
      </c>
      <c r="E2" s="203" t="n">
        <v>7043771500</v>
      </c>
      <c r="F2" s="203" t="n"/>
      <c r="G2" s="203" t="n"/>
      <c r="H2" s="204" t="n">
        <v>24</v>
      </c>
      <c r="I2" s="205" t="n">
        <v>34</v>
      </c>
      <c r="J2" s="203" t="n">
        <v>149</v>
      </c>
      <c r="K2" s="206" t="n">
        <v>0.51</v>
      </c>
      <c r="L2" s="203" t="n">
        <v>224</v>
      </c>
      <c r="M2" s="203" t="n"/>
      <c r="N2" s="203" t="n"/>
      <c r="O2" s="203" t="n"/>
      <c r="P2" s="203" t="n"/>
      <c r="Q2" s="204" t="inlineStr">
        <is>
          <t>PMC</t>
        </is>
      </c>
      <c r="R2" s="203" t="n"/>
      <c r="S2" s="207" t="n"/>
    </row>
    <row r="3">
      <c r="A3" s="202" t="inlineStr">
        <is>
          <t>The Ivey's Hotel</t>
        </is>
      </c>
      <c r="B3" s="203" t="inlineStr">
        <is>
          <t>Hotel</t>
        </is>
      </c>
      <c r="C3" s="203" t="n"/>
      <c r="D3" s="203" t="inlineStr">
        <is>
          <t>127 N Tryon St, Charlotte, NC 28202</t>
        </is>
      </c>
      <c r="E3" s="203" t="n"/>
      <c r="F3" s="203" t="n"/>
      <c r="G3" s="208" t="inlineStr">
        <is>
          <t>https://www.theiveysHotel.com/</t>
        </is>
      </c>
      <c r="H3" s="203" t="n"/>
      <c r="I3" s="205" t="n">
        <v>35</v>
      </c>
      <c r="J3" s="203" t="n">
        <v>47</v>
      </c>
      <c r="K3" s="206" t="n">
        <v>0.52</v>
      </c>
      <c r="L3" s="203" t="n">
        <v>89</v>
      </c>
      <c r="M3" s="203" t="n"/>
      <c r="N3" s="203" t="n"/>
      <c r="O3" s="203" t="n"/>
      <c r="P3" s="204" t="inlineStr">
        <is>
          <t>LAZ</t>
        </is>
      </c>
      <c r="Q3" s="204" t="inlineStr">
        <is>
          <t>PMC</t>
        </is>
      </c>
      <c r="R3" s="203" t="n"/>
      <c r="S3" s="207" t="n"/>
    </row>
    <row r="4">
      <c r="A4" s="202" t="inlineStr">
        <is>
          <t>Hyatt Place</t>
        </is>
      </c>
      <c r="B4" s="203" t="inlineStr">
        <is>
          <t>Hotel</t>
        </is>
      </c>
      <c r="C4" s="203" t="n"/>
      <c r="D4" s="203" t="inlineStr">
        <is>
          <t>222 S Caldwell St, Charlotte NC 28202</t>
        </is>
      </c>
      <c r="E4" s="203" t="n">
        <v>7042270500</v>
      </c>
      <c r="F4" s="203" t="inlineStr">
        <is>
          <t>Check your email/texts for contact updated</t>
        </is>
      </c>
      <c r="G4" s="204" t="inlineStr">
        <is>
          <t>tien.ning@hyatt.com</t>
        </is>
      </c>
      <c r="H4" s="203" t="inlineStr">
        <is>
          <t>n/a</t>
        </is>
      </c>
      <c r="I4" s="205" t="n">
        <v>38</v>
      </c>
      <c r="J4" s="203" t="n">
        <v>172</v>
      </c>
      <c r="K4" s="206" t="n">
        <v>0.72</v>
      </c>
      <c r="L4" s="203" t="n">
        <v>484</v>
      </c>
      <c r="M4" s="203" t="inlineStr">
        <is>
          <t>Tien Ning</t>
        </is>
      </c>
      <c r="N4" s="203" t="n"/>
      <c r="O4" s="203" t="n"/>
      <c r="P4" s="203" t="n"/>
      <c r="Q4" s="204" t="inlineStr">
        <is>
          <t>PMC</t>
        </is>
      </c>
      <c r="R4" s="203" t="n"/>
      <c r="S4" s="207" t="inlineStr">
        <is>
          <t>pretty solid valet reviews. maybe bundled services or damage claim pitching</t>
        </is>
      </c>
    </row>
    <row r="5">
      <c r="A5" s="202" t="inlineStr">
        <is>
          <t>AC Hotel Residents inn</t>
        </is>
      </c>
      <c r="B5" s="203" t="inlineStr">
        <is>
          <t>Hotel</t>
        </is>
      </c>
      <c r="C5" s="203" t="n"/>
      <c r="D5" s="203" t="inlineStr">
        <is>
          <t>220 East Trade Street, Suite 1400, Charlotte, NC, 28202</t>
        </is>
      </c>
      <c r="E5" s="203" t="n">
        <v>7043484002</v>
      </c>
      <c r="F5" s="203" t="inlineStr">
        <is>
          <t xml:space="preserve">rob.cote@marriott.com </t>
        </is>
      </c>
      <c r="G5" s="208" t="inlineStr">
        <is>
          <t>https://www.marriott.com/en-us/Hotels/cltad-ac-Hotel-charlotte-city-center/overview/?scid=f2ae0541-1279-4f24-b197-a979c79310b0</t>
        </is>
      </c>
      <c r="H5" s="204" t="n">
        <v>29</v>
      </c>
      <c r="I5" s="205" t="n">
        <v>40</v>
      </c>
      <c r="J5" s="203" t="n">
        <v>149</v>
      </c>
      <c r="K5" s="206" t="n">
        <v>0.52</v>
      </c>
      <c r="L5" s="203" t="n">
        <v>117</v>
      </c>
      <c r="M5" s="203" t="inlineStr">
        <is>
          <t>Rob Cote</t>
        </is>
      </c>
      <c r="N5" s="203" t="n"/>
      <c r="O5" s="203" t="n"/>
      <c r="P5" s="204" t="inlineStr">
        <is>
          <t>Preferred</t>
        </is>
      </c>
      <c r="Q5" s="204" t="inlineStr">
        <is>
          <t>PMC</t>
        </is>
      </c>
      <c r="R5" s="203" t="n"/>
      <c r="S5" s="207" t="n"/>
    </row>
    <row r="6">
      <c r="A6" s="202" t="inlineStr">
        <is>
          <t>Omni Hotel</t>
        </is>
      </c>
      <c r="B6" s="203" t="inlineStr">
        <is>
          <t>Hotel</t>
        </is>
      </c>
      <c r="C6" s="203" t="n"/>
      <c r="D6" s="203" t="inlineStr">
        <is>
          <t>132 E Trade St, Charlotte, NC 28202</t>
        </is>
      </c>
      <c r="E6" s="203" t="n"/>
      <c r="F6" s="203" t="n"/>
      <c r="G6" s="208" t="inlineStr">
        <is>
          <t>https://www.omniHotels.com/Hotels/charlotte</t>
        </is>
      </c>
      <c r="H6" s="203" t="n"/>
      <c r="I6" s="205" t="n">
        <v>40</v>
      </c>
      <c r="J6" s="203" t="n">
        <v>373</v>
      </c>
      <c r="K6" s="206" t="n">
        <v>0.39</v>
      </c>
      <c r="L6" s="203" t="n">
        <v>270</v>
      </c>
      <c r="M6" s="203" t="n"/>
      <c r="N6" s="203" t="n"/>
      <c r="O6" s="203" t="n"/>
      <c r="P6" s="204" t="inlineStr">
        <is>
          <t>LAZ</t>
        </is>
      </c>
      <c r="Q6" s="204" t="inlineStr">
        <is>
          <t>PMC</t>
        </is>
      </c>
      <c r="R6" s="203" t="n"/>
      <c r="S6" s="207" t="n"/>
    </row>
    <row r="7">
      <c r="A7" s="202" t="inlineStr">
        <is>
          <t>SpringHill</t>
        </is>
      </c>
      <c r="B7" s="203" t="inlineStr">
        <is>
          <t>Hotel</t>
        </is>
      </c>
      <c r="C7" s="203" t="n"/>
      <c r="D7" s="203" t="inlineStr">
        <is>
          <t>311 E 5th St, Charlotte, NC 28202</t>
        </is>
      </c>
      <c r="E7" s="203" t="inlineStr">
        <is>
          <t>shsuptown@sree.com</t>
        </is>
      </c>
      <c r="F7" s="203" t="n"/>
      <c r="G7" s="208" t="inlineStr">
        <is>
          <t>https://www.marriott.com/en-us/Hotels/cltsd-springhill-suites-charlotte-city-center/overview/?scid=f2ae0541-1279-4f24-b197-a979c79310b0</t>
        </is>
      </c>
      <c r="H7" s="204" t="inlineStr">
        <is>
          <t>Not available</t>
        </is>
      </c>
      <c r="I7" s="205" t="n">
        <v>40</v>
      </c>
      <c r="J7" s="203" t="n">
        <v>195</v>
      </c>
      <c r="K7" s="206" t="n">
        <v>0.38</v>
      </c>
      <c r="L7" s="203" t="n">
        <v>190</v>
      </c>
      <c r="M7" s="203" t="inlineStr">
        <is>
          <t>Karen Owens</t>
        </is>
      </c>
      <c r="N7" s="203" t="n"/>
      <c r="O7" s="203" t="n"/>
      <c r="P7" s="203" t="n"/>
      <c r="Q7" s="204" t="inlineStr">
        <is>
          <t>PMC</t>
        </is>
      </c>
      <c r="R7" s="203" t="n"/>
      <c r="S7" s="207" t="n"/>
    </row>
    <row r="8">
      <c r="A8" s="202" t="inlineStr">
        <is>
          <t>Grand Bohemian Hotel</t>
        </is>
      </c>
      <c r="B8" s="203" t="inlineStr">
        <is>
          <t>Hotel</t>
        </is>
      </c>
      <c r="C8" s="203" t="n"/>
      <c r="D8" s="203" t="inlineStr">
        <is>
          <t>201 W Trade St, Charlotte, NC 28202</t>
        </is>
      </c>
      <c r="E8" s="203" t="inlineStr">
        <is>
          <t>(704) 372-1877</t>
        </is>
      </c>
      <c r="F8" s="203" t="inlineStr">
        <is>
          <t>hugh.templeman@kesslercollection.com</t>
        </is>
      </c>
      <c r="G8" s="208" t="inlineStr">
        <is>
          <t>https://www.kesslercollection.com/bohemian-charlotte/</t>
        </is>
      </c>
      <c r="H8" s="204" t="inlineStr">
        <is>
          <t>unknown</t>
        </is>
      </c>
      <c r="I8" s="205" t="n">
        <v>48</v>
      </c>
      <c r="J8" s="203" t="n">
        <v>254</v>
      </c>
      <c r="K8" s="206" t="n">
        <v>0.65</v>
      </c>
      <c r="L8" s="203" t="n">
        <v>122</v>
      </c>
      <c r="M8" s="203" t="inlineStr">
        <is>
          <t>Hugh Templeman</t>
        </is>
      </c>
      <c r="N8" s="203" t="n"/>
      <c r="O8" s="203" t="n"/>
      <c r="P8" s="203" t="n"/>
      <c r="Q8" s="204" t="inlineStr">
        <is>
          <t>PMC</t>
        </is>
      </c>
      <c r="R8" s="203" t="n"/>
      <c r="S8" s="207" t="inlineStr">
        <is>
          <t>Wait for new GM</t>
        </is>
      </c>
    </row>
    <row r="9">
      <c r="A9" s="202" t="inlineStr">
        <is>
          <t>JW Marriott Charlotte</t>
        </is>
      </c>
      <c r="B9" s="203" t="inlineStr">
        <is>
          <t>Hotel</t>
        </is>
      </c>
      <c r="C9" s="203" t="n"/>
      <c r="D9" s="204" t="inlineStr">
        <is>
          <t>600 S College St, Charlotte, NC 28202</t>
        </is>
      </c>
      <c r="E9" s="204" t="inlineStr">
        <is>
          <t>David.malmberg@whitelodging.com</t>
        </is>
      </c>
      <c r="F9" s="203" t="n"/>
      <c r="G9" s="208" t="inlineStr">
        <is>
          <t>https://www.marriott.com/en-us/Hotels/cltjw-jw-marriott-charlotte/overview/</t>
        </is>
      </c>
      <c r="H9" s="204" t="inlineStr">
        <is>
          <t>n/a</t>
        </is>
      </c>
      <c r="I9" s="205" t="n">
        <v>48</v>
      </c>
      <c r="J9" s="209" t="n">
        <v>381</v>
      </c>
      <c r="K9" s="206" t="n">
        <v>0.48</v>
      </c>
      <c r="L9" s="209" t="n">
        <v>87</v>
      </c>
      <c r="M9" s="203" t="n"/>
      <c r="N9" s="203" t="n"/>
      <c r="O9" s="203" t="n"/>
      <c r="P9" s="203" t="n"/>
      <c r="Q9" s="204" t="inlineStr">
        <is>
          <t>PMC</t>
        </is>
      </c>
      <c r="R9" s="203" t="n"/>
      <c r="S9" s="210" t="inlineStr">
        <is>
          <t>Reviews about the valet are mostly terrible.</t>
        </is>
      </c>
    </row>
    <row r="10">
      <c r="A10" s="202" t="inlineStr">
        <is>
          <t>Kimpton Tryon Park Hotel</t>
        </is>
      </c>
      <c r="B10" s="203" t="inlineStr">
        <is>
          <t>Hotel</t>
        </is>
      </c>
      <c r="C10" s="203" t="n"/>
      <c r="D10" s="203" t="inlineStr">
        <is>
          <t>303 S Church St, Charlotte, NC 28202</t>
        </is>
      </c>
      <c r="E10" s="203" t="inlineStr">
        <is>
          <t>7044477662 (Direct line)</t>
        </is>
      </c>
      <c r="F10" s="203" t="n"/>
      <c r="G10" s="208" t="inlineStr">
        <is>
          <t>https://www.tryonparkHotel.com/</t>
        </is>
      </c>
      <c r="H10" s="203" t="n"/>
      <c r="I10" s="205" t="n">
        <v>48</v>
      </c>
      <c r="J10" s="203" t="n">
        <v>217</v>
      </c>
      <c r="K10" s="206" t="n">
        <v>0.54</v>
      </c>
      <c r="L10" s="203" t="n">
        <v>162</v>
      </c>
      <c r="M10" s="203" t="inlineStr">
        <is>
          <t>Yvette Bullock</t>
        </is>
      </c>
      <c r="N10" s="203" t="n"/>
      <c r="O10" s="203" t="n"/>
      <c r="P10" s="204" t="inlineStr">
        <is>
          <t>Preferred</t>
        </is>
      </c>
      <c r="Q10" s="204" t="inlineStr">
        <is>
          <t>PMC</t>
        </is>
      </c>
      <c r="R10" s="203" t="n"/>
      <c r="S10" s="207" t="inlineStr">
        <is>
          <t>$30 4 hours max Valet</t>
        </is>
      </c>
    </row>
    <row r="11">
      <c r="A11" s="202" t="inlineStr">
        <is>
          <t>Charlotte Marriott City Center</t>
        </is>
      </c>
      <c r="B11" s="203" t="inlineStr">
        <is>
          <t>Hotel</t>
        </is>
      </c>
      <c r="C11" s="203" t="n"/>
      <c r="D11" s="203" t="inlineStr">
        <is>
          <t>100 W Trade St, Charlotte, NC 28202</t>
        </is>
      </c>
      <c r="E11" s="203" t="n"/>
      <c r="F11" s="203" t="inlineStr">
        <is>
          <t>jennifer.correa@marriott.com</t>
        </is>
      </c>
      <c r="G11" s="208" t="inlineStr">
        <is>
          <t>https://www.marriott.com/en-us/Hotels/cltcc-charlotte-marriott-city-center/overview/?scid=f2ae0541-1279-4f24-b197-a979c79310b0</t>
        </is>
      </c>
      <c r="H11" s="203" t="n"/>
      <c r="I11" s="205" t="n">
        <v>48</v>
      </c>
      <c r="J11" s="203" t="n">
        <v>440</v>
      </c>
      <c r="K11" s="206" t="n">
        <v>0.4</v>
      </c>
      <c r="L11" s="209" t="n">
        <v>181</v>
      </c>
      <c r="M11" s="203" t="inlineStr">
        <is>
          <t>Jennifer Correa</t>
        </is>
      </c>
      <c r="N11" s="203" t="n"/>
      <c r="O11" s="203" t="n"/>
      <c r="P11" s="203" t="n"/>
      <c r="Q11" s="204" t="inlineStr">
        <is>
          <t>PMC</t>
        </is>
      </c>
      <c r="R11" s="203" t="n"/>
      <c r="S11" s="207" t="inlineStr">
        <is>
          <t>poor reviews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</hyperlinks>
  <pageMargins left="0.75" right="0.75" top="1" bottom="1" header="0.5" footer="0.5"/>
  <tableParts count="1">
    <tablePart xmlns:r="http://schemas.openxmlformats.org/officeDocument/2006/relationships" r:id="rId9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style="211" min="1" max="1"/>
    <col width="12" customWidth="1" style="211" min="2" max="2"/>
    <col width="26" customWidth="1" style="211" min="3" max="3"/>
    <col width="10" customWidth="1" style="211" min="4" max="4"/>
    <col width="8" customWidth="1" style="211" min="5" max="5"/>
    <col width="9" customWidth="1" style="211" min="6" max="6"/>
    <col width="9" customWidth="1" style="211" min="7" max="7"/>
    <col width="11" customWidth="1" style="211" min="8" max="8"/>
    <col width="10" customWidth="1" style="211" min="9" max="9"/>
    <col width="8" customWidth="1" style="211" min="10" max="10"/>
    <col width="9" customWidth="1" style="211" min="11" max="11"/>
    <col width="12" customWidth="1" style="211" min="12" max="12"/>
    <col width="14" customWidth="1" style="211" min="13" max="13"/>
    <col width="28" customWidth="1" style="211" min="14" max="14"/>
    <col width="60" customWidth="1" style="211" min="15" max="15"/>
  </cols>
  <sheetData>
    <row r="1">
      <c r="A1" s="212" t="inlineStr">
        <is>
          <t>Account</t>
        </is>
      </c>
      <c r="B1" s="212" t="inlineStr">
        <is>
          <t>Account Type</t>
        </is>
      </c>
      <c r="C1" s="212" t="inlineStr">
        <is>
          <t>TAM Class</t>
        </is>
      </c>
      <c r="D1" s="212" t="inlineStr">
        <is>
          <t>Rooms/Beds</t>
        </is>
      </c>
      <c r="E1" s="212" t="inlineStr">
        <is>
          <t>Seats</t>
        </is>
      </c>
      <c r="F1" s="212" t="inlineStr">
        <is>
          <t>Occupancy %</t>
        </is>
      </c>
      <c r="G1" s="212" t="inlineStr">
        <is>
          <t>Turnover</t>
        </is>
      </c>
      <c r="H1" s="212" t="inlineStr">
        <is>
          <t>Valet Conv %</t>
        </is>
      </c>
      <c r="I1" s="212" t="inlineStr">
        <is>
          <t>Valet Rate</t>
        </is>
      </c>
      <c r="J1" s="212" t="inlineStr">
        <is>
          <t>Op Days</t>
        </is>
      </c>
      <c r="K1" s="212" t="inlineStr">
        <is>
          <t>Peak Mod</t>
        </is>
      </c>
      <c r="L1" s="212" t="inlineStr">
        <is>
          <t>Daily Rev</t>
        </is>
      </c>
      <c r="M1" s="212" t="inlineStr">
        <is>
          <t>TAM</t>
        </is>
      </c>
      <c r="N1" s="212" t="inlineStr">
        <is>
          <t>TAM Status</t>
        </is>
      </c>
      <c r="O1" s="212" t="inlineStr">
        <is>
          <t>Notes / Source</t>
        </is>
      </c>
    </row>
    <row r="2">
      <c r="A2" s="0" t="inlineStr">
        <is>
          <t>Aloft Charlotte City Center</t>
        </is>
      </c>
      <c r="B2" s="0" t="inlineStr">
        <is>
          <t>Hotel</t>
        </is>
      </c>
      <c r="C2" s="213" t="inlineStr">
        <is>
          <t>Hotel — Downtown Select-Service</t>
        </is>
      </c>
      <c r="D2" s="0" t="n">
        <v>175</v>
      </c>
      <c r="E2" s="0" t="inlineStr"/>
      <c r="F2" s="214" t="n">
        <v>0.6</v>
      </c>
      <c r="G2" s="0" t="inlineStr"/>
      <c r="H2" s="214" t="n">
        <v>0.25</v>
      </c>
      <c r="I2" s="215" t="n">
        <v>25</v>
      </c>
      <c r="J2" s="0" t="n">
        <v>360</v>
      </c>
      <c r="K2" s="0" t="inlineStr"/>
      <c r="L2" s="215" t="n">
        <v>656.25</v>
      </c>
      <c r="M2" s="215" t="n">
        <v>236250</v>
      </c>
      <c r="N2" s="0" t="inlineStr">
        <is>
          <t>Active TAM</t>
        </is>
      </c>
      <c r="O2" s="0" t="inlineStr">
        <is>
          <t>Auto-class: downtown + select-service flag. Occ 60% flat (refine w/STR).</t>
        </is>
      </c>
    </row>
    <row r="3">
      <c r="A3" s="0" t="inlineStr">
        <is>
          <t>Courtyard By Marriott</t>
        </is>
      </c>
      <c r="B3" s="0" t="inlineStr">
        <is>
          <t>Hotel</t>
        </is>
      </c>
      <c r="C3" s="213" t="inlineStr">
        <is>
          <t>Hotel — Downtown Select-Service</t>
        </is>
      </c>
      <c r="D3" s="0" t="n">
        <v>181</v>
      </c>
      <c r="E3" s="0" t="inlineStr"/>
      <c r="F3" s="214" t="n">
        <v>0.6</v>
      </c>
      <c r="G3" s="0" t="inlineStr"/>
      <c r="H3" s="214" t="n">
        <v>0.25</v>
      </c>
      <c r="I3" s="0" t="inlineStr"/>
      <c r="J3" s="0" t="n">
        <v>360</v>
      </c>
      <c r="K3" s="0" t="inlineStr"/>
      <c r="L3" s="0" t="inlineStr"/>
      <c r="M3" s="0" t="inlineStr"/>
      <c r="N3" s="0" t="inlineStr">
        <is>
          <t>No Valet / TAM = $0</t>
        </is>
      </c>
      <c r="O3" s="0" t="inlineStr">
        <is>
          <t>Hotel has no valet (rate field: None). Auto-class: downtown + select-service flag. Qualitative pipeline only.</t>
        </is>
      </c>
    </row>
    <row r="4">
      <c r="A4" s="0" t="inlineStr">
        <is>
          <t>Fairfield Inn &amp; Suites</t>
        </is>
      </c>
      <c r="B4" s="0" t="inlineStr">
        <is>
          <t>Hotel</t>
        </is>
      </c>
      <c r="C4" s="213" t="inlineStr">
        <is>
          <t>Hotel — Downtown Select-Service</t>
        </is>
      </c>
      <c r="D4" s="0" t="n">
        <v>196</v>
      </c>
      <c r="E4" s="0" t="inlineStr"/>
      <c r="F4" s="214" t="n">
        <v>0.6</v>
      </c>
      <c r="G4" s="0" t="inlineStr"/>
      <c r="H4" s="214" t="n">
        <v>0.25</v>
      </c>
      <c r="I4" s="0" t="inlineStr"/>
      <c r="J4" s="0" t="n">
        <v>360</v>
      </c>
      <c r="K4" s="0" t="inlineStr"/>
      <c r="L4" s="0" t="inlineStr"/>
      <c r="M4" s="0" t="inlineStr"/>
      <c r="N4" s="0" t="inlineStr">
        <is>
          <t>No Valet / TAM = $0</t>
        </is>
      </c>
      <c r="O4" s="0" t="inlineStr">
        <is>
          <t>Hotel has no valet (rate field: None). Auto-class: downtown + select-service flag. Qualitative pipeline only.</t>
        </is>
      </c>
    </row>
    <row r="5">
      <c r="A5" s="0" t="inlineStr">
        <is>
          <t>Hampton Inn Uptown</t>
        </is>
      </c>
      <c r="B5" s="0" t="inlineStr">
        <is>
          <t>Hotel</t>
        </is>
      </c>
      <c r="C5" s="213" t="inlineStr">
        <is>
          <t>Hotel — Downtown Select-Service</t>
        </is>
      </c>
      <c r="D5" s="0" t="n">
        <v>250</v>
      </c>
      <c r="E5" s="0" t="inlineStr"/>
      <c r="F5" s="214" t="n">
        <v>0.6</v>
      </c>
      <c r="G5" s="0" t="inlineStr"/>
      <c r="H5" s="214" t="n">
        <v>0.25</v>
      </c>
      <c r="I5" s="0" t="inlineStr"/>
      <c r="J5" s="0" t="n">
        <v>360</v>
      </c>
      <c r="K5" s="0" t="inlineStr"/>
      <c r="L5" s="0" t="inlineStr"/>
      <c r="M5" s="0" t="inlineStr"/>
      <c r="N5" s="0" t="inlineStr">
        <is>
          <t>No Valet / TAM = $0</t>
        </is>
      </c>
      <c r="O5" s="0" t="inlineStr">
        <is>
          <t>Hotel has no valet (rate field: None). Auto-class: downtown + select-service flag. Qualitative pipeline only.</t>
        </is>
      </c>
    </row>
    <row r="6">
      <c r="A6" s="0" t="inlineStr">
        <is>
          <t>Hilton Garden Inn (SouthPark)</t>
        </is>
      </c>
      <c r="B6" s="0" t="inlineStr">
        <is>
          <t>Hotel</t>
        </is>
      </c>
      <c r="C6" s="213" t="inlineStr">
        <is>
          <t>Hotel — Suburban/Airport</t>
        </is>
      </c>
      <c r="D6" s="0" t="n">
        <v>160</v>
      </c>
      <c r="E6" s="0" t="inlineStr"/>
      <c r="F6" s="214" t="n">
        <v>0.6</v>
      </c>
      <c r="G6" s="0" t="inlineStr"/>
      <c r="H6" s="214" t="n">
        <v>0.15</v>
      </c>
      <c r="I6" s="0" t="inlineStr"/>
      <c r="J6" s="0" t="n">
        <v>360</v>
      </c>
      <c r="K6" s="0" t="inlineStr"/>
      <c r="L6" s="0" t="inlineStr"/>
      <c r="M6" s="0" t="inlineStr"/>
      <c r="N6" s="0" t="inlineStr">
        <is>
          <t>No Valet / TAM = $0</t>
        </is>
      </c>
      <c r="O6" s="0" t="inlineStr">
        <is>
          <t>Hotel has no valet (rate field: None). Auto-class: not downtown (by flag or name). Qualitative pipeline only.</t>
        </is>
      </c>
    </row>
    <row r="7">
      <c r="A7" s="0" t="inlineStr">
        <is>
          <t>Hilton/Hilton Garden Inn</t>
        </is>
      </c>
      <c r="B7" s="0" t="inlineStr">
        <is>
          <t>Hotel</t>
        </is>
      </c>
      <c r="C7" s="213" t="inlineStr">
        <is>
          <t>Hotel — Downtown Select-Service</t>
        </is>
      </c>
      <c r="D7" s="0" t="n">
        <v>181</v>
      </c>
      <c r="E7" s="0" t="inlineStr"/>
      <c r="F7" s="214" t="n">
        <v>0.6</v>
      </c>
      <c r="G7" s="0" t="inlineStr"/>
      <c r="H7" s="214" t="n">
        <v>0.25</v>
      </c>
      <c r="I7" s="0" t="inlineStr"/>
      <c r="J7" s="0" t="n">
        <v>360</v>
      </c>
      <c r="K7" s="0" t="inlineStr"/>
      <c r="L7" s="0" t="inlineStr"/>
      <c r="M7" s="0" t="inlineStr"/>
      <c r="N7" s="0" t="inlineStr">
        <is>
          <t>No Valet / TAM = $0</t>
        </is>
      </c>
      <c r="O7" s="0" t="inlineStr">
        <is>
          <t>Hotel has no valet (rate field: None). Auto-class: downtown full-service &lt;300 rooms. Qualitative pipeline only.</t>
        </is>
      </c>
    </row>
    <row r="8">
      <c r="A8" s="0" t="inlineStr">
        <is>
          <t>Home2Suites</t>
        </is>
      </c>
      <c r="B8" s="0" t="inlineStr">
        <is>
          <t>Hotel</t>
        </is>
      </c>
      <c r="C8" s="213" t="inlineStr">
        <is>
          <t>Hotel — Downtown Select-Service</t>
        </is>
      </c>
      <c r="D8" s="0" t="n">
        <v>180</v>
      </c>
      <c r="E8" s="0" t="inlineStr"/>
      <c r="F8" s="214" t="n">
        <v>0.6</v>
      </c>
      <c r="G8" s="0" t="inlineStr"/>
      <c r="H8" s="214" t="n">
        <v>0.25</v>
      </c>
      <c r="I8" s="0" t="inlineStr"/>
      <c r="J8" s="0" t="n">
        <v>360</v>
      </c>
      <c r="K8" s="0" t="inlineStr"/>
      <c r="L8" s="0" t="inlineStr"/>
      <c r="M8" s="0" t="inlineStr"/>
      <c r="N8" s="0" t="inlineStr">
        <is>
          <t>No Valet / TAM = $0</t>
        </is>
      </c>
      <c r="O8" s="0" t="inlineStr">
        <is>
          <t>Hotel has no valet (rate field: None). Auto-class: downtown + select-service flag. Qualitative pipeline only.</t>
        </is>
      </c>
    </row>
    <row r="9">
      <c r="A9" s="0" t="inlineStr">
        <is>
          <t>Hilton Charlotte Uptown</t>
        </is>
      </c>
      <c r="B9" s="0" t="inlineStr">
        <is>
          <t>Hotel</t>
        </is>
      </c>
      <c r="C9" s="213" t="inlineStr">
        <is>
          <t>Hotel — Downtown Select-Service</t>
        </is>
      </c>
      <c r="D9" s="0" t="n">
        <v>149</v>
      </c>
      <c r="E9" s="0" t="inlineStr"/>
      <c r="F9" s="214" t="n">
        <v>0.6</v>
      </c>
      <c r="G9" s="0" t="inlineStr"/>
      <c r="H9" s="214" t="n">
        <v>0.25</v>
      </c>
      <c r="I9" s="215" t="n">
        <v>34</v>
      </c>
      <c r="J9" s="0" t="n">
        <v>360</v>
      </c>
      <c r="K9" s="0" t="inlineStr"/>
      <c r="L9" s="215" t="n">
        <v>759.9</v>
      </c>
      <c r="M9" s="215" t="n">
        <v>273564</v>
      </c>
      <c r="N9" s="0" t="inlineStr">
        <is>
          <t>Active TAM</t>
        </is>
      </c>
      <c r="O9" s="0" t="inlineStr">
        <is>
          <t>Auto-class: downtown full-service &lt;300 rooms. Occ 60% flat (refine w/STR).</t>
        </is>
      </c>
    </row>
    <row r="10">
      <c r="A10" s="0" t="inlineStr">
        <is>
          <t>Le Meridien Charlotte</t>
        </is>
      </c>
      <c r="B10" s="0" t="inlineStr">
        <is>
          <t>Hotel</t>
        </is>
      </c>
      <c r="C10" s="213" t="inlineStr">
        <is>
          <t>Hotel — Downtown+Convention</t>
        </is>
      </c>
      <c r="D10" s="0" t="n">
        <v>300</v>
      </c>
      <c r="E10" s="0" t="inlineStr"/>
      <c r="F10" s="214" t="n">
        <v>0.6</v>
      </c>
      <c r="G10" s="0" t="inlineStr"/>
      <c r="H10" s="214" t="n">
        <v>0.4</v>
      </c>
      <c r="I10" s="215" t="n">
        <v>35</v>
      </c>
      <c r="J10" s="0" t="n">
        <v>360</v>
      </c>
      <c r="K10" s="0" t="inlineStr"/>
      <c r="L10" s="215" t="n">
        <v>2520</v>
      </c>
      <c r="M10" s="215" t="n">
        <v>907200</v>
      </c>
      <c r="N10" s="0" t="inlineStr">
        <is>
          <t>Active TAM</t>
        </is>
      </c>
      <c r="O10" s="0" t="inlineStr">
        <is>
          <t>Auto-class: downtown + 300 rooms. Occ 60% flat (refine w/STR).</t>
        </is>
      </c>
    </row>
    <row r="11">
      <c r="A11" s="0" t="inlineStr">
        <is>
          <t>Sheraton Hotel</t>
        </is>
      </c>
      <c r="B11" s="0" t="inlineStr">
        <is>
          <t>Hotel</t>
        </is>
      </c>
      <c r="C11" s="213" t="inlineStr">
        <is>
          <t>Hotel — Downtown+Convention</t>
        </is>
      </c>
      <c r="D11" s="0" t="n">
        <v>305</v>
      </c>
      <c r="E11" s="0" t="inlineStr"/>
      <c r="F11" s="214" t="n">
        <v>0.6</v>
      </c>
      <c r="G11" s="0" t="inlineStr"/>
      <c r="H11" s="214" t="n">
        <v>0.4</v>
      </c>
      <c r="I11" s="215" t="n">
        <v>35</v>
      </c>
      <c r="J11" s="0" t="n">
        <v>360</v>
      </c>
      <c r="K11" s="0" t="inlineStr"/>
      <c r="L11" s="215" t="n">
        <v>2562</v>
      </c>
      <c r="M11" s="215" t="n">
        <v>922320</v>
      </c>
      <c r="N11" s="0" t="inlineStr">
        <is>
          <t>Active TAM</t>
        </is>
      </c>
      <c r="O11" s="0" t="inlineStr">
        <is>
          <t>Auto-class: downtown + 305 rooms. Occ 60% flat (refine w/STR).</t>
        </is>
      </c>
    </row>
    <row r="12">
      <c r="A12" s="0" t="inlineStr">
        <is>
          <t>The Ivey's Hotel</t>
        </is>
      </c>
      <c r="B12" s="0" t="inlineStr">
        <is>
          <t>Hotel</t>
        </is>
      </c>
      <c r="C12" s="213" t="inlineStr">
        <is>
          <t>Hotel — Downtown Select-Service</t>
        </is>
      </c>
      <c r="D12" s="0" t="n">
        <v>47</v>
      </c>
      <c r="E12" s="0" t="inlineStr"/>
      <c r="F12" s="214" t="n">
        <v>0.6</v>
      </c>
      <c r="G12" s="0" t="inlineStr"/>
      <c r="H12" s="214" t="n">
        <v>0.25</v>
      </c>
      <c r="I12" s="215" t="n">
        <v>35</v>
      </c>
      <c r="J12" s="0" t="n">
        <v>360</v>
      </c>
      <c r="K12" s="0" t="inlineStr"/>
      <c r="L12" s="215" t="n">
        <v>246.75</v>
      </c>
      <c r="M12" s="215" t="n">
        <v>88830</v>
      </c>
      <c r="N12" s="0" t="inlineStr">
        <is>
          <t>Active TAM</t>
        </is>
      </c>
      <c r="O12" s="0" t="inlineStr">
        <is>
          <t>Auto-class: downtown full-service &lt;300 rooms. Occ 60% flat (refine w/STR).</t>
        </is>
      </c>
    </row>
    <row r="13">
      <c r="A13" s="0" t="inlineStr">
        <is>
          <t>Hyatt Place</t>
        </is>
      </c>
      <c r="B13" s="0" t="inlineStr">
        <is>
          <t>Hotel</t>
        </is>
      </c>
      <c r="C13" s="213" t="inlineStr">
        <is>
          <t>Hotel — Downtown Select-Service</t>
        </is>
      </c>
      <c r="D13" s="0" t="n">
        <v>172</v>
      </c>
      <c r="E13" s="0" t="inlineStr"/>
      <c r="F13" s="214" t="n">
        <v>0.6</v>
      </c>
      <c r="G13" s="0" t="inlineStr"/>
      <c r="H13" s="214" t="n">
        <v>0.25</v>
      </c>
      <c r="I13" s="215" t="n">
        <v>38</v>
      </c>
      <c r="J13" s="0" t="n">
        <v>360</v>
      </c>
      <c r="K13" s="0" t="inlineStr"/>
      <c r="L13" s="215" t="n">
        <v>980.4</v>
      </c>
      <c r="M13" s="215" t="n">
        <v>352944</v>
      </c>
      <c r="N13" s="0" t="inlineStr">
        <is>
          <t>Active TAM</t>
        </is>
      </c>
      <c r="O13" s="0" t="inlineStr">
        <is>
          <t>Auto-class: downtown + select-service flag. Occ 60% flat (refine w/STR).</t>
        </is>
      </c>
    </row>
    <row r="14">
      <c r="A14" s="0" t="inlineStr">
        <is>
          <t>The Dunhill</t>
        </is>
      </c>
      <c r="B14" s="0" t="inlineStr">
        <is>
          <t>Hotel</t>
        </is>
      </c>
      <c r="C14" s="213" t="inlineStr">
        <is>
          <t>Hotel — Downtown Select-Service</t>
        </is>
      </c>
      <c r="D14" s="0" t="n">
        <v>60</v>
      </c>
      <c r="E14" s="0" t="inlineStr"/>
      <c r="F14" s="214" t="n">
        <v>0.6</v>
      </c>
      <c r="G14" s="0" t="inlineStr"/>
      <c r="H14" s="214" t="n">
        <v>0.25</v>
      </c>
      <c r="I14" s="215" t="n">
        <v>38</v>
      </c>
      <c r="J14" s="0" t="n">
        <v>360</v>
      </c>
      <c r="K14" s="0" t="inlineStr"/>
      <c r="L14" s="215" t="n">
        <v>342</v>
      </c>
      <c r="M14" s="215" t="n">
        <v>123120</v>
      </c>
      <c r="N14" s="0" t="inlineStr">
        <is>
          <t>Active TAM</t>
        </is>
      </c>
      <c r="O14" s="0" t="inlineStr">
        <is>
          <t>Auto-class: downtown full-service &lt;300 rooms. Occ 60% flat (refine w/STR).</t>
        </is>
      </c>
    </row>
    <row r="15">
      <c r="A15" s="0" t="inlineStr">
        <is>
          <t>AC Hotel Residents inn</t>
        </is>
      </c>
      <c r="B15" s="0" t="inlineStr">
        <is>
          <t>Hotel</t>
        </is>
      </c>
      <c r="C15" s="213" t="inlineStr">
        <is>
          <t>Hotel — Downtown Select-Service</t>
        </is>
      </c>
      <c r="D15" s="0" t="n">
        <v>149</v>
      </c>
      <c r="E15" s="0" t="inlineStr"/>
      <c r="F15" s="214" t="n">
        <v>0.6</v>
      </c>
      <c r="G15" s="0" t="inlineStr"/>
      <c r="H15" s="214" t="n">
        <v>0.25</v>
      </c>
      <c r="I15" s="215" t="n">
        <v>40</v>
      </c>
      <c r="J15" s="0" t="n">
        <v>360</v>
      </c>
      <c r="K15" s="0" t="inlineStr"/>
      <c r="L15" s="215" t="n">
        <v>893.9999999999999</v>
      </c>
      <c r="M15" s="215" t="n">
        <v>321839.9999999999</v>
      </c>
      <c r="N15" s="0" t="inlineStr">
        <is>
          <t>Active TAM</t>
        </is>
      </c>
      <c r="O15" s="0" t="inlineStr">
        <is>
          <t>Auto-class: downtown + select-service flag. Occ 60% flat (refine w/STR).</t>
        </is>
      </c>
    </row>
    <row r="16">
      <c r="A16" s="0" t="inlineStr">
        <is>
          <t>DoubleTree by Hilton Charlotte-Center City</t>
        </is>
      </c>
      <c r="B16" s="0" t="inlineStr">
        <is>
          <t>Hotel</t>
        </is>
      </c>
      <c r="C16" s="213" t="inlineStr">
        <is>
          <t>Hotel — Downtown Select-Service</t>
        </is>
      </c>
      <c r="D16" s="0" t="n">
        <v>187</v>
      </c>
      <c r="E16" s="0" t="inlineStr"/>
      <c r="F16" s="214" t="n">
        <v>0.6</v>
      </c>
      <c r="G16" s="0" t="inlineStr"/>
      <c r="H16" s="214" t="n">
        <v>0.25</v>
      </c>
      <c r="I16" s="215" t="n">
        <v>40</v>
      </c>
      <c r="J16" s="0" t="n">
        <v>360</v>
      </c>
      <c r="K16" s="0" t="inlineStr"/>
      <c r="L16" s="215" t="n">
        <v>1122</v>
      </c>
      <c r="M16" s="215" t="n">
        <v>403920</v>
      </c>
      <c r="N16" s="0" t="inlineStr">
        <is>
          <t>Active TAM</t>
        </is>
      </c>
      <c r="O16" s="0" t="inlineStr">
        <is>
          <t>Auto-class: downtown full-service &lt;300 rooms. Occ 60% flat (refine w/STR).</t>
        </is>
      </c>
    </row>
    <row r="17">
      <c r="A17" s="0" t="inlineStr">
        <is>
          <t>Omni Hotel</t>
        </is>
      </c>
      <c r="B17" s="0" t="inlineStr">
        <is>
          <t>Hotel</t>
        </is>
      </c>
      <c r="C17" s="213" t="inlineStr">
        <is>
          <t>Hotel — Downtown+Convention</t>
        </is>
      </c>
      <c r="D17" s="0" t="n">
        <v>373</v>
      </c>
      <c r="E17" s="0" t="inlineStr"/>
      <c r="F17" s="214" t="n">
        <v>0.6</v>
      </c>
      <c r="G17" s="0" t="inlineStr"/>
      <c r="H17" s="214" t="n">
        <v>0.4</v>
      </c>
      <c r="I17" s="215" t="n">
        <v>40</v>
      </c>
      <c r="J17" s="0" t="n">
        <v>360</v>
      </c>
      <c r="K17" s="0" t="inlineStr"/>
      <c r="L17" s="215" t="n">
        <v>3580.8</v>
      </c>
      <c r="M17" s="215" t="n">
        <v>1289088</v>
      </c>
      <c r="N17" s="0" t="inlineStr">
        <is>
          <t>Active TAM</t>
        </is>
      </c>
      <c r="O17" s="0" t="inlineStr">
        <is>
          <t>Auto-class: downtown + 373 rooms. Occ 60% flat (refine w/STR).</t>
        </is>
      </c>
    </row>
    <row r="18">
      <c r="A18" s="0" t="inlineStr">
        <is>
          <t>SpringHill</t>
        </is>
      </c>
      <c r="B18" s="0" t="inlineStr">
        <is>
          <t>Hotel</t>
        </is>
      </c>
      <c r="C18" s="213" t="inlineStr">
        <is>
          <t>Hotel — Downtown Select-Service</t>
        </is>
      </c>
      <c r="D18" s="0" t="n">
        <v>195</v>
      </c>
      <c r="E18" s="0" t="inlineStr"/>
      <c r="F18" s="214" t="n">
        <v>0.6</v>
      </c>
      <c r="G18" s="0" t="inlineStr"/>
      <c r="H18" s="214" t="n">
        <v>0.25</v>
      </c>
      <c r="I18" s="215" t="n">
        <v>40</v>
      </c>
      <c r="J18" s="0" t="n">
        <v>360</v>
      </c>
      <c r="K18" s="0" t="inlineStr"/>
      <c r="L18" s="215" t="n">
        <v>1170</v>
      </c>
      <c r="M18" s="215" t="n">
        <v>421200</v>
      </c>
      <c r="N18" s="0" t="inlineStr">
        <is>
          <t>Active TAM</t>
        </is>
      </c>
      <c r="O18" s="0" t="inlineStr">
        <is>
          <t>Auto-class: downtown + select-service flag. Occ 60% flat (refine w/STR).</t>
        </is>
      </c>
    </row>
    <row r="19">
      <c r="A19" s="0" t="inlineStr">
        <is>
          <t>Element Charlotte Uptown</t>
        </is>
      </c>
      <c r="B19" s="0" t="inlineStr">
        <is>
          <t>Hotel</t>
        </is>
      </c>
      <c r="C19" s="213" t="inlineStr">
        <is>
          <t>Hotel — Downtown Select-Service</t>
        </is>
      </c>
      <c r="D19" s="0" t="n">
        <v>173</v>
      </c>
      <c r="E19" s="0" t="inlineStr"/>
      <c r="F19" s="214" t="n">
        <v>0.6</v>
      </c>
      <c r="G19" s="0" t="inlineStr"/>
      <c r="H19" s="214" t="n">
        <v>0.25</v>
      </c>
      <c r="I19" s="215" t="n">
        <v>42</v>
      </c>
      <c r="J19" s="0" t="n">
        <v>360</v>
      </c>
      <c r="K19" s="0" t="inlineStr"/>
      <c r="L19" s="215" t="n">
        <v>1089.9</v>
      </c>
      <c r="M19" s="215" t="n">
        <v>392363.9999999999</v>
      </c>
      <c r="N19" s="0" t="inlineStr">
        <is>
          <t>Active TAM</t>
        </is>
      </c>
      <c r="O19" s="0" t="inlineStr">
        <is>
          <t>Auto-class: downtown + select-service flag. Occ 60% flat (refine w/STR).</t>
        </is>
      </c>
    </row>
    <row r="20">
      <c r="A20" s="0" t="inlineStr">
        <is>
          <t>Hyatt House Charlotte Center City</t>
        </is>
      </c>
      <c r="B20" s="0" t="inlineStr">
        <is>
          <t>Hotel</t>
        </is>
      </c>
      <c r="C20" s="213" t="inlineStr">
        <is>
          <t>Hotel — Downtown Select-Service</t>
        </is>
      </c>
      <c r="D20" s="0" t="n">
        <v>163</v>
      </c>
      <c r="E20" s="0" t="inlineStr"/>
      <c r="F20" s="214" t="n">
        <v>0.6</v>
      </c>
      <c r="G20" s="0" t="inlineStr"/>
      <c r="H20" s="214" t="n">
        <v>0.25</v>
      </c>
      <c r="I20" s="215" t="n">
        <v>42</v>
      </c>
      <c r="J20" s="0" t="n">
        <v>360</v>
      </c>
      <c r="K20" s="0" t="inlineStr"/>
      <c r="L20" s="215" t="n">
        <v>1026.9</v>
      </c>
      <c r="M20" s="215" t="n">
        <v>369683.9999999999</v>
      </c>
      <c r="N20" s="0" t="inlineStr">
        <is>
          <t>Active TAM</t>
        </is>
      </c>
      <c r="O20" s="0" t="inlineStr">
        <is>
          <t>Auto-class: downtown + select-service flag. Occ 60% flat (refine w/STR).</t>
        </is>
      </c>
    </row>
    <row r="21">
      <c r="A21" s="0" t="inlineStr">
        <is>
          <t>Homewood Suites by Hilton Charlotte Uptown</t>
        </is>
      </c>
      <c r="B21" s="0" t="inlineStr">
        <is>
          <t>Hotel</t>
        </is>
      </c>
      <c r="C21" s="213" t="inlineStr">
        <is>
          <t>Hotel — Downtown Select-Service</t>
        </is>
      </c>
      <c r="D21" s="0" t="n">
        <v>211</v>
      </c>
      <c r="E21" s="0" t="inlineStr"/>
      <c r="F21" s="214" t="n">
        <v>0.6</v>
      </c>
      <c r="G21" s="0" t="inlineStr"/>
      <c r="H21" s="214" t="n">
        <v>0.25</v>
      </c>
      <c r="I21" s="215" t="n">
        <v>45</v>
      </c>
      <c r="J21" s="0" t="n">
        <v>360</v>
      </c>
      <c r="K21" s="0" t="inlineStr"/>
      <c r="L21" s="215" t="n">
        <v>1424.25</v>
      </c>
      <c r="M21" s="215" t="n">
        <v>512730</v>
      </c>
      <c r="N21" s="0" t="inlineStr">
        <is>
          <t>Active TAM</t>
        </is>
      </c>
      <c r="O21" s="0" t="inlineStr">
        <is>
          <t>Auto-class: downtown + select-service flag. Occ 60% flat (refine w/STR).</t>
        </is>
      </c>
    </row>
    <row r="22">
      <c r="A22" s="0" t="inlineStr">
        <is>
          <t>Embassy Suites by Hilton Charlotte Uptown</t>
        </is>
      </c>
      <c r="B22" s="0" t="inlineStr">
        <is>
          <t>Hotel</t>
        </is>
      </c>
      <c r="C22" s="213" t="inlineStr">
        <is>
          <t>Hotel — Downtown Select-Service</t>
        </is>
      </c>
      <c r="D22" s="0" t="inlineStr"/>
      <c r="E22" s="0" t="inlineStr"/>
      <c r="F22" s="214" t="n">
        <v>0.6</v>
      </c>
      <c r="G22" s="0" t="inlineStr"/>
      <c r="H22" s="214" t="n">
        <v>0.25</v>
      </c>
      <c r="I22" s="215" t="n">
        <v>45</v>
      </c>
      <c r="J22" s="0" t="n">
        <v>360</v>
      </c>
      <c r="K22" s="0" t="inlineStr"/>
      <c r="L22" s="0" t="inlineStr"/>
      <c r="M22" s="0" t="inlineStr"/>
      <c r="N22" s="0" t="inlineStr">
        <is>
          <t>Active TAM</t>
        </is>
      </c>
      <c r="O22" s="0" t="inlineStr">
        <is>
          <t>Auto-class: downtown full-service &lt;300 rooms. Occ 60% flat (refine w/STR).</t>
        </is>
      </c>
    </row>
    <row r="23">
      <c r="A23" s="0" t="inlineStr">
        <is>
          <t>The Westin Charlotte</t>
        </is>
      </c>
      <c r="B23" s="0" t="inlineStr">
        <is>
          <t>Hotel</t>
        </is>
      </c>
      <c r="C23" s="213" t="inlineStr">
        <is>
          <t>Hotel — Downtown+Convention</t>
        </is>
      </c>
      <c r="D23" s="0" t="n">
        <v>700</v>
      </c>
      <c r="E23" s="0" t="inlineStr"/>
      <c r="F23" s="214" t="n">
        <v>0.6</v>
      </c>
      <c r="G23" s="0" t="inlineStr"/>
      <c r="H23" s="214" t="n">
        <v>0.4</v>
      </c>
      <c r="I23" s="215" t="n">
        <v>45</v>
      </c>
      <c r="J23" s="0" t="n">
        <v>360</v>
      </c>
      <c r="K23" s="0" t="inlineStr"/>
      <c r="L23" s="215" t="n">
        <v>7560</v>
      </c>
      <c r="M23" s="215" t="n">
        <v>2721600</v>
      </c>
      <c r="N23" s="0" t="inlineStr">
        <is>
          <t>Active TAM</t>
        </is>
      </c>
      <c r="O23" s="0" t="inlineStr">
        <is>
          <t>Auto-class: downtown + 700 rooms (&gt;=400). Occ 60% flat (refine w/STR).</t>
        </is>
      </c>
    </row>
    <row r="24">
      <c r="A24" s="0" t="inlineStr">
        <is>
          <t>Grand Bohemian Hotel</t>
        </is>
      </c>
      <c r="B24" s="0" t="inlineStr">
        <is>
          <t>Hotel</t>
        </is>
      </c>
      <c r="C24" s="213" t="inlineStr">
        <is>
          <t>Hotel — Downtown Select-Service</t>
        </is>
      </c>
      <c r="D24" s="0" t="n">
        <v>254</v>
      </c>
      <c r="E24" s="0" t="inlineStr"/>
      <c r="F24" s="214" t="n">
        <v>0.6</v>
      </c>
      <c r="G24" s="0" t="inlineStr"/>
      <c r="H24" s="214" t="n">
        <v>0.25</v>
      </c>
      <c r="I24" s="215" t="n">
        <v>48</v>
      </c>
      <c r="J24" s="0" t="n">
        <v>360</v>
      </c>
      <c r="K24" s="0" t="inlineStr"/>
      <c r="L24" s="215" t="n">
        <v>1828.8</v>
      </c>
      <c r="M24" s="215" t="n">
        <v>658368.0000000001</v>
      </c>
      <c r="N24" s="0" t="inlineStr">
        <is>
          <t>Active TAM</t>
        </is>
      </c>
      <c r="O24" s="0" t="inlineStr">
        <is>
          <t>Auto-class: downtown full-service &lt;300 rooms. Occ 60% flat (refine w/STR).</t>
        </is>
      </c>
    </row>
    <row r="25">
      <c r="A25" s="0" t="inlineStr">
        <is>
          <t>JW Marriott Charlotte</t>
        </is>
      </c>
      <c r="B25" s="0" t="inlineStr">
        <is>
          <t>Hotel</t>
        </is>
      </c>
      <c r="C25" s="213" t="inlineStr">
        <is>
          <t>Hotel — Downtown+Convention</t>
        </is>
      </c>
      <c r="D25" s="0" t="n">
        <v>381</v>
      </c>
      <c r="E25" s="0" t="inlineStr"/>
      <c r="F25" s="214" t="n">
        <v>0.6</v>
      </c>
      <c r="G25" s="0" t="inlineStr"/>
      <c r="H25" s="214" t="n">
        <v>0.4</v>
      </c>
      <c r="I25" s="215" t="n">
        <v>48</v>
      </c>
      <c r="J25" s="0" t="n">
        <v>360</v>
      </c>
      <c r="K25" s="0" t="inlineStr"/>
      <c r="L25" s="215" t="n">
        <v>4389.12</v>
      </c>
      <c r="M25" s="215" t="n">
        <v>1580083.2</v>
      </c>
      <c r="N25" s="0" t="inlineStr">
        <is>
          <t>Active TAM</t>
        </is>
      </c>
      <c r="O25" s="0" t="inlineStr">
        <is>
          <t>Auto-class: downtown + 381 rooms. Occ 60% flat (refine w/STR).</t>
        </is>
      </c>
    </row>
    <row r="26">
      <c r="A26" s="0" t="inlineStr">
        <is>
          <t>Kimpton Tryon Park Hotel</t>
        </is>
      </c>
      <c r="B26" s="0" t="inlineStr">
        <is>
          <t>Hotel</t>
        </is>
      </c>
      <c r="C26" s="213" t="inlineStr">
        <is>
          <t>Hotel — Downtown Select-Service</t>
        </is>
      </c>
      <c r="D26" s="0" t="n">
        <v>217</v>
      </c>
      <c r="E26" s="0" t="inlineStr"/>
      <c r="F26" s="214" t="n">
        <v>0.6</v>
      </c>
      <c r="G26" s="0" t="inlineStr"/>
      <c r="H26" s="214" t="n">
        <v>0.25</v>
      </c>
      <c r="I26" s="215" t="n">
        <v>48</v>
      </c>
      <c r="J26" s="0" t="n">
        <v>360</v>
      </c>
      <c r="K26" s="0" t="inlineStr"/>
      <c r="L26" s="215" t="n">
        <v>1562.4</v>
      </c>
      <c r="M26" s="215" t="n">
        <v>562464</v>
      </c>
      <c r="N26" s="0" t="inlineStr">
        <is>
          <t>Active TAM</t>
        </is>
      </c>
      <c r="O26" s="0" t="inlineStr">
        <is>
          <t>Auto-class: downtown full-service &lt;300 rooms. Occ 60% flat (refine w/STR).</t>
        </is>
      </c>
    </row>
    <row r="27">
      <c r="A27" s="0" t="inlineStr">
        <is>
          <t>Charlotte Marriott City Center</t>
        </is>
      </c>
      <c r="B27" s="0" t="inlineStr">
        <is>
          <t>Hotel</t>
        </is>
      </c>
      <c r="C27" s="213" t="inlineStr">
        <is>
          <t>Hotel — Downtown+Convention</t>
        </is>
      </c>
      <c r="D27" s="0" t="n">
        <v>440</v>
      </c>
      <c r="E27" s="0" t="inlineStr"/>
      <c r="F27" s="214" t="n">
        <v>0.6</v>
      </c>
      <c r="G27" s="0" t="inlineStr"/>
      <c r="H27" s="214" t="n">
        <v>0.4</v>
      </c>
      <c r="I27" s="215" t="n">
        <v>48</v>
      </c>
      <c r="J27" s="0" t="n">
        <v>360</v>
      </c>
      <c r="K27" s="0" t="inlineStr"/>
      <c r="L27" s="215" t="n">
        <v>5068.8</v>
      </c>
      <c r="M27" s="215" t="n">
        <v>1824768</v>
      </c>
      <c r="N27" s="0" t="inlineStr">
        <is>
          <t>Active TAM</t>
        </is>
      </c>
      <c r="O27" s="0" t="inlineStr">
        <is>
          <t>Auto-class: downtown + 440 rooms (&gt;=400). Occ 60% flat (refine w/STR).</t>
        </is>
      </c>
    </row>
    <row r="28">
      <c r="A28" s="0" t="inlineStr">
        <is>
          <t>Ritz Carlton</t>
        </is>
      </c>
      <c r="B28" s="0" t="inlineStr">
        <is>
          <t>Hotel</t>
        </is>
      </c>
      <c r="C28" s="213" t="inlineStr">
        <is>
          <t>Hotel — Downtown Select-Service</t>
        </is>
      </c>
      <c r="D28" s="0" t="n">
        <v>146</v>
      </c>
      <c r="E28" s="0" t="inlineStr"/>
      <c r="F28" s="214" t="n">
        <v>0.6</v>
      </c>
      <c r="G28" s="0" t="inlineStr"/>
      <c r="H28" s="214" t="n">
        <v>0.25</v>
      </c>
      <c r="I28" s="215" t="n">
        <v>50</v>
      </c>
      <c r="J28" s="0" t="n">
        <v>360</v>
      </c>
      <c r="K28" s="0" t="inlineStr"/>
      <c r="L28" s="215" t="n">
        <v>1095</v>
      </c>
      <c r="M28" s="215" t="n">
        <v>394200</v>
      </c>
      <c r="N28" s="0" t="inlineStr">
        <is>
          <t>Active TAM</t>
        </is>
      </c>
      <c r="O28" s="0" t="inlineStr">
        <is>
          <t>Auto-class: downtown full-service &lt;300 rooms. Occ 60% flat (refine w/STR).</t>
        </is>
      </c>
    </row>
    <row r="29">
      <c r="A29" s="0" t="inlineStr">
        <is>
          <t>Kasa FreeMoreWest Charlotte</t>
        </is>
      </c>
      <c r="B29" s="0" t="inlineStr">
        <is>
          <t>Hotel</t>
        </is>
      </c>
      <c r="C29" s="213" t="inlineStr">
        <is>
          <t>Hotel — Suburban/Airport</t>
        </is>
      </c>
      <c r="D29" s="0" t="inlineStr"/>
      <c r="E29" s="0" t="inlineStr"/>
      <c r="F29" s="214" t="n">
        <v>0.6</v>
      </c>
      <c r="G29" s="0" t="inlineStr"/>
      <c r="H29" s="214" t="n">
        <v>0.15</v>
      </c>
      <c r="I29" s="0" t="inlineStr"/>
      <c r="J29" s="0" t="n">
        <v>360</v>
      </c>
      <c r="K29" s="0" t="inlineStr"/>
      <c r="L29" s="0" t="inlineStr"/>
      <c r="M29" s="0" t="inlineStr"/>
      <c r="N29" s="0" t="inlineStr">
        <is>
          <t>No Valet / TAM = $0</t>
        </is>
      </c>
      <c r="O29" s="0" t="inlineStr">
        <is>
          <t>Hotel has no valet (rate field: None). Auto-class: not downtown (by flag or name). Qualitative pipeline only.</t>
        </is>
      </c>
    </row>
    <row r="30">
      <c r="A30" s="0" t="inlineStr">
        <is>
          <t>Canopy by Hilton Charlotte Southpark</t>
        </is>
      </c>
      <c r="B30" s="0" t="inlineStr">
        <is>
          <t>Hotel</t>
        </is>
      </c>
      <c r="C30" s="213" t="inlineStr">
        <is>
          <t>Hotel — Suburban/Airport</t>
        </is>
      </c>
      <c r="D30" s="0" t="inlineStr"/>
      <c r="E30" s="0" t="inlineStr"/>
      <c r="F30" s="214" t="n">
        <v>0.6</v>
      </c>
      <c r="G30" s="0" t="inlineStr"/>
      <c r="H30" s="214" t="n">
        <v>0.15</v>
      </c>
      <c r="I30" s="0" t="inlineStr"/>
      <c r="J30" s="0" t="n">
        <v>360</v>
      </c>
      <c r="K30" s="0" t="inlineStr"/>
      <c r="L30" s="0" t="inlineStr"/>
      <c r="M30" s="0" t="inlineStr"/>
      <c r="N30" s="0" t="inlineStr">
        <is>
          <t>No Valet / TAM = $0</t>
        </is>
      </c>
      <c r="O30" s="0" t="inlineStr">
        <is>
          <t>Hotel has no valet (rate field: None). Auto-class: not downtown (by flag or name). Qualitative pipeline only.</t>
        </is>
      </c>
    </row>
    <row r="31">
      <c r="A31" s="0" t="inlineStr">
        <is>
          <t>Courtyard by Marriott Charlotte SouthPark</t>
        </is>
      </c>
      <c r="B31" s="0" t="inlineStr">
        <is>
          <t>Hotel</t>
        </is>
      </c>
      <c r="C31" s="213" t="inlineStr">
        <is>
          <t>Hotel — Suburban/Airport</t>
        </is>
      </c>
      <c r="D31" s="0" t="inlineStr"/>
      <c r="E31" s="0" t="inlineStr"/>
      <c r="F31" s="214" t="n">
        <v>0.6</v>
      </c>
      <c r="G31" s="0" t="inlineStr"/>
      <c r="H31" s="214" t="n">
        <v>0.15</v>
      </c>
      <c r="I31" s="0" t="inlineStr"/>
      <c r="J31" s="0" t="n">
        <v>360</v>
      </c>
      <c r="K31" s="0" t="inlineStr"/>
      <c r="L31" s="0" t="inlineStr"/>
      <c r="M31" s="0" t="inlineStr"/>
      <c r="N31" s="0" t="inlineStr">
        <is>
          <t>No Valet / TAM = $0</t>
        </is>
      </c>
      <c r="O31" s="0" t="inlineStr">
        <is>
          <t>Hotel has no valet (rate field: None). Auto-class: not downtown (by flag or name). Qualitative pipeline only.</t>
        </is>
      </c>
    </row>
    <row r="32">
      <c r="A32" s="0" t="inlineStr">
        <is>
          <t>Residence Inn by Marriott Charlotte SouthPark</t>
        </is>
      </c>
      <c r="B32" s="0" t="inlineStr">
        <is>
          <t>Hotel</t>
        </is>
      </c>
      <c r="C32" s="213" t="inlineStr">
        <is>
          <t>Hotel — Suburban/Airport</t>
        </is>
      </c>
      <c r="D32" s="0" t="inlineStr"/>
      <c r="E32" s="0" t="inlineStr"/>
      <c r="F32" s="214" t="n">
        <v>0.6</v>
      </c>
      <c r="G32" s="0" t="inlineStr"/>
      <c r="H32" s="214" t="n">
        <v>0.15</v>
      </c>
      <c r="I32" s="0" t="inlineStr"/>
      <c r="J32" s="0" t="n">
        <v>360</v>
      </c>
      <c r="K32" s="0" t="inlineStr"/>
      <c r="L32" s="0" t="inlineStr"/>
      <c r="M32" s="0" t="inlineStr"/>
      <c r="N32" s="0" t="inlineStr">
        <is>
          <t>No Valet / TAM = $0</t>
        </is>
      </c>
      <c r="O32" s="0" t="inlineStr">
        <is>
          <t>Hotel has no valet (rate field: None). Auto-class: not downtown (by flag or name). Qualitative pipeline only.</t>
        </is>
      </c>
    </row>
    <row r="33">
      <c r="A33" s="0" t="inlineStr">
        <is>
          <t>Renaissance Charlotte SouthPark Hotel</t>
        </is>
      </c>
      <c r="B33" s="0" t="inlineStr">
        <is>
          <t>Hotel</t>
        </is>
      </c>
      <c r="C33" s="213" t="inlineStr">
        <is>
          <t>Hotel — Suburban/Airport</t>
        </is>
      </c>
      <c r="D33" s="0" t="inlineStr"/>
      <c r="E33" s="0" t="inlineStr"/>
      <c r="F33" s="214" t="n">
        <v>0.6</v>
      </c>
      <c r="G33" s="0" t="inlineStr"/>
      <c r="H33" s="214" t="n">
        <v>0.15</v>
      </c>
      <c r="I33" s="0" t="inlineStr"/>
      <c r="J33" s="0" t="n">
        <v>360</v>
      </c>
      <c r="K33" s="0" t="inlineStr"/>
      <c r="L33" s="0" t="inlineStr"/>
      <c r="M33" s="0" t="inlineStr"/>
      <c r="N33" s="0" t="inlineStr">
        <is>
          <t>No Valet / TAM = $0</t>
        </is>
      </c>
      <c r="O33" s="0" t="inlineStr">
        <is>
          <t>Hotel has no valet (rate field: None). Auto-class: not downtown (by flag or name). Qualitative pipeline only.</t>
        </is>
      </c>
    </row>
    <row r="34">
      <c r="A34" s="0" t="inlineStr">
        <is>
          <t>Charlotte Marriott SouthPark</t>
        </is>
      </c>
      <c r="B34" s="0" t="inlineStr">
        <is>
          <t>Hotel</t>
        </is>
      </c>
      <c r="C34" s="213" t="inlineStr">
        <is>
          <t>Hotel — Suburban/Airport</t>
        </is>
      </c>
      <c r="D34" s="0" t="inlineStr"/>
      <c r="E34" s="0" t="inlineStr"/>
      <c r="F34" s="214" t="n">
        <v>0.6</v>
      </c>
      <c r="G34" s="0" t="inlineStr"/>
      <c r="H34" s="214" t="n">
        <v>0.15</v>
      </c>
      <c r="I34" s="0" t="inlineStr"/>
      <c r="J34" s="0" t="n">
        <v>360</v>
      </c>
      <c r="K34" s="0" t="inlineStr"/>
      <c r="L34" s="0" t="inlineStr"/>
      <c r="M34" s="0" t="inlineStr"/>
      <c r="N34" s="0" t="inlineStr">
        <is>
          <t>No Valet / TAM = $0</t>
        </is>
      </c>
      <c r="O34" s="0" t="inlineStr">
        <is>
          <t>Hotel has no valet (rate field: None). Auto-class: not downtown (by flag or name). Qualitative pipeline only.</t>
        </is>
      </c>
    </row>
    <row r="35">
      <c r="A35" s="0" t="inlineStr">
        <is>
          <t>AC Hotel Charlotte SouthPark</t>
        </is>
      </c>
      <c r="B35" s="0" t="inlineStr">
        <is>
          <t>Hotel</t>
        </is>
      </c>
      <c r="C35" s="213" t="inlineStr">
        <is>
          <t>Hotel — Suburban/Airport</t>
        </is>
      </c>
      <c r="D35" s="0" t="inlineStr"/>
      <c r="E35" s="0" t="inlineStr"/>
      <c r="F35" s="214" t="n">
        <v>0.6</v>
      </c>
      <c r="G35" s="0" t="inlineStr"/>
      <c r="H35" s="214" t="n">
        <v>0.15</v>
      </c>
      <c r="I35" s="0" t="inlineStr"/>
      <c r="J35" s="0" t="n">
        <v>360</v>
      </c>
      <c r="K35" s="0" t="inlineStr"/>
      <c r="L35" s="0" t="inlineStr"/>
      <c r="M35" s="0" t="inlineStr"/>
      <c r="N35" s="0" t="inlineStr">
        <is>
          <t>No Valet / TAM = $0</t>
        </is>
      </c>
      <c r="O35" s="0" t="inlineStr">
        <is>
          <t>Hotel has no valet (rate field: None). Auto-class: not downtown (by flag or name). Qualitative pipeline only.</t>
        </is>
      </c>
    </row>
    <row r="36">
      <c r="A36" s="0" t="inlineStr">
        <is>
          <t>Hyatt Centric Charlotte SouthPark</t>
        </is>
      </c>
      <c r="B36" s="0" t="inlineStr">
        <is>
          <t>Hotel</t>
        </is>
      </c>
      <c r="C36" s="213" t="inlineStr">
        <is>
          <t>Hotel — Suburban/Airport</t>
        </is>
      </c>
      <c r="D36" s="0" t="inlineStr"/>
      <c r="E36" s="0" t="inlineStr"/>
      <c r="F36" s="214" t="n">
        <v>0.6</v>
      </c>
      <c r="G36" s="0" t="inlineStr"/>
      <c r="H36" s="214" t="n">
        <v>0.15</v>
      </c>
      <c r="I36" s="0" t="inlineStr"/>
      <c r="J36" s="0" t="n">
        <v>360</v>
      </c>
      <c r="K36" s="0" t="inlineStr"/>
      <c r="L36" s="0" t="inlineStr"/>
      <c r="M36" s="0" t="inlineStr"/>
      <c r="N36" s="0" t="inlineStr">
        <is>
          <t>No Valet / TAM = $0</t>
        </is>
      </c>
      <c r="O36" s="0" t="inlineStr">
        <is>
          <t>Hotel has no valet (rate field: None). Auto-class: not downtown (by flag or name). Qualitative pipeline only.</t>
        </is>
      </c>
    </row>
    <row r="37">
      <c r="A37" s="0" t="inlineStr">
        <is>
          <t>Homewood Suites by Hilton Charlotte/SouthPark</t>
        </is>
      </c>
      <c r="B37" s="0" t="inlineStr">
        <is>
          <t>Hotel</t>
        </is>
      </c>
      <c r="C37" s="213" t="inlineStr">
        <is>
          <t>Hotel — Suburban/Airport</t>
        </is>
      </c>
      <c r="D37" s="0" t="inlineStr"/>
      <c r="E37" s="0" t="inlineStr"/>
      <c r="F37" s="214" t="n">
        <v>0.6</v>
      </c>
      <c r="G37" s="0" t="inlineStr"/>
      <c r="H37" s="214" t="n">
        <v>0.15</v>
      </c>
      <c r="I37" s="0" t="inlineStr"/>
      <c r="J37" s="0" t="n">
        <v>360</v>
      </c>
      <c r="K37" s="0" t="inlineStr"/>
      <c r="L37" s="0" t="inlineStr"/>
      <c r="M37" s="0" t="inlineStr"/>
      <c r="N37" s="0" t="inlineStr">
        <is>
          <t>No Valet / TAM = $0</t>
        </is>
      </c>
      <c r="O37" s="0" t="inlineStr">
        <is>
          <t>Hotel has no valet (rate field: None). Auto-class: not downtown (by flag or name). Qualitative pipeline only.</t>
        </is>
      </c>
    </row>
    <row r="38">
      <c r="A38" s="0" t="inlineStr">
        <is>
          <t>DoubleTree Suites by Hilton Hotel Charlotte - SouthPark</t>
        </is>
      </c>
      <c r="B38" s="0" t="inlineStr">
        <is>
          <t>Hotel</t>
        </is>
      </c>
      <c r="C38" s="213" t="inlineStr">
        <is>
          <t>Hotel — Suburban/Airport</t>
        </is>
      </c>
      <c r="D38" s="0" t="inlineStr"/>
      <c r="E38" s="0" t="inlineStr"/>
      <c r="F38" s="214" t="n">
        <v>0.6</v>
      </c>
      <c r="G38" s="0" t="inlineStr"/>
      <c r="H38" s="214" t="n">
        <v>0.15</v>
      </c>
      <c r="I38" s="0" t="inlineStr"/>
      <c r="J38" s="0" t="n">
        <v>360</v>
      </c>
      <c r="K38" s="0" t="inlineStr"/>
      <c r="L38" s="0" t="inlineStr"/>
      <c r="M38" s="0" t="inlineStr"/>
      <c r="N38" s="0" t="inlineStr">
        <is>
          <t>No Valet / TAM = $0</t>
        </is>
      </c>
      <c r="O38" s="0" t="inlineStr">
        <is>
          <t>Hotel has no valet (rate field: None). Auto-class: not downtown (by flag or name). Qualitative pipeline only.</t>
        </is>
      </c>
    </row>
    <row r="39">
      <c r="A39" s="0" t="inlineStr">
        <is>
          <t>UNC Charlotte Marriott Hotel &amp; Conference Center</t>
        </is>
      </c>
      <c r="B39" s="0" t="inlineStr">
        <is>
          <t>Hotel</t>
        </is>
      </c>
      <c r="C39" s="213" t="inlineStr">
        <is>
          <t>Hotel — Suburban/Airport</t>
        </is>
      </c>
      <c r="D39" s="0" t="inlineStr"/>
      <c r="E39" s="0" t="inlineStr"/>
      <c r="F39" s="214" t="n">
        <v>0.6</v>
      </c>
      <c r="G39" s="0" t="inlineStr"/>
      <c r="H39" s="214" t="n">
        <v>0.15</v>
      </c>
      <c r="I39" s="215" t="n">
        <v>31</v>
      </c>
      <c r="J39" s="0" t="n">
        <v>360</v>
      </c>
      <c r="K39" s="0" t="inlineStr"/>
      <c r="L39" s="0" t="inlineStr"/>
      <c r="M39" s="0" t="inlineStr"/>
      <c r="N39" s="0" t="inlineStr">
        <is>
          <t>Active TAM</t>
        </is>
      </c>
      <c r="O39" s="0" t="inlineStr">
        <is>
          <t>Auto-class: not downtown (by flag or name). Occ 60% flat (refine w/STR).</t>
        </is>
      </c>
    </row>
    <row r="40">
      <c r="A40" s="0" t="inlineStr">
        <is>
          <t>Steak 48</t>
        </is>
      </c>
      <c r="B40" s="0" t="inlineStr">
        <is>
          <t>Restaurant</t>
        </is>
      </c>
      <c r="C40" s="216" t="inlineStr">
        <is>
          <t>Restaurant — Steakhouse — flagship</t>
        </is>
      </c>
      <c r="D40" s="0" t="inlineStr"/>
      <c r="E40" s="0" t="n">
        <v>300</v>
      </c>
      <c r="F40" s="0" t="inlineStr"/>
      <c r="G40" s="0" t="n">
        <v>1.5</v>
      </c>
      <c r="H40" s="214" t="n">
        <v>0.125</v>
      </c>
      <c r="I40" s="215" t="n">
        <v>7</v>
      </c>
      <c r="J40" s="0" t="n">
        <v>250</v>
      </c>
      <c r="K40" s="214" t="n">
        <v>1.08</v>
      </c>
      <c r="L40" s="215" t="n">
        <v>843.75</v>
      </c>
      <c r="M40" s="215" t="n">
        <v>227812.5</v>
      </c>
      <c r="N40" s="0" t="inlineStr">
        <is>
          <t>Active TAM (MED confidence)</t>
        </is>
      </c>
      <c r="O40" s="0" t="inlineStr">
        <is>
          <t>Charlotte uptown location, active paid valet $7 on file | industry brand avg (Steak 48 flagship ~280-320 seats)</t>
        </is>
      </c>
    </row>
    <row r="41">
      <c r="A41" s="0" t="inlineStr">
        <is>
          <t>The Capital Grille</t>
        </is>
      </c>
      <c r="B41" s="0" t="inlineStr">
        <is>
          <t>Restaurant</t>
        </is>
      </c>
      <c r="C41" s="216" t="inlineStr">
        <is>
          <t>Restaurant — Steakhouse</t>
        </is>
      </c>
      <c r="D41" s="0" t="inlineStr"/>
      <c r="E41" s="0" t="n">
        <v>250</v>
      </c>
      <c r="F41" s="0" t="inlineStr"/>
      <c r="G41" s="0" t="n">
        <v>1.5</v>
      </c>
      <c r="H41" s="214" t="n">
        <v>0.125</v>
      </c>
      <c r="I41" s="215" t="n">
        <v>11</v>
      </c>
      <c r="J41" s="0" t="n">
        <v>250</v>
      </c>
      <c r="K41" s="214" t="n">
        <v>1.08</v>
      </c>
      <c r="L41" s="215" t="n">
        <v>703.125</v>
      </c>
      <c r="M41" s="215" t="n">
        <v>189843.75</v>
      </c>
      <c r="N41" s="0" t="inlineStr">
        <is>
          <t>Active TAM (MED confidence)</t>
        </is>
      </c>
      <c r="O41" s="0" t="inlineStr">
        <is>
          <t>SOPHI current operator (+1.0 lift) | Darden brand std ~240-260 seats</t>
        </is>
      </c>
    </row>
    <row r="42">
      <c r="A42" s="0" t="inlineStr">
        <is>
          <t>Morton's Steakhouse</t>
        </is>
      </c>
      <c r="B42" s="0" t="inlineStr">
        <is>
          <t>Restaurant</t>
        </is>
      </c>
      <c r="C42" s="216" t="inlineStr">
        <is>
          <t>Restaurant — Steakhouse</t>
        </is>
      </c>
      <c r="D42" s="0" t="inlineStr"/>
      <c r="E42" s="0" t="n">
        <v>200</v>
      </c>
      <c r="F42" s="0" t="inlineStr"/>
      <c r="G42" s="0" t="n">
        <v>1.5</v>
      </c>
      <c r="H42" s="214" t="n">
        <v>0.125</v>
      </c>
      <c r="I42" s="215" t="n">
        <v>15</v>
      </c>
      <c r="J42" s="0" t="n">
        <v>250</v>
      </c>
      <c r="K42" s="214" t="n">
        <v>1.08</v>
      </c>
      <c r="L42" s="215" t="n">
        <v>562.5</v>
      </c>
      <c r="M42" s="215" t="n">
        <v>151875</v>
      </c>
      <c r="N42" s="0" t="inlineStr">
        <is>
          <t>Active TAM (MED confidence)</t>
        </is>
      </c>
      <c r="O42" s="0" t="inlineStr">
        <is>
          <t>Park Inc current valet at $15 | Landry brand std ~180-220 seats</t>
        </is>
      </c>
    </row>
    <row r="43">
      <c r="A43" s="0" t="inlineStr">
        <is>
          <t>Church and Union</t>
        </is>
      </c>
      <c r="B43" s="0" t="inlineStr">
        <is>
          <t>Restaurant</t>
        </is>
      </c>
      <c r="C43" s="216" t="inlineStr">
        <is>
          <t>Restaurant — Excluded</t>
        </is>
      </c>
      <c r="D43" s="0" t="inlineStr"/>
      <c r="E43" s="0" t="inlineStr"/>
      <c r="F43" s="0" t="inlineStr"/>
      <c r="G43" s="0" t="inlineStr"/>
      <c r="H43" s="0" t="inlineStr"/>
      <c r="I43" s="215" t="n">
        <v>15</v>
      </c>
      <c r="J43" s="0" t="inlineStr"/>
      <c r="K43" s="0" t="inlineStr"/>
      <c r="L43" s="0" t="inlineStr"/>
      <c r="M43" s="0" t="inlineStr"/>
      <c r="N43" s="0" t="inlineStr">
        <is>
          <t>EXCLUDED — no active valet / not eligible</t>
        </is>
      </c>
      <c r="O43" s="0" t="inlineStr">
        <is>
          <t>Not in eligible FD universe (steakhouse/fine dining with active independent valet)</t>
        </is>
      </c>
    </row>
    <row r="44">
      <c r="A44" s="0" t="inlineStr">
        <is>
          <t>Fahrenheit CLT</t>
        </is>
      </c>
      <c r="B44" s="0" t="inlineStr">
        <is>
          <t>Restaurant</t>
        </is>
      </c>
      <c r="C44" s="216" t="inlineStr">
        <is>
          <t>Restaurant — Upscale rooftop</t>
        </is>
      </c>
      <c r="D44" s="0" t="inlineStr"/>
      <c r="E44" s="0" t="n">
        <v>225</v>
      </c>
      <c r="F44" s="0" t="inlineStr"/>
      <c r="G44" s="0" t="n">
        <v>1.5</v>
      </c>
      <c r="H44" s="214" t="n">
        <v>0.125</v>
      </c>
      <c r="I44" s="215" t="n">
        <v>17</v>
      </c>
      <c r="J44" s="0" t="n">
        <v>250</v>
      </c>
      <c r="K44" s="214" t="n">
        <v>1.08</v>
      </c>
      <c r="L44" s="215" t="n">
        <v>632.8125</v>
      </c>
      <c r="M44" s="215" t="n">
        <v>170859.375</v>
      </c>
      <c r="N44" s="0" t="inlineStr">
        <is>
          <t>Active TAM (LOW confidence)</t>
        </is>
      </c>
      <c r="O44" s="0" t="inlineStr">
        <is>
          <t>Park Inc valet at $17 | independent rooftop estimate</t>
        </is>
      </c>
    </row>
    <row r="45">
      <c r="A45" s="0" t="inlineStr">
        <is>
          <t>STK Steakhouse</t>
        </is>
      </c>
      <c r="B45" s="0" t="inlineStr">
        <is>
          <t>Restaurant</t>
        </is>
      </c>
      <c r="C45" s="216" t="inlineStr">
        <is>
          <t>Restaurant — Steakhouse — modern</t>
        </is>
      </c>
      <c r="D45" s="0" t="inlineStr"/>
      <c r="E45" s="0" t="n">
        <v>275</v>
      </c>
      <c r="F45" s="0" t="inlineStr"/>
      <c r="G45" s="0" t="n">
        <v>1.5</v>
      </c>
      <c r="H45" s="214" t="n">
        <v>0.125</v>
      </c>
      <c r="I45" s="215" t="n">
        <v>17</v>
      </c>
      <c r="J45" s="0" t="n">
        <v>250</v>
      </c>
      <c r="K45" s="214" t="n">
        <v>1.08</v>
      </c>
      <c r="L45" s="215" t="n">
        <v>773.4375</v>
      </c>
      <c r="M45" s="215" t="n">
        <v>208828.125</v>
      </c>
      <c r="N45" s="0" t="inlineStr">
        <is>
          <t>Active TAM (MED confidence)</t>
        </is>
      </c>
      <c r="O45" s="0" t="inlineStr">
        <is>
          <t>SOPHI current operator (+1.0 lift) | ONE Group brand std ~260-290 seats</t>
        </is>
      </c>
    </row>
    <row r="46">
      <c r="A46" s="0" t="inlineStr">
        <is>
          <t>La Belle</t>
        </is>
      </c>
      <c r="B46" s="0" t="inlineStr">
        <is>
          <t>Restaurant</t>
        </is>
      </c>
      <c r="C46" s="216" t="inlineStr">
        <is>
          <t>Restaurant — Excluded</t>
        </is>
      </c>
      <c r="D46" s="0" t="inlineStr"/>
      <c r="E46" s="0" t="inlineStr"/>
      <c r="F46" s="0" t="inlineStr"/>
      <c r="G46" s="0" t="inlineStr"/>
      <c r="H46" s="0" t="inlineStr"/>
      <c r="I46" s="0" t="inlineStr"/>
      <c r="J46" s="0" t="inlineStr"/>
      <c r="K46" s="0" t="inlineStr"/>
      <c r="L46" s="0" t="inlineStr"/>
      <c r="M46" s="0" t="inlineStr"/>
      <c r="N46" s="0" t="inlineStr">
        <is>
          <t>EXCLUDED — no active valet / not eligible</t>
        </is>
      </c>
      <c r="O46" s="0" t="inlineStr">
        <is>
          <t>Not in eligible FD universe (steakhouse/fine dining with active independent valet)</t>
        </is>
      </c>
    </row>
    <row r="47">
      <c r="A47" s="0" t="inlineStr">
        <is>
          <t>Cajun Queen</t>
        </is>
      </c>
      <c r="B47" s="0" t="inlineStr">
        <is>
          <t>Restaurant</t>
        </is>
      </c>
      <c r="C47" s="216" t="inlineStr">
        <is>
          <t>Restaurant — Excluded</t>
        </is>
      </c>
      <c r="D47" s="0" t="inlineStr"/>
      <c r="E47" s="0" t="inlineStr"/>
      <c r="F47" s="0" t="inlineStr"/>
      <c r="G47" s="0" t="inlineStr"/>
      <c r="H47" s="0" t="inlineStr"/>
      <c r="I47" s="0" t="inlineStr"/>
      <c r="J47" s="0" t="inlineStr"/>
      <c r="K47" s="0" t="inlineStr"/>
      <c r="L47" s="0" t="inlineStr"/>
      <c r="M47" s="0" t="inlineStr"/>
      <c r="N47" s="0" t="inlineStr">
        <is>
          <t>EXCLUDED — no active valet / not eligible</t>
        </is>
      </c>
      <c r="O47" s="0" t="inlineStr">
        <is>
          <t>Not in eligible FD universe (steakhouse/fine dining with active independent valet)</t>
        </is>
      </c>
    </row>
    <row r="48">
      <c r="A48" s="0" t="inlineStr">
        <is>
          <t>Bernardin's Restaurant At Ratcliffe</t>
        </is>
      </c>
      <c r="B48" s="0" t="inlineStr">
        <is>
          <t>Restaurant</t>
        </is>
      </c>
      <c r="C48" s="216" t="inlineStr">
        <is>
          <t>Restaurant — Excluded</t>
        </is>
      </c>
      <c r="D48" s="0" t="inlineStr"/>
      <c r="E48" s="0" t="inlineStr"/>
      <c r="F48" s="0" t="inlineStr"/>
      <c r="G48" s="0" t="inlineStr"/>
      <c r="H48" s="0" t="inlineStr"/>
      <c r="I48" s="0" t="inlineStr"/>
      <c r="J48" s="0" t="inlineStr"/>
      <c r="K48" s="0" t="inlineStr"/>
      <c r="L48" s="0" t="inlineStr"/>
      <c r="M48" s="0" t="inlineStr"/>
      <c r="N48" s="0" t="inlineStr">
        <is>
          <t>EXCLUDED — no active valet / not eligible</t>
        </is>
      </c>
      <c r="O48" s="0" t="inlineStr">
        <is>
          <t>Not in eligible FD universe (steakhouse/fine dining with active independent valet)</t>
        </is>
      </c>
    </row>
    <row r="49">
      <c r="A49" s="0" t="inlineStr">
        <is>
          <t>Basil</t>
        </is>
      </c>
      <c r="B49" s="0" t="inlineStr">
        <is>
          <t>Restaurant</t>
        </is>
      </c>
      <c r="C49" s="216" t="inlineStr">
        <is>
          <t>Restaurant — Excluded</t>
        </is>
      </c>
      <c r="D49" s="0" t="inlineStr"/>
      <c r="E49" s="0" t="inlineStr"/>
      <c r="F49" s="0" t="inlineStr"/>
      <c r="G49" s="0" t="inlineStr"/>
      <c r="H49" s="0" t="inlineStr"/>
      <c r="I49" s="0" t="inlineStr"/>
      <c r="J49" s="0" t="inlineStr"/>
      <c r="K49" s="0" t="inlineStr"/>
      <c r="L49" s="0" t="inlineStr"/>
      <c r="M49" s="0" t="inlineStr"/>
      <c r="N49" s="0" t="inlineStr">
        <is>
          <t>EXCLUDED — no active valet / not eligible</t>
        </is>
      </c>
      <c r="O49" s="0" t="inlineStr">
        <is>
          <t>Not in eligible FD universe (steakhouse/fine dining with active independent valet)</t>
        </is>
      </c>
    </row>
    <row r="50">
      <c r="A50" s="0" t="inlineStr">
        <is>
          <t>Haymaker</t>
        </is>
      </c>
      <c r="B50" s="0" t="inlineStr">
        <is>
          <t>Restaurant</t>
        </is>
      </c>
      <c r="C50" s="216" t="inlineStr">
        <is>
          <t>Restaurant — Excluded</t>
        </is>
      </c>
      <c r="D50" s="0" t="inlineStr"/>
      <c r="E50" s="0" t="inlineStr"/>
      <c r="F50" s="0" t="inlineStr"/>
      <c r="G50" s="0" t="inlineStr"/>
      <c r="H50" s="0" t="inlineStr"/>
      <c r="I50" s="0" t="inlineStr"/>
      <c r="J50" s="0" t="inlineStr"/>
      <c r="K50" s="0" t="inlineStr"/>
      <c r="L50" s="0" t="inlineStr"/>
      <c r="M50" s="0" t="inlineStr"/>
      <c r="N50" s="0" t="inlineStr">
        <is>
          <t>EXCLUDED — no active valet / not eligible</t>
        </is>
      </c>
      <c r="O50" s="0" t="inlineStr">
        <is>
          <t>Not in eligible FD universe (steakhouse/fine dining with active independent valet)</t>
        </is>
      </c>
    </row>
    <row r="51">
      <c r="A51" s="0" t="inlineStr">
        <is>
          <t>McNinch House Restaurant</t>
        </is>
      </c>
      <c r="B51" s="0" t="inlineStr">
        <is>
          <t>Restaurant</t>
        </is>
      </c>
      <c r="C51" s="216" t="inlineStr">
        <is>
          <t>Restaurant — Excluded</t>
        </is>
      </c>
      <c r="D51" s="0" t="inlineStr"/>
      <c r="E51" s="0" t="inlineStr"/>
      <c r="F51" s="0" t="inlineStr"/>
      <c r="G51" s="0" t="inlineStr"/>
      <c r="H51" s="0" t="inlineStr"/>
      <c r="I51" s="0" t="inlineStr"/>
      <c r="J51" s="0" t="inlineStr"/>
      <c r="K51" s="0" t="inlineStr"/>
      <c r="L51" s="0" t="inlineStr"/>
      <c r="M51" s="0" t="inlineStr"/>
      <c r="N51" s="0" t="inlineStr">
        <is>
          <t>EXCLUDED — no active valet / not eligible</t>
        </is>
      </c>
      <c r="O51" s="0" t="inlineStr">
        <is>
          <t>Not in eligible FD universe (steakhouse/fine dining with active independent valet)</t>
        </is>
      </c>
    </row>
    <row r="52">
      <c r="A52" s="0" t="inlineStr">
        <is>
          <t>Luce Ristorante &amp; Bar</t>
        </is>
      </c>
      <c r="B52" s="0" t="inlineStr">
        <is>
          <t>Restaurant</t>
        </is>
      </c>
      <c r="C52" s="216" t="inlineStr">
        <is>
          <t>Restaurant — Excluded</t>
        </is>
      </c>
      <c r="D52" s="0" t="inlineStr"/>
      <c r="E52" s="0" t="inlineStr"/>
      <c r="F52" s="0" t="inlineStr"/>
      <c r="G52" s="0" t="inlineStr"/>
      <c r="H52" s="0" t="inlineStr"/>
      <c r="I52" s="0" t="inlineStr"/>
      <c r="J52" s="0" t="inlineStr"/>
      <c r="K52" s="0" t="inlineStr"/>
      <c r="L52" s="0" t="inlineStr"/>
      <c r="M52" s="0" t="inlineStr"/>
      <c r="N52" s="0" t="inlineStr">
        <is>
          <t>EXCLUDED — no active valet / not eligible</t>
        </is>
      </c>
      <c r="O52" s="0" t="inlineStr">
        <is>
          <t>Not in eligible FD universe (steakhouse/fine dining with active independent valet)</t>
        </is>
      </c>
    </row>
    <row r="53">
      <c r="A53" s="0" t="inlineStr">
        <is>
          <t>Fin&amp;Fino</t>
        </is>
      </c>
      <c r="B53" s="0" t="inlineStr">
        <is>
          <t>Restaurant</t>
        </is>
      </c>
      <c r="C53" s="216" t="inlineStr">
        <is>
          <t>Restaurant — Excluded</t>
        </is>
      </c>
      <c r="D53" s="0" t="inlineStr"/>
      <c r="E53" s="0" t="inlineStr"/>
      <c r="F53" s="0" t="inlineStr"/>
      <c r="G53" s="0" t="inlineStr"/>
      <c r="H53" s="0" t="inlineStr"/>
      <c r="I53" s="0" t="inlineStr"/>
      <c r="J53" s="0" t="inlineStr"/>
      <c r="K53" s="0" t="inlineStr"/>
      <c r="L53" s="0" t="inlineStr"/>
      <c r="M53" s="0" t="inlineStr"/>
      <c r="N53" s="0" t="inlineStr">
        <is>
          <t>EXCLUDED — no active valet / not eligible</t>
        </is>
      </c>
      <c r="O53" s="0" t="inlineStr">
        <is>
          <t>Not in eligible FD universe (steakhouse/fine dining with active independent valet)</t>
        </is>
      </c>
    </row>
    <row r="54">
      <c r="A54" s="0" t="inlineStr">
        <is>
          <t>Forchetta</t>
        </is>
      </c>
      <c r="B54" s="0" t="inlineStr">
        <is>
          <t>Restaurant</t>
        </is>
      </c>
      <c r="C54" s="216" t="inlineStr">
        <is>
          <t>Restaurant — Excluded</t>
        </is>
      </c>
      <c r="D54" s="0" t="inlineStr"/>
      <c r="E54" s="0" t="inlineStr"/>
      <c r="F54" s="0" t="inlineStr"/>
      <c r="G54" s="0" t="inlineStr"/>
      <c r="H54" s="0" t="inlineStr"/>
      <c r="I54" s="0" t="inlineStr"/>
      <c r="J54" s="0" t="inlineStr"/>
      <c r="K54" s="0" t="inlineStr"/>
      <c r="L54" s="0" t="inlineStr"/>
      <c r="M54" s="0" t="inlineStr"/>
      <c r="N54" s="0" t="inlineStr">
        <is>
          <t>EXCLUDED — no active valet / not eligible</t>
        </is>
      </c>
      <c r="O54" s="0" t="inlineStr">
        <is>
          <t>Not in eligible FD universe (steakhouse/fine dining with active independent valet)</t>
        </is>
      </c>
    </row>
    <row r="55">
      <c r="A55" s="0" t="inlineStr">
        <is>
          <t>Indaco</t>
        </is>
      </c>
      <c r="B55" s="0" t="inlineStr">
        <is>
          <t>Restaurant</t>
        </is>
      </c>
      <c r="C55" s="216" t="inlineStr">
        <is>
          <t>Restaurant — Excluded</t>
        </is>
      </c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inlineStr"/>
      <c r="L55" s="0" t="inlineStr"/>
      <c r="M55" s="0" t="inlineStr"/>
      <c r="N55" s="0" t="inlineStr">
        <is>
          <t>EXCLUDED — no active valet / not eligible</t>
        </is>
      </c>
      <c r="O55" s="0" t="inlineStr">
        <is>
          <t>Not in eligible FD universe (steakhouse/fine dining with active independent valet)</t>
        </is>
      </c>
    </row>
    <row r="56">
      <c r="A56" s="0" t="inlineStr">
        <is>
          <t>Copper Restaurant</t>
        </is>
      </c>
      <c r="B56" s="0" t="inlineStr">
        <is>
          <t>Restaurant</t>
        </is>
      </c>
      <c r="C56" s="216" t="inlineStr">
        <is>
          <t>Restaurant — Excluded</t>
        </is>
      </c>
      <c r="D56" s="0" t="inlineStr"/>
      <c r="E56" s="0" t="inlineStr"/>
      <c r="F56" s="0" t="inlineStr"/>
      <c r="G56" s="0" t="inlineStr"/>
      <c r="H56" s="0" t="inlineStr"/>
      <c r="I56" s="0" t="inlineStr"/>
      <c r="J56" s="0" t="inlineStr"/>
      <c r="K56" s="0" t="inlineStr"/>
      <c r="L56" s="0" t="inlineStr"/>
      <c r="M56" s="0" t="inlineStr"/>
      <c r="N56" s="0" t="inlineStr">
        <is>
          <t>EXCLUDED — no active valet / not eligible</t>
        </is>
      </c>
      <c r="O56" s="0" t="inlineStr">
        <is>
          <t>Not in eligible FD universe (steakhouse/fine dining with active independent valet)</t>
        </is>
      </c>
    </row>
    <row r="57">
      <c r="A57" s="0" t="inlineStr">
        <is>
          <t>Dolce Osteria</t>
        </is>
      </c>
      <c r="B57" s="0" t="inlineStr">
        <is>
          <t>Restaurant</t>
        </is>
      </c>
      <c r="C57" s="216" t="inlineStr">
        <is>
          <t>Restaurant — Excluded</t>
        </is>
      </c>
      <c r="D57" s="0" t="inlineStr"/>
      <c r="E57" s="0" t="inlineStr"/>
      <c r="F57" s="0" t="inlineStr"/>
      <c r="G57" s="0" t="inlineStr"/>
      <c r="H57" s="0" t="inlineStr"/>
      <c r="I57" s="0" t="inlineStr"/>
      <c r="J57" s="0" t="inlineStr"/>
      <c r="K57" s="0" t="inlineStr"/>
      <c r="L57" s="0" t="inlineStr"/>
      <c r="M57" s="0" t="inlineStr"/>
      <c r="N57" s="0" t="inlineStr">
        <is>
          <t>EXCLUDED — no active valet / not eligible</t>
        </is>
      </c>
      <c r="O57" s="0" t="inlineStr">
        <is>
          <t>Not in eligible FD universe (steakhouse/fine dining with active independent valet)</t>
        </is>
      </c>
    </row>
    <row r="58">
      <c r="A58" s="0" t="inlineStr">
        <is>
          <t>The Fig Tree Restaurant</t>
        </is>
      </c>
      <c r="B58" s="0" t="inlineStr">
        <is>
          <t>Restaurant</t>
        </is>
      </c>
      <c r="C58" s="216" t="inlineStr">
        <is>
          <t>Restaurant — Excluded</t>
        </is>
      </c>
      <c r="D58" s="0" t="inlineStr"/>
      <c r="E58" s="0" t="inlineStr"/>
      <c r="F58" s="0" t="inlineStr"/>
      <c r="G58" s="0" t="inlineStr"/>
      <c r="H58" s="0" t="inlineStr"/>
      <c r="I58" s="0" t="inlineStr"/>
      <c r="J58" s="0" t="inlineStr"/>
      <c r="K58" s="0" t="inlineStr"/>
      <c r="L58" s="0" t="inlineStr"/>
      <c r="M58" s="0" t="inlineStr"/>
      <c r="N58" s="0" t="inlineStr">
        <is>
          <t>EXCLUDED — no active valet / not eligible</t>
        </is>
      </c>
      <c r="O58" s="0" t="inlineStr">
        <is>
          <t>Not in eligible FD universe (steakhouse/fine dining with active independent valet)</t>
        </is>
      </c>
    </row>
    <row r="59">
      <c r="A59" s="0" t="inlineStr">
        <is>
          <t>The Melting Pot</t>
        </is>
      </c>
      <c r="B59" s="0" t="inlineStr">
        <is>
          <t>Restaurant</t>
        </is>
      </c>
      <c r="C59" s="216" t="inlineStr">
        <is>
          <t>Restaurant — Excluded</t>
        </is>
      </c>
      <c r="D59" s="0" t="inlineStr"/>
      <c r="E59" s="0" t="inlineStr"/>
      <c r="F59" s="0" t="inlineStr"/>
      <c r="G59" s="0" t="inlineStr"/>
      <c r="H59" s="0" t="inlineStr"/>
      <c r="I59" s="0" t="inlineStr"/>
      <c r="J59" s="0" t="inlineStr"/>
      <c r="K59" s="0" t="inlineStr"/>
      <c r="L59" s="0" t="inlineStr"/>
      <c r="M59" s="0" t="inlineStr"/>
      <c r="N59" s="0" t="inlineStr">
        <is>
          <t>EXCLUDED — no active valet / not eligible</t>
        </is>
      </c>
      <c r="O59" s="0" t="inlineStr">
        <is>
          <t>Not in eligible FD universe (steakhouse/fine dining with active independent valet)</t>
        </is>
      </c>
    </row>
    <row r="60">
      <c r="A60" s="0" t="inlineStr">
        <is>
          <t>The Cellar at Duckworth's</t>
        </is>
      </c>
      <c r="B60" s="0" t="inlineStr">
        <is>
          <t>Restaurant</t>
        </is>
      </c>
      <c r="C60" s="216" t="inlineStr">
        <is>
          <t>Restaurant — Excluded</t>
        </is>
      </c>
      <c r="D60" s="0" t="inlineStr"/>
      <c r="E60" s="0" t="inlineStr"/>
      <c r="F60" s="0" t="inlineStr"/>
      <c r="G60" s="0" t="inlineStr"/>
      <c r="H60" s="0" t="inlineStr"/>
      <c r="I60" s="0" t="inlineStr"/>
      <c r="J60" s="0" t="inlineStr"/>
      <c r="K60" s="0" t="inlineStr"/>
      <c r="L60" s="0" t="inlineStr"/>
      <c r="M60" s="0" t="inlineStr"/>
      <c r="N60" s="0" t="inlineStr">
        <is>
          <t>EXCLUDED — no active valet / not eligible</t>
        </is>
      </c>
      <c r="O60" s="0" t="inlineStr">
        <is>
          <t>Not in eligible FD universe (steakhouse/fine dining with active independent valet)</t>
        </is>
      </c>
    </row>
    <row r="61">
      <c r="A61" s="0" t="inlineStr">
        <is>
          <t>Ri Ra</t>
        </is>
      </c>
      <c r="B61" s="0" t="inlineStr">
        <is>
          <t>Restaurant</t>
        </is>
      </c>
      <c r="C61" s="216" t="inlineStr">
        <is>
          <t>Restaurant — Excluded</t>
        </is>
      </c>
      <c r="D61" s="0" t="inlineStr"/>
      <c r="E61" s="0" t="inlineStr"/>
      <c r="F61" s="0" t="inlineStr"/>
      <c r="G61" s="0" t="inlineStr"/>
      <c r="H61" s="0" t="inlineStr"/>
      <c r="I61" s="0" t="inlineStr"/>
      <c r="J61" s="0" t="inlineStr"/>
      <c r="K61" s="0" t="inlineStr"/>
      <c r="L61" s="0" t="inlineStr"/>
      <c r="M61" s="0" t="inlineStr"/>
      <c r="N61" s="0" t="inlineStr">
        <is>
          <t>EXCLUDED — no active valet / not eligible</t>
        </is>
      </c>
      <c r="O61" s="0" t="inlineStr">
        <is>
          <t>Not in eligible FD universe (steakhouse/fine dining with active independent valet)</t>
        </is>
      </c>
    </row>
    <row r="62">
      <c r="A62" s="0" t="inlineStr">
        <is>
          <t>McCormick &amp;Schmick's Seafood &amp;Steaks</t>
        </is>
      </c>
      <c r="B62" s="0" t="inlineStr">
        <is>
          <t>Restaurant</t>
        </is>
      </c>
      <c r="C62" s="216" t="inlineStr">
        <is>
          <t>Restaurant — Excluded</t>
        </is>
      </c>
      <c r="D62" s="0" t="inlineStr"/>
      <c r="E62" s="0" t="inlineStr"/>
      <c r="F62" s="0" t="inlineStr"/>
      <c r="G62" s="0" t="inlineStr"/>
      <c r="H62" s="0" t="inlineStr"/>
      <c r="I62" s="0" t="inlineStr"/>
      <c r="J62" s="0" t="inlineStr"/>
      <c r="K62" s="0" t="inlineStr"/>
      <c r="L62" s="0" t="inlineStr"/>
      <c r="M62" s="0" t="inlineStr"/>
      <c r="N62" s="0" t="inlineStr">
        <is>
          <t>EXCLUDED — no active valet / not eligible</t>
        </is>
      </c>
      <c r="O62" s="0" t="inlineStr">
        <is>
          <t>Not in eligible FD universe (steakhouse/fine dining with active independent valet)</t>
        </is>
      </c>
    </row>
    <row r="63">
      <c r="A63" s="0" t="inlineStr">
        <is>
          <t>Firebirds Wood Fired Grill</t>
        </is>
      </c>
      <c r="B63" s="0" t="inlineStr">
        <is>
          <t>Restaurant</t>
        </is>
      </c>
      <c r="C63" s="216" t="inlineStr">
        <is>
          <t>Restaurant — Excluded</t>
        </is>
      </c>
      <c r="D63" s="0" t="inlineStr"/>
      <c r="E63" s="0" t="inlineStr"/>
      <c r="F63" s="0" t="inlineStr"/>
      <c r="G63" s="0" t="inlineStr"/>
      <c r="H63" s="0" t="inlineStr"/>
      <c r="I63" s="0" t="inlineStr"/>
      <c r="J63" s="0" t="inlineStr"/>
      <c r="K63" s="0" t="inlineStr"/>
      <c r="L63" s="0" t="inlineStr"/>
      <c r="M63" s="0" t="inlineStr"/>
      <c r="N63" s="0" t="inlineStr">
        <is>
          <t>EXCLUDED — no active valet / not eligible</t>
        </is>
      </c>
      <c r="O63" s="0" t="inlineStr">
        <is>
          <t>Not in eligible FD universe (steakhouse/fine dining with active independent valet)</t>
        </is>
      </c>
    </row>
    <row r="64">
      <c r="A64" s="0" t="inlineStr">
        <is>
          <t>Del Frisco's Double Eagle Steakhouse</t>
        </is>
      </c>
      <c r="B64" s="0" t="inlineStr">
        <is>
          <t>Restaurant</t>
        </is>
      </c>
      <c r="C64" s="216" t="inlineStr">
        <is>
          <t>Restaurant — Steakhouse — flagship</t>
        </is>
      </c>
      <c r="D64" s="0" t="inlineStr"/>
      <c r="E64" s="0" t="n">
        <v>400</v>
      </c>
      <c r="F64" s="0" t="inlineStr"/>
      <c r="G64" s="0" t="n">
        <v>1.5</v>
      </c>
      <c r="H64" s="214" t="n">
        <v>0.125</v>
      </c>
      <c r="I64" s="0" t="inlineStr"/>
      <c r="J64" s="0" t="n">
        <v>250</v>
      </c>
      <c r="K64" s="214" t="n">
        <v>1.08</v>
      </c>
      <c r="L64" s="215" t="n">
        <v>1125</v>
      </c>
      <c r="M64" s="215" t="n">
        <v>303750</v>
      </c>
      <c r="N64" s="0" t="inlineStr">
        <is>
          <t>Active TAM (MED confidence)</t>
        </is>
      </c>
      <c r="O64" s="0" t="inlineStr">
        <is>
          <t>Uptown Charlotte — no active valet listed in workbook, but flag for outreach | brand std flagship ~380-450 seats</t>
        </is>
      </c>
    </row>
    <row r="65">
      <c r="A65" s="0" t="inlineStr">
        <is>
          <t>Mariposa</t>
        </is>
      </c>
      <c r="B65" s="0" t="inlineStr">
        <is>
          <t>Restaurant</t>
        </is>
      </c>
      <c r="C65" s="216" t="inlineStr">
        <is>
          <t>Restaurant — Excluded</t>
        </is>
      </c>
      <c r="D65" s="0" t="inlineStr"/>
      <c r="E65" s="0" t="inlineStr"/>
      <c r="F65" s="0" t="inlineStr"/>
      <c r="G65" s="0" t="inlineStr"/>
      <c r="H65" s="0" t="inlineStr"/>
      <c r="I65" s="0" t="inlineStr"/>
      <c r="J65" s="0" t="inlineStr"/>
      <c r="K65" s="0" t="inlineStr"/>
      <c r="L65" s="0" t="inlineStr"/>
      <c r="M65" s="0" t="inlineStr"/>
      <c r="N65" s="0" t="inlineStr">
        <is>
          <t>EXCLUDED — no active valet / not eligible</t>
        </is>
      </c>
      <c r="O65" s="0" t="inlineStr">
        <is>
          <t>Not in eligible FD universe (steakhouse/fine dining with active independent valet)</t>
        </is>
      </c>
    </row>
    <row r="66">
      <c r="A66" s="0" t="inlineStr">
        <is>
          <t>204 North</t>
        </is>
      </c>
      <c r="B66" s="0" t="inlineStr">
        <is>
          <t>Restaurant</t>
        </is>
      </c>
      <c r="C66" s="216" t="inlineStr">
        <is>
          <t>Restaurant — Excluded</t>
        </is>
      </c>
      <c r="D66" s="0" t="inlineStr"/>
      <c r="E66" s="0" t="inlineStr"/>
      <c r="F66" s="0" t="inlineStr"/>
      <c r="G66" s="0" t="inlineStr"/>
      <c r="H66" s="0" t="inlineStr"/>
      <c r="I66" s="0" t="inlineStr"/>
      <c r="J66" s="0" t="inlineStr"/>
      <c r="K66" s="0" t="inlineStr"/>
      <c r="L66" s="0" t="inlineStr"/>
      <c r="M66" s="0" t="inlineStr"/>
      <c r="N66" s="0" t="inlineStr">
        <is>
          <t>EXCLUDED — no active valet / not eligible</t>
        </is>
      </c>
      <c r="O66" s="0" t="inlineStr">
        <is>
          <t>Not in eligible FD universe (steakhouse/fine dining with active independent valet)</t>
        </is>
      </c>
    </row>
    <row r="67">
      <c r="A67" s="0" t="inlineStr">
        <is>
          <t>Deluxe The Fun Art of Dining</t>
        </is>
      </c>
      <c r="B67" s="0" t="inlineStr">
        <is>
          <t>Restaurant</t>
        </is>
      </c>
      <c r="C67" s="216" t="inlineStr">
        <is>
          <t>Restaurant — Excluded</t>
        </is>
      </c>
      <c r="D67" s="0" t="inlineStr"/>
      <c r="E67" s="0" t="inlineStr"/>
      <c r="F67" s="0" t="inlineStr"/>
      <c r="G67" s="0" t="inlineStr"/>
      <c r="H67" s="0" t="inlineStr"/>
      <c r="I67" s="0" t="inlineStr"/>
      <c r="J67" s="0" t="inlineStr"/>
      <c r="K67" s="0" t="inlineStr"/>
      <c r="L67" s="0" t="inlineStr"/>
      <c r="M67" s="0" t="inlineStr"/>
      <c r="N67" s="0" t="inlineStr">
        <is>
          <t>EXCLUDED — no active valet / not eligible</t>
        </is>
      </c>
      <c r="O67" s="0" t="inlineStr">
        <is>
          <t>Not in eligible FD universe (steakhouse/fine dining with active independent valet)</t>
        </is>
      </c>
    </row>
    <row r="68">
      <c r="A68" s="0" t="inlineStr">
        <is>
          <t>Sea Level NC</t>
        </is>
      </c>
      <c r="B68" s="0" t="inlineStr">
        <is>
          <t>Restaurant</t>
        </is>
      </c>
      <c r="C68" s="216" t="inlineStr">
        <is>
          <t>Restaurant — Excluded</t>
        </is>
      </c>
      <c r="D68" s="0" t="inlineStr"/>
      <c r="E68" s="0" t="inlineStr"/>
      <c r="F68" s="0" t="inlineStr"/>
      <c r="G68" s="0" t="inlineStr"/>
      <c r="H68" s="0" t="inlineStr"/>
      <c r="I68" s="0" t="inlineStr"/>
      <c r="J68" s="0" t="inlineStr"/>
      <c r="K68" s="0" t="inlineStr"/>
      <c r="L68" s="0" t="inlineStr"/>
      <c r="M68" s="0" t="inlineStr"/>
      <c r="N68" s="0" t="inlineStr">
        <is>
          <t>EXCLUDED — no active valet / not eligible</t>
        </is>
      </c>
      <c r="O68" s="0" t="inlineStr">
        <is>
          <t>Not in eligible FD universe (steakhouse/fine dining with active independent valet)</t>
        </is>
      </c>
    </row>
    <row r="69">
      <c r="A69" s="0" t="inlineStr">
        <is>
          <t>Red Salt by David Burke</t>
        </is>
      </c>
      <c r="B69" s="0" t="inlineStr">
        <is>
          <t>Restaurant</t>
        </is>
      </c>
      <c r="C69" s="216" t="inlineStr">
        <is>
          <t>Restaurant — Excluded</t>
        </is>
      </c>
      <c r="D69" s="0" t="inlineStr"/>
      <c r="E69" s="0" t="inlineStr"/>
      <c r="F69" s="0" t="inlineStr"/>
      <c r="G69" s="0" t="inlineStr"/>
      <c r="H69" s="0" t="inlineStr"/>
      <c r="I69" s="0" t="inlineStr"/>
      <c r="J69" s="0" t="inlineStr"/>
      <c r="K69" s="0" t="inlineStr"/>
      <c r="L69" s="0" t="inlineStr"/>
      <c r="M69" s="0" t="inlineStr"/>
      <c r="N69" s="0" t="inlineStr">
        <is>
          <t>EXCLUDED — no active valet / not eligible</t>
        </is>
      </c>
      <c r="O69" s="0" t="inlineStr">
        <is>
          <t>Not in eligible FD universe (steakhouse/fine dining with active independent valet)</t>
        </is>
      </c>
    </row>
    <row r="70">
      <c r="A70" s="0" t="inlineStr">
        <is>
          <t>Chima Steakhouse</t>
        </is>
      </c>
      <c r="B70" s="0" t="inlineStr">
        <is>
          <t>Restaurant</t>
        </is>
      </c>
      <c r="C70" s="216" t="inlineStr">
        <is>
          <t>Restaurant — Brazilian steakhouse</t>
        </is>
      </c>
      <c r="D70" s="0" t="inlineStr"/>
      <c r="E70" s="0" t="n">
        <v>220</v>
      </c>
      <c r="F70" s="0" t="inlineStr"/>
      <c r="G70" s="0" t="n">
        <v>1.5</v>
      </c>
      <c r="H70" s="214" t="n">
        <v>0.125</v>
      </c>
      <c r="I70" s="215" t="n">
        <v>15</v>
      </c>
      <c r="J70" s="0" t="n">
        <v>250</v>
      </c>
      <c r="K70" s="214" t="n">
        <v>1.08</v>
      </c>
      <c r="L70" s="215" t="n">
        <v>618.75</v>
      </c>
      <c r="M70" s="215" t="n">
        <v>167062.5</v>
      </c>
      <c r="N70" s="0" t="inlineStr">
        <is>
          <t>Active TAM (MED confidence)</t>
        </is>
      </c>
      <c r="O70" s="0" t="inlineStr">
        <is>
          <t>SOPHI current operator (+1.0 lift) | brand std ~200-240 seats</t>
        </is>
      </c>
    </row>
    <row r="71">
      <c r="A71" s="0" t="inlineStr">
        <is>
          <t>Eddie V's Prime Seafood</t>
        </is>
      </c>
      <c r="B71" s="0" t="inlineStr">
        <is>
          <t>Restaurant</t>
        </is>
      </c>
      <c r="C71" s="216" t="inlineStr">
        <is>
          <t>Restaurant — Seafood — upscale</t>
        </is>
      </c>
      <c r="D71" s="0" t="inlineStr"/>
      <c r="E71" s="0" t="n">
        <v>250</v>
      </c>
      <c r="F71" s="0" t="inlineStr"/>
      <c r="G71" s="0" t="n">
        <v>1.5</v>
      </c>
      <c r="H71" s="214" t="n">
        <v>0.125</v>
      </c>
      <c r="I71" s="215" t="n">
        <v>25</v>
      </c>
      <c r="J71" s="0" t="n">
        <v>250</v>
      </c>
      <c r="K71" s="214" t="n">
        <v>1.08</v>
      </c>
      <c r="L71" s="215" t="n">
        <v>703.125</v>
      </c>
      <c r="M71" s="215" t="n">
        <v>189843.75</v>
      </c>
      <c r="N71" s="0" t="inlineStr">
        <is>
          <t>Active TAM (MED confidence)</t>
        </is>
      </c>
      <c r="O71" s="0" t="inlineStr">
        <is>
          <t>Complimentary to restaurant, paid transient $15 first 3h, Preferred Parking op | Darden brand std ~230-270</t>
        </is>
      </c>
    </row>
    <row r="72">
      <c r="A72" s="0" t="inlineStr">
        <is>
          <t>Dean's Italian Steakhouse</t>
        </is>
      </c>
      <c r="B72" s="0" t="inlineStr">
        <is>
          <t>Restaurant</t>
        </is>
      </c>
      <c r="C72" s="216" t="inlineStr">
        <is>
          <t>Restaurant — Italian steakhouse</t>
        </is>
      </c>
      <c r="D72" s="0" t="inlineStr"/>
      <c r="E72" s="0" t="n">
        <v>200</v>
      </c>
      <c r="F72" s="0" t="inlineStr"/>
      <c r="G72" s="0" t="n">
        <v>1.5</v>
      </c>
      <c r="H72" s="214" t="n">
        <v>0.125</v>
      </c>
      <c r="I72" s="0" t="inlineStr"/>
      <c r="J72" s="0" t="n">
        <v>250</v>
      </c>
      <c r="K72" s="214" t="n">
        <v>1.08</v>
      </c>
      <c r="L72" s="215" t="n">
        <v>562.5</v>
      </c>
      <c r="M72" s="215" t="n">
        <v>151875</v>
      </c>
      <c r="N72" s="0" t="inlineStr">
        <is>
          <t>Active TAM (LOW confidence)</t>
        </is>
      </c>
      <c r="O72" s="0" t="inlineStr">
        <is>
          <t>PMC current valet at ~$15 | default fine-dining estimate</t>
        </is>
      </c>
    </row>
    <row r="73">
      <c r="A73" s="0" t="inlineStr">
        <is>
          <t>Fleming's Prime Steakhouse &amp; Wine Bar</t>
        </is>
      </c>
      <c r="B73" s="0" t="inlineStr">
        <is>
          <t>Restaurant</t>
        </is>
      </c>
      <c r="C73" s="216" t="inlineStr">
        <is>
          <t>Restaurant — Steakhouse</t>
        </is>
      </c>
      <c r="D73" s="0" t="inlineStr"/>
      <c r="E73" s="0" t="n">
        <v>175</v>
      </c>
      <c r="F73" s="0" t="inlineStr"/>
      <c r="G73" s="0" t="n">
        <v>1.5</v>
      </c>
      <c r="H73" s="214" t="n">
        <v>0.125</v>
      </c>
      <c r="I73" s="0" t="inlineStr"/>
      <c r="J73" s="0" t="n">
        <v>250</v>
      </c>
      <c r="K73" s="214" t="n">
        <v>1.08</v>
      </c>
      <c r="L73" s="215" t="n">
        <v>492.1875</v>
      </c>
      <c r="M73" s="215" t="n">
        <v>132890.625</v>
      </c>
      <c r="N73" s="0" t="inlineStr">
        <is>
          <t>Active TAM (MED confidence)</t>
        </is>
      </c>
      <c r="O73" s="0" t="inlineStr">
        <is>
          <t>Preferred Parking valet at $17 | Bloomin' Brands std ~160-190 seats</t>
        </is>
      </c>
    </row>
    <row r="74">
      <c r="A74" s="0" t="inlineStr">
        <is>
          <t>204 kitchen + cocktails</t>
        </is>
      </c>
      <c r="B74" s="0" t="inlineStr">
        <is>
          <t>Restaurant</t>
        </is>
      </c>
      <c r="C74" s="216" t="inlineStr">
        <is>
          <t>Restaurant — Excluded</t>
        </is>
      </c>
      <c r="D74" s="0" t="inlineStr"/>
      <c r="E74" s="0" t="inlineStr"/>
      <c r="F74" s="0" t="inlineStr"/>
      <c r="G74" s="0" t="inlineStr"/>
      <c r="H74" s="0" t="inlineStr"/>
      <c r="I74" s="0" t="inlineStr"/>
      <c r="J74" s="0" t="inlineStr"/>
      <c r="K74" s="0" t="inlineStr"/>
      <c r="L74" s="0" t="inlineStr"/>
      <c r="M74" s="0" t="inlineStr"/>
      <c r="N74" s="0" t="inlineStr">
        <is>
          <t>EXCLUDED — no active valet / not eligible</t>
        </is>
      </c>
      <c r="O74" s="0" t="inlineStr">
        <is>
          <t>Not in eligible FD universe (steakhouse/fine dining with active independent valet)</t>
        </is>
      </c>
    </row>
    <row r="75">
      <c r="A75" s="0" t="inlineStr">
        <is>
          <t>The Palm</t>
        </is>
      </c>
      <c r="B75" s="0" t="inlineStr">
        <is>
          <t>Restaurant</t>
        </is>
      </c>
      <c r="C75" s="216" t="inlineStr">
        <is>
          <t>Restaurant — Excluded</t>
        </is>
      </c>
      <c r="D75" s="0" t="inlineStr"/>
      <c r="E75" s="0" t="inlineStr"/>
      <c r="F75" s="0" t="inlineStr"/>
      <c r="G75" s="0" t="inlineStr"/>
      <c r="H75" s="0" t="inlineStr"/>
      <c r="I75" s="215" t="n">
        <v>25</v>
      </c>
      <c r="J75" s="0" t="inlineStr"/>
      <c r="K75" s="0" t="inlineStr"/>
      <c r="L75" s="0" t="inlineStr"/>
      <c r="M75" s="0" t="inlineStr"/>
      <c r="N75" s="0" t="inlineStr">
        <is>
          <t>EXCLUDED — no active valet / not eligible</t>
        </is>
      </c>
      <c r="O75" s="0" t="inlineStr">
        <is>
          <t>Not in eligible FD universe (steakhouse/fine dining with active independent valet)</t>
        </is>
      </c>
    </row>
    <row r="76">
      <c r="A76" s="0" t="inlineStr">
        <is>
          <t>Sullivan's Steakhouse</t>
        </is>
      </c>
      <c r="B76" s="0" t="inlineStr">
        <is>
          <t>Restaurant</t>
        </is>
      </c>
      <c r="C76" s="216" t="inlineStr">
        <is>
          <t>Restaurant — Excluded</t>
        </is>
      </c>
      <c r="D76" s="0" t="inlineStr"/>
      <c r="E76" s="0" t="inlineStr"/>
      <c r="F76" s="0" t="inlineStr"/>
      <c r="G76" s="0" t="inlineStr"/>
      <c r="H76" s="0" t="inlineStr"/>
      <c r="I76" s="215" t="n">
        <v>25</v>
      </c>
      <c r="J76" s="0" t="inlineStr"/>
      <c r="K76" s="0" t="inlineStr"/>
      <c r="L76" s="0" t="inlineStr"/>
      <c r="M76" s="0" t="inlineStr"/>
      <c r="N76" s="0" t="inlineStr">
        <is>
          <t>EXCLUDED — no active valet / not eligible</t>
        </is>
      </c>
      <c r="O76" s="0" t="inlineStr">
        <is>
          <t>Not in eligible FD universe (steakhouse/fine dining with active independent valet)</t>
        </is>
      </c>
    </row>
    <row r="77">
      <c r="A77" s="0" t="inlineStr">
        <is>
          <t>Aria and Cicchetti</t>
        </is>
      </c>
      <c r="B77" s="0" t="inlineStr">
        <is>
          <t>Restaurant</t>
        </is>
      </c>
      <c r="C77" s="216" t="inlineStr">
        <is>
          <t>Restaurant — Excluded</t>
        </is>
      </c>
      <c r="D77" s="0" t="inlineStr"/>
      <c r="E77" s="0" t="inlineStr"/>
      <c r="F77" s="0" t="inlineStr"/>
      <c r="G77" s="0" t="inlineStr"/>
      <c r="H77" s="0" t="inlineStr"/>
      <c r="I77" s="215" t="n">
        <v>25</v>
      </c>
      <c r="J77" s="0" t="inlineStr"/>
      <c r="K77" s="0" t="inlineStr"/>
      <c r="L77" s="0" t="inlineStr"/>
      <c r="M77" s="0" t="inlineStr"/>
      <c r="N77" s="0" t="inlineStr">
        <is>
          <t>EXCLUDED — no active valet / not eligible</t>
        </is>
      </c>
      <c r="O77" s="0" t="inlineStr">
        <is>
          <t>Not in eligible FD universe (steakhouse/fine dining with active independent valet)</t>
        </is>
      </c>
    </row>
    <row r="78">
      <c r="A78" s="0" t="inlineStr">
        <is>
          <t>Dressler's Steakhouse</t>
        </is>
      </c>
      <c r="B78" s="0" t="inlineStr">
        <is>
          <t>Restaurant</t>
        </is>
      </c>
      <c r="C78" s="216" t="inlineStr">
        <is>
          <t>Restaurant — Excluded</t>
        </is>
      </c>
      <c r="D78" s="0" t="inlineStr"/>
      <c r="E78" s="0" t="inlineStr"/>
      <c r="F78" s="0" t="inlineStr"/>
      <c r="G78" s="0" t="inlineStr"/>
      <c r="H78" s="0" t="inlineStr"/>
      <c r="I78" s="215" t="n">
        <v>25</v>
      </c>
      <c r="J78" s="0" t="inlineStr"/>
      <c r="K78" s="0" t="inlineStr"/>
      <c r="L78" s="0" t="inlineStr"/>
      <c r="M78" s="0" t="inlineStr"/>
      <c r="N78" s="0" t="inlineStr">
        <is>
          <t>EXCLUDED — no active valet / not eligible</t>
        </is>
      </c>
      <c r="O78" s="0" t="inlineStr">
        <is>
          <t>Not in eligible FD universe (steakhouse/fine dining with active independent valet)</t>
        </is>
      </c>
    </row>
    <row r="79">
      <c r="A79" s="0" t="inlineStr">
        <is>
          <t>Ruth's Chris</t>
        </is>
      </c>
      <c r="B79" s="0" t="inlineStr">
        <is>
          <t>Restaurant</t>
        </is>
      </c>
      <c r="C79" s="216" t="inlineStr">
        <is>
          <t>Restaurant — Steakhouse</t>
        </is>
      </c>
      <c r="D79" s="0" t="inlineStr"/>
      <c r="E79" s="0" t="n">
        <v>250</v>
      </c>
      <c r="F79" s="0" t="inlineStr"/>
      <c r="G79" s="0" t="n">
        <v>1.5</v>
      </c>
      <c r="H79" s="214" t="n">
        <v>0.125</v>
      </c>
      <c r="I79" s="215" t="n">
        <v>15</v>
      </c>
      <c r="J79" s="0" t="n">
        <v>250</v>
      </c>
      <c r="K79" s="214" t="n">
        <v>1.08</v>
      </c>
      <c r="L79" s="215" t="n">
        <v>703.125</v>
      </c>
      <c r="M79" s="215" t="n">
        <v>189843.75</v>
      </c>
      <c r="N79" s="0" t="inlineStr">
        <is>
          <t>Active TAM (MED confidence)</t>
        </is>
      </c>
      <c r="O79" s="0" t="inlineStr">
        <is>
          <t>SOPHI current operator (+1.0 lift) | Darden brand std ~240-260 seats</t>
        </is>
      </c>
    </row>
    <row r="80">
      <c r="A80" s="0" t="inlineStr">
        <is>
          <t>Ruth's Chris #2</t>
        </is>
      </c>
      <c r="B80" s="0" t="inlineStr">
        <is>
          <t>Restaurant</t>
        </is>
      </c>
      <c r="C80" s="216" t="inlineStr">
        <is>
          <t>Restaurant — Excluded</t>
        </is>
      </c>
      <c r="D80" s="0" t="inlineStr"/>
      <c r="E80" s="0" t="inlineStr"/>
      <c r="F80" s="0" t="inlineStr"/>
      <c r="G80" s="0" t="inlineStr"/>
      <c r="H80" s="0" t="inlineStr"/>
      <c r="I80" s="0" t="inlineStr"/>
      <c r="J80" s="0" t="inlineStr"/>
      <c r="K80" s="0" t="inlineStr"/>
      <c r="L80" s="0" t="inlineStr"/>
      <c r="M80" s="0" t="inlineStr"/>
      <c r="N80" s="0" t="inlineStr">
        <is>
          <t>EXCLUDED — no active valet / not eligible</t>
        </is>
      </c>
      <c r="O80" s="0" t="inlineStr">
        <is>
          <t>Not in eligible FD universe (steakhouse/fine dining with active independent valet)</t>
        </is>
      </c>
    </row>
    <row r="81">
      <c r="A81" s="0" t="inlineStr">
        <is>
          <t>Oak Steakhouse</t>
        </is>
      </c>
      <c r="B81" s="0" t="inlineStr">
        <is>
          <t>Restaurant</t>
        </is>
      </c>
      <c r="C81" s="216" t="inlineStr">
        <is>
          <t>Restaurant — Steakhouse</t>
        </is>
      </c>
      <c r="D81" s="0" t="inlineStr"/>
      <c r="E81" s="0" t="n">
        <v>175</v>
      </c>
      <c r="F81" s="0" t="inlineStr"/>
      <c r="G81" s="0" t="n">
        <v>1.5</v>
      </c>
      <c r="H81" s="214" t="n">
        <v>0.125</v>
      </c>
      <c r="I81" s="0" t="inlineStr"/>
      <c r="J81" s="0" t="n">
        <v>250</v>
      </c>
      <c r="K81" s="214" t="n">
        <v>1.08</v>
      </c>
      <c r="L81" s="215" t="n">
        <v>492.1875</v>
      </c>
      <c r="M81" s="215" t="n">
        <v>132890.625</v>
      </c>
      <c r="N81" s="0" t="inlineStr">
        <is>
          <t>Active TAM (LOW confidence)</t>
        </is>
      </c>
      <c r="O81" s="0" t="inlineStr">
        <is>
          <t>Workbook flags 'valet temporarily suspended' — include as pipeline | Indigo Road brand avg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style="211" min="1" max="1"/>
    <col width="14" customWidth="1" style="211" min="2" max="2"/>
    <col width="18" customWidth="1" style="211" min="3" max="3"/>
    <col width="36" customWidth="1" style="211" min="4" max="4"/>
  </cols>
  <sheetData>
    <row r="1">
      <c r="A1" s="217" t="inlineStr">
        <is>
          <t>Charlotte — Conservative TAM Summary</t>
        </is>
      </c>
    </row>
    <row r="3">
      <c r="A3" s="218" t="inlineStr">
        <is>
          <t>Account Type</t>
        </is>
      </c>
      <c r="B3" s="218" t="inlineStr">
        <is>
          <t># Accounts</t>
        </is>
      </c>
      <c r="C3" s="218" t="inlineStr">
        <is>
          <t>TAM</t>
        </is>
      </c>
      <c r="D3" s="218" t="inlineStr">
        <is>
          <t>Status</t>
        </is>
      </c>
    </row>
    <row r="4">
      <c r="A4" s="0" t="inlineStr">
        <is>
          <t>Hotel</t>
        </is>
      </c>
      <c r="B4" s="0" t="n">
        <v>38</v>
      </c>
      <c r="C4" s="215" t="n">
        <v>14356537.2</v>
      </c>
      <c r="D4" s="0" t="inlineStr">
        <is>
          <t>Active TAM</t>
        </is>
      </c>
    </row>
    <row r="5">
      <c r="A5" s="0" t="inlineStr">
        <is>
          <t>Restaurant</t>
        </is>
      </c>
      <c r="B5" s="0" t="n">
        <v>12</v>
      </c>
      <c r="C5" s="215" t="n">
        <v>2217375</v>
      </c>
      <c r="D5" s="0" t="inlineStr">
        <is>
          <t>Active TAM</t>
        </is>
      </c>
    </row>
    <row r="6">
      <c r="A6" s="219" t="inlineStr">
        <is>
          <t>TOTAL</t>
        </is>
      </c>
      <c r="B6" s="219" t="n">
        <v>50</v>
      </c>
      <c r="C6" s="220" t="n">
        <v>16573912.2</v>
      </c>
    </row>
    <row r="8">
      <c r="A8" s="221" t="inlineStr">
        <is>
          <t>HOTEL BREAKDOWN BY CLASS</t>
        </is>
      </c>
    </row>
    <row r="9">
      <c r="A9" s="219" t="inlineStr">
        <is>
          <t>Class</t>
        </is>
      </c>
      <c r="B9" s="219" t="inlineStr">
        <is>
          <t># Hotels</t>
        </is>
      </c>
      <c r="C9" s="219" t="inlineStr">
        <is>
          <t>Conv %</t>
        </is>
      </c>
    </row>
    <row r="10">
      <c r="A10" s="0" t="inlineStr">
        <is>
          <t>Downtown+Convention</t>
        </is>
      </c>
      <c r="B10" s="0" t="n">
        <v>6</v>
      </c>
      <c r="C10" s="222" t="n">
        <v>0.4</v>
      </c>
    </row>
    <row r="11">
      <c r="A11" s="0" t="inlineStr">
        <is>
          <t>Downtown Select-Service</t>
        </is>
      </c>
      <c r="B11" s="0" t="n">
        <v>20</v>
      </c>
      <c r="C11" s="222" t="n">
        <v>0.25</v>
      </c>
    </row>
    <row r="12">
      <c r="A12" s="0" t="inlineStr">
        <is>
          <t>Resort</t>
        </is>
      </c>
      <c r="B12" s="0" t="n">
        <v>0</v>
      </c>
      <c r="C12" s="222" t="n">
        <v>0.5</v>
      </c>
    </row>
    <row r="13">
      <c r="A13" s="0" t="inlineStr">
        <is>
          <t>Suburban/Airport</t>
        </is>
      </c>
      <c r="B13" s="0" t="n">
        <v>12</v>
      </c>
      <c r="C13" s="222" t="n">
        <v>0.15</v>
      </c>
    </row>
    <row r="15">
      <c r="A15" s="221" t="inlineStr">
        <is>
          <t>RESTAURANTS WITH ACTIVE TAM</t>
        </is>
      </c>
    </row>
    <row r="16">
      <c r="A16" s="219" t="inlineStr">
        <is>
          <t>Restaurant</t>
        </is>
      </c>
      <c r="B16" s="219" t="inlineStr">
        <is>
          <t>Seats</t>
        </is>
      </c>
      <c r="C16" s="219" t="inlineStr">
        <is>
          <t>TAM</t>
        </is>
      </c>
    </row>
    <row r="17">
      <c r="A17" s="0" t="inlineStr">
        <is>
          <t>Del Frisco's Double Eagle Steakhouse</t>
        </is>
      </c>
      <c r="B17" s="0" t="n">
        <v>400</v>
      </c>
      <c r="C17" s="215" t="n">
        <v>303750</v>
      </c>
    </row>
    <row r="18">
      <c r="A18" s="0" t="inlineStr">
        <is>
          <t>Steak 48</t>
        </is>
      </c>
      <c r="B18" s="0" t="n">
        <v>300</v>
      </c>
      <c r="C18" s="215" t="n">
        <v>227812.5</v>
      </c>
    </row>
    <row r="19">
      <c r="A19" s="0" t="inlineStr">
        <is>
          <t>STK Steakhouse</t>
        </is>
      </c>
      <c r="B19" s="0" t="n">
        <v>275</v>
      </c>
      <c r="C19" s="215" t="n">
        <v>208828.125</v>
      </c>
    </row>
    <row r="20">
      <c r="A20" s="0" t="inlineStr">
        <is>
          <t>The Capital Grille</t>
        </is>
      </c>
      <c r="B20" s="0" t="n">
        <v>250</v>
      </c>
      <c r="C20" s="215" t="n">
        <v>189843.75</v>
      </c>
    </row>
    <row r="21">
      <c r="A21" s="0" t="inlineStr">
        <is>
          <t>Eddie V's Prime Seafood</t>
        </is>
      </c>
      <c r="B21" s="0" t="n">
        <v>250</v>
      </c>
      <c r="C21" s="215" t="n">
        <v>189843.75</v>
      </c>
    </row>
    <row r="22">
      <c r="A22" s="0" t="inlineStr">
        <is>
          <t>Ruth's Chris</t>
        </is>
      </c>
      <c r="B22" s="0" t="n">
        <v>250</v>
      </c>
      <c r="C22" s="215" t="n">
        <v>189843.75</v>
      </c>
    </row>
    <row r="23">
      <c r="A23" s="0" t="inlineStr">
        <is>
          <t>Fahrenheit CLT</t>
        </is>
      </c>
      <c r="B23" s="0" t="n">
        <v>225</v>
      </c>
      <c r="C23" s="215" t="n">
        <v>170859.375</v>
      </c>
    </row>
    <row r="24">
      <c r="A24" s="0" t="inlineStr">
        <is>
          <t>Chima Steakhouse</t>
        </is>
      </c>
      <c r="B24" s="0" t="n">
        <v>220</v>
      </c>
      <c r="C24" s="215" t="n">
        <v>167062.5</v>
      </c>
    </row>
    <row r="25">
      <c r="A25" s="0" t="inlineStr">
        <is>
          <t>Morton's Steakhouse</t>
        </is>
      </c>
      <c r="B25" s="0" t="n">
        <v>200</v>
      </c>
      <c r="C25" s="215" t="n">
        <v>151875</v>
      </c>
    </row>
    <row r="26">
      <c r="A26" s="0" t="inlineStr">
        <is>
          <t>Dean's Italian Steakhouse</t>
        </is>
      </c>
      <c r="B26" s="0" t="n">
        <v>200</v>
      </c>
      <c r="C26" s="215" t="n">
        <v>151875</v>
      </c>
    </row>
    <row r="27">
      <c r="A27" s="0" t="inlineStr">
        <is>
          <t>Fleming's Prime Steakhouse &amp; Wine Bar</t>
        </is>
      </c>
      <c r="B27" s="0" t="n">
        <v>175</v>
      </c>
      <c r="C27" s="215" t="n">
        <v>132890.625</v>
      </c>
    </row>
    <row r="28">
      <c r="A28" s="0" t="inlineStr">
        <is>
          <t>Oak Steakhouse</t>
        </is>
      </c>
      <c r="B28" s="0" t="n">
        <v>175</v>
      </c>
      <c r="C28" s="215" t="n">
        <v>132890.625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style="211" min="1" max="1"/>
  </cols>
  <sheetData>
    <row r="1">
      <c r="A1" s="217" t="inlineStr">
        <is>
          <t>SOPHI CONSERVATIVE TAM METHODOLOGY</t>
        </is>
      </c>
    </row>
    <row r="2">
      <c r="A2" s="223" t="inlineStr"/>
    </row>
    <row r="3">
      <c r="A3" s="223" t="inlineStr">
        <is>
          <t>Replaces original RevenueForecasting formulas. Hospitals / Venues / Airports now qualitative only.</t>
        </is>
      </c>
    </row>
    <row r="4">
      <c r="A4" s="223" t="inlineStr"/>
    </row>
    <row r="5">
      <c r="A5" s="221" t="inlineStr">
        <is>
          <t>HOTEL FORMULA</t>
        </is>
      </c>
    </row>
    <row r="6">
      <c r="A6" s="223" t="inlineStr">
        <is>
          <t xml:space="preserve">  TAM = Rooms × Occupancy × Valet Conversion (tiered) × Valet Rate × 360 days</t>
        </is>
      </c>
    </row>
    <row r="7">
      <c r="A7" s="223" t="inlineStr">
        <is>
          <t xml:space="preserve">  Occupancy: 60% flat across all hotels</t>
        </is>
      </c>
    </row>
    <row r="8">
      <c r="A8" s="223" t="inlineStr">
        <is>
          <t xml:space="preserve">    ⚠️ FLAG: Refine with STR actuals per-submarket before finalizing fundraise model</t>
        </is>
      </c>
    </row>
    <row r="9">
      <c r="A9" s="223" t="inlineStr">
        <is>
          <t xml:space="preserve">  Valet Conversion by archetype (auto-classified — review recommended):</t>
        </is>
      </c>
    </row>
    <row r="10">
      <c r="A10" s="223" t="inlineStr">
        <is>
          <t xml:space="preserve">    Downtown+Convention:     40%</t>
        </is>
      </c>
    </row>
    <row r="11">
      <c r="A11" s="223" t="inlineStr">
        <is>
          <t xml:space="preserve">    Downtown Select-Service: 25%</t>
        </is>
      </c>
    </row>
    <row r="12">
      <c r="A12" s="223" t="inlineStr">
        <is>
          <t xml:space="preserve">    Resort:                  50%</t>
        </is>
      </c>
    </row>
    <row r="13">
      <c r="A13" s="223" t="inlineStr">
        <is>
          <t xml:space="preserve">    Suburban/Airport:        15%</t>
        </is>
      </c>
    </row>
    <row r="14">
      <c r="A14" s="223" t="inlineStr">
        <is>
          <t xml:space="preserve">  Operating Days: 360 (captures soft-closures / transition days)</t>
        </is>
      </c>
    </row>
    <row r="15">
      <c r="A15" s="223" t="inlineStr"/>
    </row>
    <row r="16">
      <c r="A16" s="221" t="inlineStr">
        <is>
          <t>RESTAURANT FORMULA</t>
        </is>
      </c>
    </row>
    <row r="17">
      <c r="A17" s="223" t="inlineStr">
        <is>
          <t xml:space="preserve">  TAM = Max Occupancy × 1.5 turns × 12.5% valet conv × $20 rate × 250 days × 1.08 peak mod</t>
        </is>
      </c>
    </row>
    <row r="18">
      <c r="A18" s="223" t="inlineStr">
        <is>
          <t xml:space="preserve">  Eligibility: only steakhouses &amp; fine dining with ACTIVE INDEPENDENT VALET today</t>
        </is>
      </c>
    </row>
    <row r="19">
      <c r="A19" s="223" t="inlineStr">
        <is>
          <t xml:space="preserve">  Excluded: no-valet, hotel-dependent valet (double-count), complimentary/validated only</t>
        </is>
      </c>
    </row>
    <row r="20">
      <c r="A20" s="223" t="inlineStr">
        <is>
          <t xml:space="preserve">  Seat data: public research (restaurant sites, OpenTable, event pages) with industry bounds</t>
        </is>
      </c>
    </row>
    <row r="21">
      <c r="A21" s="223" t="inlineStr">
        <is>
          <t xml:space="preserve">    ⚠️ FLAG: Seat counts are best-available public data; refine with direct outreach pre-fundraise</t>
        </is>
      </c>
    </row>
    <row r="22">
      <c r="A22" s="223" t="inlineStr">
        <is>
          <t xml:space="preserve">  Operating Days: 250 = 5 days/wk × 52 wks minus ~10 major holidays</t>
        </is>
      </c>
    </row>
    <row r="23">
      <c r="A23" s="223" t="inlineStr">
        <is>
          <t xml:space="preserve">  Peak Demand Modifier: +8% for V-day, NYE, Mother's/Father's Day, Christmas Eve, local peaks</t>
        </is>
      </c>
    </row>
    <row r="24">
      <c r="A24" s="223" t="inlineStr"/>
    </row>
    <row r="25">
      <c r="A25" s="221" t="inlineStr">
        <is>
          <t>HOSPITAL / EVENT VENUE / AIRPORT</t>
        </is>
      </c>
    </row>
    <row r="26">
      <c r="A26" s="223" t="inlineStr">
        <is>
          <t xml:space="preserve">  TAM = $0 (qualitative pipeline only)</t>
        </is>
      </c>
    </row>
    <row r="27">
      <c r="A27" s="223" t="inlineStr">
        <is>
          <t xml:space="preserve">  Rationale: Deal structures are RFP-driven, profit-share, or fixed-cost; not formulaic TAM.</t>
        </is>
      </c>
    </row>
    <row r="28">
      <c r="A28" s="223" t="inlineStr">
        <is>
          <t xml:space="preserve">  IU Health North reference point: $36K NOI. Once bed/patient-volume KPI is confirmed,</t>
        </is>
      </c>
    </row>
    <row r="29">
      <c r="A29" s="223" t="inlineStr">
        <is>
          <t xml:space="preserve">  this can be extrapolated for Phase 2 valuation uplift — tracked separately from TAM.</t>
        </is>
      </c>
    </row>
    <row r="30">
      <c r="A30" s="223" t="inlineStr"/>
    </row>
    <row r="31">
      <c r="A31" s="221" t="inlineStr">
        <is>
          <t>ACTIVE FLAGS TO REVIEW BEFORE FUNDRAISE</t>
        </is>
      </c>
    </row>
    <row r="32">
      <c r="A32" s="223" t="inlineStr">
        <is>
          <t xml:space="preserve">  1. Hotel occupancy 60% flat → replace with STR actuals per submarket</t>
        </is>
      </c>
    </row>
    <row r="33">
      <c r="A33" s="223" t="inlineStr">
        <is>
          <t xml:space="preserve">  2. Hotel valet-conv tier auto-classified → manual review for edge cases (e.g. Gaylord Rockies)</t>
        </is>
      </c>
    </row>
    <row r="34">
      <c r="A34" s="223" t="inlineStr">
        <is>
          <t xml:space="preserve">  3. Restaurant seat counts sourced from public data → validate via direct contact</t>
        </is>
      </c>
    </row>
    <row r="35">
      <c r="A35" s="223" t="inlineStr">
        <is>
          <t xml:space="preserve">  4. Hospital/venue/airport TAM dropped to $0 → build IU Health-benchmarked KPI proxy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style="211" min="1" max="1"/>
    <col width="13" customWidth="1" style="211" min="2" max="2"/>
    <col width="9" customWidth="1" style="211" min="3" max="3"/>
    <col width="7" customWidth="1" style="211" min="4" max="4"/>
    <col width="18" customWidth="1" style="211" min="5" max="5"/>
    <col width="9" customWidth="1" style="211" min="6" max="6"/>
    <col width="14" customWidth="1" style="211" min="7" max="7"/>
    <col width="7" customWidth="1" style="211" min="8" max="8"/>
    <col width="7" customWidth="1" style="211" min="9" max="9"/>
    <col width="10" customWidth="1" style="211" min="10" max="10"/>
    <col width="7" customWidth="1" style="211" min="11" max="11"/>
    <col width="7" customWidth="1" style="211" min="12" max="12"/>
    <col width="7" customWidth="1" style="211" min="13" max="13"/>
    <col width="24" customWidth="1" style="211" min="14" max="14"/>
    <col width="8" customWidth="1" style="211" min="15" max="15"/>
    <col width="8" customWidth="1" style="211" min="16" max="16"/>
    <col width="18" customWidth="1" style="211" min="17" max="17"/>
    <col width="7" customWidth="1" style="211" min="18" max="18"/>
    <col width="7" customWidth="1" style="211" min="19" max="19"/>
    <col width="7" customWidth="1" style="211" min="20" max="20"/>
    <col width="7" customWidth="1" style="211" min="21" max="21"/>
    <col width="7" customWidth="1" style="211" min="22" max="22"/>
    <col width="12" customWidth="1" style="211" min="23" max="23"/>
    <col width="12" customWidth="1" style="211" min="24" max="24"/>
    <col width="12" customWidth="1" style="211" min="25" max="25"/>
    <col width="12" customWidth="1" style="211" min="26" max="26"/>
    <col width="12" customWidth="1" style="211" min="27" max="27"/>
  </cols>
  <sheetData>
    <row r="1">
      <c r="A1" s="212" t="inlineStr">
        <is>
          <t>Account</t>
        </is>
      </c>
      <c r="B1" s="212" t="inlineStr">
        <is>
          <t>Type</t>
        </is>
      </c>
      <c r="C1" s="212" t="inlineStr">
        <is>
          <t>Downtown</t>
        </is>
      </c>
      <c r="D1" s="212" t="inlineStr">
        <is>
          <t>Rooms</t>
        </is>
      </c>
      <c r="E1" s="212" t="inlineStr">
        <is>
          <t>Valet Op (incumbent)</t>
        </is>
      </c>
      <c r="F1" s="212" t="inlineStr">
        <is>
          <t>Valet Rate</t>
        </is>
      </c>
      <c r="G1" s="212" t="inlineStr">
        <is>
          <t>Est. Annual Rev (TAM)</t>
        </is>
      </c>
      <c r="H1" s="212" t="inlineStr">
        <is>
          <t>Fit (25%)</t>
        </is>
      </c>
      <c r="I1" s="212" t="inlineStr">
        <is>
          <t>Size (25%)</t>
        </is>
      </c>
      <c r="J1" s="212" t="inlineStr">
        <is>
          <t>Owner Base (20%)</t>
        </is>
      </c>
      <c r="K1" s="212" t="inlineStr">
        <is>
          <t>Addr (15%)</t>
        </is>
      </c>
      <c r="L1" s="212" t="inlineStr">
        <is>
          <t>Adj (15%)</t>
        </is>
      </c>
      <c r="M1" s="212" t="inlineStr">
        <is>
          <t>Rel Lift</t>
        </is>
      </c>
      <c r="N1" s="212" t="inlineStr">
        <is>
          <t>Rel Tag</t>
        </is>
      </c>
      <c r="O1" s="212" t="inlineStr">
        <is>
          <t>WAS Raw</t>
        </is>
      </c>
      <c r="P1" s="212" t="inlineStr">
        <is>
          <t>WAS Final</t>
        </is>
      </c>
      <c r="Q1" s="212" t="inlineStr">
        <is>
          <t>Tier</t>
        </is>
      </c>
      <c r="R1" s="212" t="inlineStr">
        <is>
          <t>Y1 %</t>
        </is>
      </c>
      <c r="S1" s="212" t="inlineStr">
        <is>
          <t>Y2 %</t>
        </is>
      </c>
      <c r="T1" s="212" t="inlineStr">
        <is>
          <t>Y3 %</t>
        </is>
      </c>
      <c r="U1" s="212" t="inlineStr">
        <is>
          <t>Y4 %</t>
        </is>
      </c>
      <c r="V1" s="212" t="inlineStr">
        <is>
          <t>Y5 %</t>
        </is>
      </c>
      <c r="W1" s="212" t="inlineStr">
        <is>
          <t>Y1 Rev</t>
        </is>
      </c>
      <c r="X1" s="212" t="inlineStr">
        <is>
          <t>Y2 Rev</t>
        </is>
      </c>
      <c r="Y1" s="212" t="inlineStr">
        <is>
          <t>Y3 Rev</t>
        </is>
      </c>
      <c r="Z1" s="212" t="inlineStr">
        <is>
          <t>Y4 Rev</t>
        </is>
      </c>
      <c r="AA1" s="212" t="inlineStr">
        <is>
          <t>Y5 Rev</t>
        </is>
      </c>
    </row>
    <row r="2">
      <c r="A2" t="inlineStr">
        <is>
          <t>Aloft Charlotte City Center</t>
        </is>
      </c>
      <c r="B2" t="inlineStr">
        <is>
          <t>Hotel</t>
        </is>
      </c>
      <c r="C2" t="inlineStr">
        <is>
          <t>YES</t>
        </is>
      </c>
      <c r="D2" t="n">
        <v>175</v>
      </c>
      <c r="E2" t="inlineStr">
        <is>
          <t>Preferred Parking</t>
        </is>
      </c>
      <c r="F2" t="n">
        <v>25</v>
      </c>
      <c r="G2" s="215" t="n">
        <v>236250</v>
      </c>
      <c r="H2" t="n">
        <v>4</v>
      </c>
      <c r="I2" t="n">
        <v>1</v>
      </c>
      <c r="J2" t="n">
        <v>2</v>
      </c>
      <c r="K2" t="n">
        <v>3</v>
      </c>
      <c r="L2" t="n">
        <v>4</v>
      </c>
      <c r="M2" s="224" t="n">
        <v>0.3</v>
      </c>
      <c r="N2" t="inlineStr">
        <is>
          <t>Brand familiarity (current): Marriott_family</t>
        </is>
      </c>
      <c r="O2" s="224" t="n">
        <v>2.7</v>
      </c>
      <c r="P2" s="224" t="n">
        <v>3</v>
      </c>
      <c r="Q2" s="225" t="inlineStr">
        <is>
          <t>C — Opportunistic</t>
        </is>
      </c>
      <c r="R2" s="214" t="n">
        <v>0.11</v>
      </c>
      <c r="S2" s="214" t="n">
        <v>0.20375</v>
      </c>
      <c r="T2" s="214" t="n">
        <v>0.365625</v>
      </c>
      <c r="U2" s="214" t="n">
        <v>0.48375</v>
      </c>
      <c r="V2" s="214" t="n">
        <v>0.5625</v>
      </c>
      <c r="W2" s="215" t="n">
        <v>25987.5</v>
      </c>
      <c r="X2" s="215" t="n">
        <v>48135.9375</v>
      </c>
      <c r="Y2" s="215" t="n">
        <v>86378.90625</v>
      </c>
      <c r="Z2" s="215" t="n">
        <v>114285.9375</v>
      </c>
      <c r="AA2" s="215" t="n">
        <v>132890.625</v>
      </c>
    </row>
    <row r="3">
      <c r="A3" t="inlineStr">
        <is>
          <t>Courtyard By Marriott</t>
        </is>
      </c>
      <c r="B3" t="inlineStr">
        <is>
          <t>Hotel</t>
        </is>
      </c>
      <c r="C3" t="inlineStr">
        <is>
          <t>YES</t>
        </is>
      </c>
      <c r="D3" t="n">
        <v>181</v>
      </c>
      <c r="E3" t="inlineStr">
        <is>
          <t>None</t>
        </is>
      </c>
      <c r="F3" t="inlineStr"/>
      <c r="G3" s="215" t="n">
        <v>0</v>
      </c>
      <c r="H3" t="n">
        <v>4</v>
      </c>
      <c r="I3" t="n">
        <v>1</v>
      </c>
      <c r="J3" t="n">
        <v>3</v>
      </c>
      <c r="K3" t="n">
        <v>3</v>
      </c>
      <c r="L3" t="n">
        <v>4</v>
      </c>
      <c r="M3" s="224" t="n">
        <v>0.3</v>
      </c>
      <c r="N3" t="inlineStr">
        <is>
          <t>Brand familiarity (current): Marriott_family</t>
        </is>
      </c>
      <c r="O3" s="224" t="n">
        <v>2.9</v>
      </c>
      <c r="P3" s="224" t="n">
        <v>3.2</v>
      </c>
      <c r="Q3" s="225" t="inlineStr">
        <is>
          <t>C — Opportunistic</t>
        </is>
      </c>
      <c r="R3" s="214" t="n">
        <v>0.11</v>
      </c>
      <c r="S3" s="214" t="n">
        <v>0.20375</v>
      </c>
      <c r="T3" s="214" t="n">
        <v>0.365625</v>
      </c>
      <c r="U3" s="214" t="n">
        <v>0.48375</v>
      </c>
      <c r="V3" s="214" t="n">
        <v>0.5625</v>
      </c>
      <c r="W3" s="215" t="n">
        <v>0</v>
      </c>
      <c r="X3" s="215" t="n">
        <v>0</v>
      </c>
      <c r="Y3" s="215" t="n">
        <v>0</v>
      </c>
      <c r="Z3" s="215" t="n">
        <v>0</v>
      </c>
      <c r="AA3" s="215" t="n">
        <v>0</v>
      </c>
    </row>
    <row r="4">
      <c r="A4" t="inlineStr">
        <is>
          <t>Fairfield Inn &amp; Suites</t>
        </is>
      </c>
      <c r="B4" t="inlineStr">
        <is>
          <t>Hotel</t>
        </is>
      </c>
      <c r="C4" t="inlineStr">
        <is>
          <t>YES</t>
        </is>
      </c>
      <c r="D4" t="n">
        <v>196</v>
      </c>
      <c r="E4" t="inlineStr">
        <is>
          <t>None</t>
        </is>
      </c>
      <c r="F4" t="inlineStr"/>
      <c r="G4" s="215" t="n">
        <v>0</v>
      </c>
      <c r="H4" t="n">
        <v>4</v>
      </c>
      <c r="I4" t="n">
        <v>1</v>
      </c>
      <c r="J4" t="n">
        <v>2</v>
      </c>
      <c r="K4" t="n">
        <v>3</v>
      </c>
      <c r="L4" t="n">
        <v>4</v>
      </c>
      <c r="M4" s="224" t="n">
        <v>0.3</v>
      </c>
      <c r="N4" t="inlineStr">
        <is>
          <t>Brand familiarity (current): Marriott_family</t>
        </is>
      </c>
      <c r="O4" s="224" t="n">
        <v>2.7</v>
      </c>
      <c r="P4" s="224" t="n">
        <v>3</v>
      </c>
      <c r="Q4" s="225" t="inlineStr">
        <is>
          <t>C — Opportunistic</t>
        </is>
      </c>
      <c r="R4" s="214" t="n">
        <v>0.11</v>
      </c>
      <c r="S4" s="214" t="n">
        <v>0.20375</v>
      </c>
      <c r="T4" s="214" t="n">
        <v>0.365625</v>
      </c>
      <c r="U4" s="214" t="n">
        <v>0.48375</v>
      </c>
      <c r="V4" s="214" t="n">
        <v>0.5625</v>
      </c>
      <c r="W4" s="215" t="n">
        <v>0</v>
      </c>
      <c r="X4" s="215" t="n">
        <v>0</v>
      </c>
      <c r="Y4" s="215" t="n">
        <v>0</v>
      </c>
      <c r="Z4" s="215" t="n">
        <v>0</v>
      </c>
      <c r="AA4" s="215" t="n">
        <v>0</v>
      </c>
    </row>
    <row r="5">
      <c r="A5" t="inlineStr">
        <is>
          <t>Hampton Inn Uptown</t>
        </is>
      </c>
      <c r="B5" t="inlineStr">
        <is>
          <t>Hotel</t>
        </is>
      </c>
      <c r="C5" t="inlineStr">
        <is>
          <t>YES</t>
        </is>
      </c>
      <c r="D5" t="n">
        <v>250</v>
      </c>
      <c r="E5" t="inlineStr">
        <is>
          <t>None</t>
        </is>
      </c>
      <c r="F5" t="inlineStr"/>
      <c r="G5" s="215" t="n">
        <v>0</v>
      </c>
      <c r="H5" t="n">
        <v>4</v>
      </c>
      <c r="I5" t="n">
        <v>1</v>
      </c>
      <c r="J5" t="n">
        <v>3</v>
      </c>
      <c r="K5" t="n">
        <v>3</v>
      </c>
      <c r="L5" t="n">
        <v>4</v>
      </c>
      <c r="M5" s="224" t="n">
        <v>0.15</v>
      </c>
      <c r="N5" t="inlineStr">
        <is>
          <t>Brand familiarity (historical): Hilton_family</t>
        </is>
      </c>
      <c r="O5" s="224" t="n">
        <v>2.9</v>
      </c>
      <c r="P5" s="224" t="n">
        <v>3.05</v>
      </c>
      <c r="Q5" s="225" t="inlineStr">
        <is>
          <t>C — Opportunistic</t>
        </is>
      </c>
      <c r="R5" s="214" t="n">
        <v>0.11</v>
      </c>
      <c r="S5" s="214" t="n">
        <v>0.20375</v>
      </c>
      <c r="T5" s="214" t="n">
        <v>0.365625</v>
      </c>
      <c r="U5" s="214" t="n">
        <v>0.48375</v>
      </c>
      <c r="V5" s="214" t="n">
        <v>0.5625</v>
      </c>
      <c r="W5" s="215" t="n">
        <v>0</v>
      </c>
      <c r="X5" s="215" t="n">
        <v>0</v>
      </c>
      <c r="Y5" s="215" t="n">
        <v>0</v>
      </c>
      <c r="Z5" s="215" t="n">
        <v>0</v>
      </c>
      <c r="AA5" s="215" t="n">
        <v>0</v>
      </c>
    </row>
    <row r="6">
      <c r="A6" t="inlineStr">
        <is>
          <t>Hilton Garden Inn (SouthPark)</t>
        </is>
      </c>
      <c r="B6" t="inlineStr">
        <is>
          <t>Hotel</t>
        </is>
      </c>
      <c r="C6" t="inlineStr">
        <is>
          <t>NO</t>
        </is>
      </c>
      <c r="D6" t="n">
        <v>160</v>
      </c>
      <c r="E6" t="inlineStr">
        <is>
          <t>None</t>
        </is>
      </c>
      <c r="F6" t="inlineStr"/>
      <c r="G6" s="215" t="n">
        <v>0</v>
      </c>
      <c r="H6" t="n">
        <v>3</v>
      </c>
      <c r="I6" t="n">
        <v>1</v>
      </c>
      <c r="J6" t="n">
        <v>3</v>
      </c>
      <c r="K6" t="n">
        <v>3</v>
      </c>
      <c r="L6" t="n">
        <v>2</v>
      </c>
      <c r="M6" s="224" t="n">
        <v>0.15</v>
      </c>
      <c r="N6" t="inlineStr">
        <is>
          <t>Brand familiarity (historical): Hilton_family</t>
        </is>
      </c>
      <c r="O6" s="224" t="n">
        <v>2.35</v>
      </c>
      <c r="P6" s="224" t="n">
        <v>2.5</v>
      </c>
      <c r="Q6" s="225" t="inlineStr">
        <is>
          <t>C — Opportunistic</t>
        </is>
      </c>
      <c r="R6" s="214" t="n">
        <v>0.11</v>
      </c>
      <c r="S6" s="214" t="n">
        <v>0.20375</v>
      </c>
      <c r="T6" s="214" t="n">
        <v>0.365625</v>
      </c>
      <c r="U6" s="214" t="n">
        <v>0.48375</v>
      </c>
      <c r="V6" s="214" t="n">
        <v>0.5625</v>
      </c>
      <c r="W6" s="215" t="n">
        <v>0</v>
      </c>
      <c r="X6" s="215" t="n">
        <v>0</v>
      </c>
      <c r="Y6" s="215" t="n">
        <v>0</v>
      </c>
      <c r="Z6" s="215" t="n">
        <v>0</v>
      </c>
      <c r="AA6" s="215" t="n">
        <v>0</v>
      </c>
    </row>
    <row r="7">
      <c r="A7" t="inlineStr">
        <is>
          <t>Hilton/Hilton Garden Inn</t>
        </is>
      </c>
      <c r="B7" t="inlineStr">
        <is>
          <t>Hotel</t>
        </is>
      </c>
      <c r="C7" t="inlineStr">
        <is>
          <t>YES</t>
        </is>
      </c>
      <c r="D7" t="n">
        <v>181</v>
      </c>
      <c r="E7" t="inlineStr">
        <is>
          <t>None</t>
        </is>
      </c>
      <c r="F7" t="inlineStr"/>
      <c r="G7" s="215" t="n">
        <v>0</v>
      </c>
      <c r="H7" t="n">
        <v>4</v>
      </c>
      <c r="I7" t="n">
        <v>1</v>
      </c>
      <c r="J7" t="n">
        <v>3</v>
      </c>
      <c r="K7" t="n">
        <v>3</v>
      </c>
      <c r="L7" t="n">
        <v>4</v>
      </c>
      <c r="M7" s="224" t="n">
        <v>0.15</v>
      </c>
      <c r="N7" t="inlineStr">
        <is>
          <t>Brand familiarity (historical): Hilton_family</t>
        </is>
      </c>
      <c r="O7" s="224" t="n">
        <v>2.9</v>
      </c>
      <c r="P7" s="224" t="n">
        <v>3.05</v>
      </c>
      <c r="Q7" s="225" t="inlineStr">
        <is>
          <t>C — Opportunistic</t>
        </is>
      </c>
      <c r="R7" s="214" t="n">
        <v>0.11</v>
      </c>
      <c r="S7" s="214" t="n">
        <v>0.20375</v>
      </c>
      <c r="T7" s="214" t="n">
        <v>0.365625</v>
      </c>
      <c r="U7" s="214" t="n">
        <v>0.48375</v>
      </c>
      <c r="V7" s="214" t="n">
        <v>0.5625</v>
      </c>
      <c r="W7" s="215" t="n">
        <v>0</v>
      </c>
      <c r="X7" s="215" t="n">
        <v>0</v>
      </c>
      <c r="Y7" s="215" t="n">
        <v>0</v>
      </c>
      <c r="Z7" s="215" t="n">
        <v>0</v>
      </c>
      <c r="AA7" s="215" t="n">
        <v>0</v>
      </c>
    </row>
    <row r="8">
      <c r="A8" t="inlineStr">
        <is>
          <t>Home2Suites</t>
        </is>
      </c>
      <c r="B8" t="inlineStr">
        <is>
          <t>Hotel</t>
        </is>
      </c>
      <c r="C8" t="inlineStr">
        <is>
          <t>YES</t>
        </is>
      </c>
      <c r="D8" t="n">
        <v>180</v>
      </c>
      <c r="E8" t="inlineStr">
        <is>
          <t>None</t>
        </is>
      </c>
      <c r="F8" t="inlineStr"/>
      <c r="G8" s="215" t="n">
        <v>0</v>
      </c>
      <c r="H8" t="n">
        <v>4</v>
      </c>
      <c r="I8" t="n">
        <v>1</v>
      </c>
      <c r="J8" t="n">
        <v>2</v>
      </c>
      <c r="K8" t="n">
        <v>3</v>
      </c>
      <c r="L8" t="n">
        <v>4</v>
      </c>
      <c r="M8" s="224" t="n">
        <v>0</v>
      </c>
      <c r="N8" t="inlineStr"/>
      <c r="O8" s="224" t="n">
        <v>2.7</v>
      </c>
      <c r="P8" s="224" t="n">
        <v>2.7</v>
      </c>
      <c r="Q8" s="225" t="inlineStr">
        <is>
          <t>C — Opportunistic</t>
        </is>
      </c>
      <c r="R8" s="214" t="n">
        <v>0.11</v>
      </c>
      <c r="S8" s="214" t="n">
        <v>0.20375</v>
      </c>
      <c r="T8" s="214" t="n">
        <v>0.365625</v>
      </c>
      <c r="U8" s="214" t="n">
        <v>0.48375</v>
      </c>
      <c r="V8" s="214" t="n">
        <v>0.5625</v>
      </c>
      <c r="W8" s="215" t="n">
        <v>0</v>
      </c>
      <c r="X8" s="215" t="n">
        <v>0</v>
      </c>
      <c r="Y8" s="215" t="n">
        <v>0</v>
      </c>
      <c r="Z8" s="215" t="n">
        <v>0</v>
      </c>
      <c r="AA8" s="215" t="n">
        <v>0</v>
      </c>
    </row>
    <row r="9">
      <c r="A9" t="inlineStr">
        <is>
          <t>Hilton Charlotte Uptown</t>
        </is>
      </c>
      <c r="B9" t="inlineStr">
        <is>
          <t>Hotel</t>
        </is>
      </c>
      <c r="C9" t="inlineStr">
        <is>
          <t>YES</t>
        </is>
      </c>
      <c r="D9" t="n">
        <v>149</v>
      </c>
      <c r="E9" t="inlineStr">
        <is>
          <t>PMC</t>
        </is>
      </c>
      <c r="F9" t="n">
        <v>34</v>
      </c>
      <c r="G9" s="215" t="n">
        <v>273564</v>
      </c>
      <c r="H9" t="n">
        <v>3</v>
      </c>
      <c r="I9" t="n">
        <v>2</v>
      </c>
      <c r="J9" t="n">
        <v>3</v>
      </c>
      <c r="K9" t="n">
        <v>3</v>
      </c>
      <c r="L9" t="n">
        <v>4</v>
      </c>
      <c r="M9" s="224" t="n">
        <v>0.15</v>
      </c>
      <c r="N9" t="inlineStr">
        <is>
          <t>Brand familiarity (historical): Hilton_family</t>
        </is>
      </c>
      <c r="O9" s="224" t="n">
        <v>2.9</v>
      </c>
      <c r="P9" s="224" t="n">
        <v>3.05</v>
      </c>
      <c r="Q9" s="225" t="inlineStr">
        <is>
          <t>C — Opportunistic</t>
        </is>
      </c>
      <c r="R9" s="214" t="n">
        <v>0.11</v>
      </c>
      <c r="S9" s="214" t="n">
        <v>0.20375</v>
      </c>
      <c r="T9" s="214" t="n">
        <v>0.365625</v>
      </c>
      <c r="U9" s="214" t="n">
        <v>0.48375</v>
      </c>
      <c r="V9" s="214" t="n">
        <v>0.5625</v>
      </c>
      <c r="W9" s="215" t="n">
        <v>30092.04</v>
      </c>
      <c r="X9" s="215" t="n">
        <v>55738.665</v>
      </c>
      <c r="Y9" s="215" t="n">
        <v>100021.8375</v>
      </c>
      <c r="Z9" s="215" t="n">
        <v>132336.585</v>
      </c>
      <c r="AA9" s="215" t="n">
        <v>153879.75</v>
      </c>
    </row>
    <row r="10">
      <c r="A10" t="inlineStr">
        <is>
          <t>Le Meridien Charlotte</t>
        </is>
      </c>
      <c r="B10" t="inlineStr">
        <is>
          <t>Hotel</t>
        </is>
      </c>
      <c r="C10" t="inlineStr">
        <is>
          <t>YES</t>
        </is>
      </c>
      <c r="D10" t="n">
        <v>300</v>
      </c>
      <c r="E10" t="inlineStr"/>
      <c r="F10" t="n">
        <v>35</v>
      </c>
      <c r="G10" s="215" t="n">
        <v>907200</v>
      </c>
      <c r="H10" t="n">
        <v>5</v>
      </c>
      <c r="I10" t="n">
        <v>3</v>
      </c>
      <c r="J10" t="n">
        <v>2</v>
      </c>
      <c r="K10" t="n">
        <v>4</v>
      </c>
      <c r="L10" t="n">
        <v>4</v>
      </c>
      <c r="M10" s="224" t="n">
        <v>0</v>
      </c>
      <c r="N10" t="inlineStr"/>
      <c r="O10" s="224" t="n">
        <v>3.6</v>
      </c>
      <c r="P10" s="224" t="n">
        <v>3.6</v>
      </c>
      <c r="Q10" s="226" t="inlineStr">
        <is>
          <t>B — Core</t>
        </is>
      </c>
      <c r="R10" s="214" t="n">
        <v>0.275</v>
      </c>
      <c r="S10" s="214" t="n">
        <v>0.43625</v>
      </c>
      <c r="T10" s="214" t="n">
        <v>0.690625</v>
      </c>
      <c r="U10" s="214" t="n">
        <v>0.8762500000000001</v>
      </c>
      <c r="V10" s="214" t="n">
        <v>1</v>
      </c>
      <c r="W10" s="215" t="n">
        <v>249480</v>
      </c>
      <c r="X10" s="215" t="n">
        <v>395766</v>
      </c>
      <c r="Y10" s="215" t="n">
        <v>626535</v>
      </c>
      <c r="Z10" s="215" t="n">
        <v>794934.0000000001</v>
      </c>
      <c r="AA10" s="215" t="n">
        <v>907200</v>
      </c>
    </row>
    <row r="11">
      <c r="A11" t="inlineStr">
        <is>
          <t>Sheraton Hotel</t>
        </is>
      </c>
      <c r="B11" t="inlineStr">
        <is>
          <t>Hotel</t>
        </is>
      </c>
      <c r="C11" t="inlineStr">
        <is>
          <t>YES</t>
        </is>
      </c>
      <c r="D11" t="n">
        <v>305</v>
      </c>
      <c r="E11" t="inlineStr"/>
      <c r="F11" t="n">
        <v>35</v>
      </c>
      <c r="G11" s="215" t="n">
        <v>922320</v>
      </c>
      <c r="H11" t="n">
        <v>5</v>
      </c>
      <c r="I11" t="n">
        <v>3</v>
      </c>
      <c r="J11" t="n">
        <v>3</v>
      </c>
      <c r="K11" t="n">
        <v>4</v>
      </c>
      <c r="L11" t="n">
        <v>4</v>
      </c>
      <c r="M11" s="224" t="n">
        <v>0.3</v>
      </c>
      <c r="N11" t="inlineStr">
        <is>
          <t>Brand familiarity (current): Marriott_family</t>
        </is>
      </c>
      <c r="O11" s="224" t="n">
        <v>3.8</v>
      </c>
      <c r="P11" s="224" t="n">
        <v>4.1</v>
      </c>
      <c r="Q11" s="226" t="inlineStr">
        <is>
          <t>B — Core</t>
        </is>
      </c>
      <c r="R11" s="214" t="n">
        <v>0.275</v>
      </c>
      <c r="S11" s="214" t="n">
        <v>0.43625</v>
      </c>
      <c r="T11" s="214" t="n">
        <v>0.690625</v>
      </c>
      <c r="U11" s="214" t="n">
        <v>0.8762500000000001</v>
      </c>
      <c r="V11" s="214" t="n">
        <v>1</v>
      </c>
      <c r="W11" s="215" t="n">
        <v>253638</v>
      </c>
      <c r="X11" s="215" t="n">
        <v>402362.1</v>
      </c>
      <c r="Y11" s="215" t="n">
        <v>636977.25</v>
      </c>
      <c r="Z11" s="215" t="n">
        <v>808182.9</v>
      </c>
      <c r="AA11" s="215" t="n">
        <v>922320</v>
      </c>
    </row>
    <row r="12">
      <c r="A12" t="inlineStr">
        <is>
          <t>The Ivey's Hotel</t>
        </is>
      </c>
      <c r="B12" t="inlineStr">
        <is>
          <t>Hotel</t>
        </is>
      </c>
      <c r="C12" t="inlineStr">
        <is>
          <t>YES</t>
        </is>
      </c>
      <c r="D12" t="n">
        <v>47</v>
      </c>
      <c r="E12" t="inlineStr">
        <is>
          <t>PMC</t>
        </is>
      </c>
      <c r="F12" t="n">
        <v>35</v>
      </c>
      <c r="G12" s="215" t="n">
        <v>88830</v>
      </c>
      <c r="H12" t="n">
        <v>2</v>
      </c>
      <c r="I12" t="n">
        <v>1</v>
      </c>
      <c r="J12" t="n">
        <v>2</v>
      </c>
      <c r="K12" t="n">
        <v>3</v>
      </c>
      <c r="L12" t="n">
        <v>4</v>
      </c>
      <c r="M12" s="224" t="n">
        <v>0</v>
      </c>
      <c r="N12" t="inlineStr"/>
      <c r="O12" s="224" t="n">
        <v>2.2</v>
      </c>
      <c r="P12" s="224" t="n">
        <v>2.2</v>
      </c>
      <c r="Q12" s="227" t="inlineStr">
        <is>
          <t>D — Deprioritized</t>
        </is>
      </c>
      <c r="R12" s="214" t="n">
        <v>0</v>
      </c>
      <c r="S12" s="214" t="n">
        <v>0.027</v>
      </c>
      <c r="T12" s="214" t="n">
        <v>0.0825</v>
      </c>
      <c r="U12" s="214" t="n">
        <v>0.123</v>
      </c>
      <c r="V12" s="214" t="n">
        <v>0.15</v>
      </c>
      <c r="W12" s="215" t="n">
        <v>0</v>
      </c>
      <c r="X12" s="215" t="n">
        <v>2398.41</v>
      </c>
      <c r="Y12" s="215" t="n">
        <v>7328.475</v>
      </c>
      <c r="Z12" s="215" t="n">
        <v>10926.09</v>
      </c>
      <c r="AA12" s="215" t="n">
        <v>13324.5</v>
      </c>
    </row>
    <row r="13">
      <c r="A13" t="inlineStr">
        <is>
          <t>Hyatt Place</t>
        </is>
      </c>
      <c r="B13" t="inlineStr">
        <is>
          <t>Hotel</t>
        </is>
      </c>
      <c r="C13" t="inlineStr">
        <is>
          <t>YES</t>
        </is>
      </c>
      <c r="D13" t="n">
        <v>172</v>
      </c>
      <c r="E13" t="inlineStr">
        <is>
          <t>PMC</t>
        </is>
      </c>
      <c r="F13" t="n">
        <v>38</v>
      </c>
      <c r="G13" s="215" t="n">
        <v>352944</v>
      </c>
      <c r="H13" t="n">
        <v>4</v>
      </c>
      <c r="I13" t="n">
        <v>2</v>
      </c>
      <c r="J13" t="n">
        <v>3</v>
      </c>
      <c r="K13" t="n">
        <v>3</v>
      </c>
      <c r="L13" t="n">
        <v>4</v>
      </c>
      <c r="M13" s="224" t="n">
        <v>0</v>
      </c>
      <c r="N13" t="inlineStr"/>
      <c r="O13" s="224" t="n">
        <v>3.15</v>
      </c>
      <c r="P13" s="224" t="n">
        <v>3.15</v>
      </c>
      <c r="Q13" s="225" t="inlineStr">
        <is>
          <t>C — Opportunistic</t>
        </is>
      </c>
      <c r="R13" s="214" t="n">
        <v>0.11</v>
      </c>
      <c r="S13" s="214" t="n">
        <v>0.20375</v>
      </c>
      <c r="T13" s="214" t="n">
        <v>0.365625</v>
      </c>
      <c r="U13" s="214" t="n">
        <v>0.48375</v>
      </c>
      <c r="V13" s="214" t="n">
        <v>0.5625</v>
      </c>
      <c r="W13" s="215" t="n">
        <v>38823.84</v>
      </c>
      <c r="X13" s="215" t="n">
        <v>71912.34000000001</v>
      </c>
      <c r="Y13" s="215" t="n">
        <v>129045.15</v>
      </c>
      <c r="Z13" s="215" t="n">
        <v>170736.66</v>
      </c>
      <c r="AA13" s="215" t="n">
        <v>198531</v>
      </c>
    </row>
    <row r="14">
      <c r="A14" t="inlineStr">
        <is>
          <t>The Dunhill</t>
        </is>
      </c>
      <c r="B14" t="inlineStr">
        <is>
          <t>Hotel</t>
        </is>
      </c>
      <c r="C14" t="inlineStr">
        <is>
          <t>YES</t>
        </is>
      </c>
      <c r="D14" t="n">
        <v>60</v>
      </c>
      <c r="E14" t="inlineStr">
        <is>
          <t>In House</t>
        </is>
      </c>
      <c r="F14" t="n">
        <v>38</v>
      </c>
      <c r="G14" s="215" t="n">
        <v>123120</v>
      </c>
      <c r="H14" t="n">
        <v>2</v>
      </c>
      <c r="I14" t="n">
        <v>1</v>
      </c>
      <c r="J14" t="n">
        <v>2</v>
      </c>
      <c r="K14" t="n">
        <v>5</v>
      </c>
      <c r="L14" t="n">
        <v>4</v>
      </c>
      <c r="M14" s="224" t="n">
        <v>0</v>
      </c>
      <c r="N14" t="inlineStr"/>
      <c r="O14" s="224" t="n">
        <v>2.5</v>
      </c>
      <c r="P14" s="224" t="n">
        <v>2.5</v>
      </c>
      <c r="Q14" s="225" t="inlineStr">
        <is>
          <t>C — Opportunistic</t>
        </is>
      </c>
      <c r="R14" s="214" t="n">
        <v>0.11</v>
      </c>
      <c r="S14" s="214" t="n">
        <v>0.20375</v>
      </c>
      <c r="T14" s="214" t="n">
        <v>0.365625</v>
      </c>
      <c r="U14" s="214" t="n">
        <v>0.48375</v>
      </c>
      <c r="V14" s="214" t="n">
        <v>0.5625</v>
      </c>
      <c r="W14" s="215" t="n">
        <v>13543.2</v>
      </c>
      <c r="X14" s="215" t="n">
        <v>25085.7</v>
      </c>
      <c r="Y14" s="215" t="n">
        <v>45015.75</v>
      </c>
      <c r="Z14" s="215" t="n">
        <v>59559.3</v>
      </c>
      <c r="AA14" s="215" t="n">
        <v>69255</v>
      </c>
    </row>
    <row r="15">
      <c r="A15" t="inlineStr">
        <is>
          <t>AC Hotel Residents inn</t>
        </is>
      </c>
      <c r="B15" t="inlineStr">
        <is>
          <t>Hotel</t>
        </is>
      </c>
      <c r="C15" t="inlineStr">
        <is>
          <t>YES</t>
        </is>
      </c>
      <c r="D15" t="n">
        <v>149</v>
      </c>
      <c r="E15" t="inlineStr">
        <is>
          <t>PMC</t>
        </is>
      </c>
      <c r="F15" t="n">
        <v>40</v>
      </c>
      <c r="G15" s="215" t="n">
        <v>321839.9999999999</v>
      </c>
      <c r="H15" t="n">
        <v>3</v>
      </c>
      <c r="I15" t="n">
        <v>2</v>
      </c>
      <c r="J15" t="n">
        <v>2</v>
      </c>
      <c r="K15" t="n">
        <v>3</v>
      </c>
      <c r="L15" t="n">
        <v>4</v>
      </c>
      <c r="M15" s="224" t="n">
        <v>0</v>
      </c>
      <c r="N15" t="inlineStr"/>
      <c r="O15" s="224" t="n">
        <v>2.7</v>
      </c>
      <c r="P15" s="224" t="n">
        <v>2.7</v>
      </c>
      <c r="Q15" s="225" t="inlineStr">
        <is>
          <t>C — Opportunistic</t>
        </is>
      </c>
      <c r="R15" s="214" t="n">
        <v>0.11</v>
      </c>
      <c r="S15" s="214" t="n">
        <v>0.20375</v>
      </c>
      <c r="T15" s="214" t="n">
        <v>0.365625</v>
      </c>
      <c r="U15" s="214" t="n">
        <v>0.48375</v>
      </c>
      <c r="V15" s="214" t="n">
        <v>0.5625</v>
      </c>
      <c r="W15" s="215" t="n">
        <v>35402.39999999999</v>
      </c>
      <c r="X15" s="215" t="n">
        <v>65574.89999999998</v>
      </c>
      <c r="Y15" s="215" t="n">
        <v>117672.75</v>
      </c>
      <c r="Z15" s="215" t="n">
        <v>155690.0999999999</v>
      </c>
      <c r="AA15" s="215" t="n">
        <v>181034.9999999999</v>
      </c>
    </row>
    <row r="16">
      <c r="A16" t="inlineStr">
        <is>
          <t>DoubleTree by Hilton Charlotte-Center City</t>
        </is>
      </c>
      <c r="B16" t="inlineStr">
        <is>
          <t>Hotel</t>
        </is>
      </c>
      <c r="C16" t="inlineStr">
        <is>
          <t>YES</t>
        </is>
      </c>
      <c r="D16" t="n">
        <v>187</v>
      </c>
      <c r="E16" t="inlineStr"/>
      <c r="F16" t="n">
        <v>40</v>
      </c>
      <c r="G16" s="215" t="n">
        <v>403920</v>
      </c>
      <c r="H16" t="n">
        <v>4</v>
      </c>
      <c r="I16" t="n">
        <v>2</v>
      </c>
      <c r="J16" t="n">
        <v>3</v>
      </c>
      <c r="K16" t="n">
        <v>4</v>
      </c>
      <c r="L16" t="n">
        <v>4</v>
      </c>
      <c r="M16" s="224" t="n">
        <v>0.15</v>
      </c>
      <c r="N16" t="inlineStr">
        <is>
          <t>Brand familiarity (historical): Hilton_family</t>
        </is>
      </c>
      <c r="O16" s="224" t="n">
        <v>3.3</v>
      </c>
      <c r="P16" s="224" t="n">
        <v>3.45</v>
      </c>
      <c r="Q16" s="225" t="inlineStr">
        <is>
          <t>C — Opportunistic</t>
        </is>
      </c>
      <c r="R16" s="214" t="n">
        <v>0.11</v>
      </c>
      <c r="S16" s="214" t="n">
        <v>0.20375</v>
      </c>
      <c r="T16" s="214" t="n">
        <v>0.365625</v>
      </c>
      <c r="U16" s="214" t="n">
        <v>0.48375</v>
      </c>
      <c r="V16" s="214" t="n">
        <v>0.5625</v>
      </c>
      <c r="W16" s="215" t="n">
        <v>44431.2</v>
      </c>
      <c r="X16" s="215" t="n">
        <v>82298.70000000001</v>
      </c>
      <c r="Y16" s="215" t="n">
        <v>147683.25</v>
      </c>
      <c r="Z16" s="215" t="n">
        <v>195396.3</v>
      </c>
      <c r="AA16" s="215" t="n">
        <v>227205</v>
      </c>
    </row>
    <row r="17">
      <c r="A17" t="inlineStr">
        <is>
          <t>Omni Hotel</t>
        </is>
      </c>
      <c r="B17" t="inlineStr">
        <is>
          <t>Hotel</t>
        </is>
      </c>
      <c r="C17" t="inlineStr">
        <is>
          <t>YES</t>
        </is>
      </c>
      <c r="D17" t="n">
        <v>373</v>
      </c>
      <c r="E17" t="inlineStr">
        <is>
          <t>PMC</t>
        </is>
      </c>
      <c r="F17" t="n">
        <v>40</v>
      </c>
      <c r="G17" s="215" t="n">
        <v>1289088</v>
      </c>
      <c r="H17" t="n">
        <v>5</v>
      </c>
      <c r="I17" t="n">
        <v>3</v>
      </c>
      <c r="J17" t="n">
        <v>2</v>
      </c>
      <c r="K17" t="n">
        <v>3</v>
      </c>
      <c r="L17" t="n">
        <v>4</v>
      </c>
      <c r="M17" s="224" t="n">
        <v>0</v>
      </c>
      <c r="N17" t="inlineStr"/>
      <c r="O17" s="224" t="n">
        <v>3.45</v>
      </c>
      <c r="P17" s="224" t="n">
        <v>3.45</v>
      </c>
      <c r="Q17" s="225" t="inlineStr">
        <is>
          <t>C — Opportunistic</t>
        </is>
      </c>
      <c r="R17" s="214" t="n">
        <v>0.11</v>
      </c>
      <c r="S17" s="214" t="n">
        <v>0.20375</v>
      </c>
      <c r="T17" s="214" t="n">
        <v>0.365625</v>
      </c>
      <c r="U17" s="214" t="n">
        <v>0.48375</v>
      </c>
      <c r="V17" s="214" t="n">
        <v>0.5625</v>
      </c>
      <c r="W17" s="215" t="n">
        <v>141799.68</v>
      </c>
      <c r="X17" s="215" t="n">
        <v>262651.68</v>
      </c>
      <c r="Y17" s="215" t="n">
        <v>471322.8</v>
      </c>
      <c r="Z17" s="215" t="n">
        <v>623596.3200000001</v>
      </c>
      <c r="AA17" s="215" t="n">
        <v>725112</v>
      </c>
    </row>
    <row r="18">
      <c r="A18" t="inlineStr">
        <is>
          <t>SpringHill</t>
        </is>
      </c>
      <c r="B18" t="inlineStr">
        <is>
          <t>Hotel</t>
        </is>
      </c>
      <c r="C18" t="inlineStr">
        <is>
          <t>YES</t>
        </is>
      </c>
      <c r="D18" t="n">
        <v>195</v>
      </c>
      <c r="E18" t="inlineStr">
        <is>
          <t>PMC</t>
        </is>
      </c>
      <c r="F18" t="n">
        <v>40</v>
      </c>
      <c r="G18" s="215" t="n">
        <v>421200</v>
      </c>
      <c r="H18" t="n">
        <v>4</v>
      </c>
      <c r="I18" t="n">
        <v>2</v>
      </c>
      <c r="J18" t="n">
        <v>2</v>
      </c>
      <c r="K18" t="n">
        <v>3</v>
      </c>
      <c r="L18" t="n">
        <v>4</v>
      </c>
      <c r="M18" s="224" t="n">
        <v>0</v>
      </c>
      <c r="N18" t="inlineStr"/>
      <c r="O18" s="224" t="n">
        <v>2.95</v>
      </c>
      <c r="P18" s="224" t="n">
        <v>2.95</v>
      </c>
      <c r="Q18" s="225" t="inlineStr">
        <is>
          <t>C — Opportunistic</t>
        </is>
      </c>
      <c r="R18" s="214" t="n">
        <v>0.11</v>
      </c>
      <c r="S18" s="214" t="n">
        <v>0.20375</v>
      </c>
      <c r="T18" s="214" t="n">
        <v>0.365625</v>
      </c>
      <c r="U18" s="214" t="n">
        <v>0.48375</v>
      </c>
      <c r="V18" s="214" t="n">
        <v>0.5625</v>
      </c>
      <c r="W18" s="215" t="n">
        <v>46332.00000000001</v>
      </c>
      <c r="X18" s="215" t="n">
        <v>85819.5</v>
      </c>
      <c r="Y18" s="215" t="n">
        <v>154001.25</v>
      </c>
      <c r="Z18" s="215" t="n">
        <v>203755.5</v>
      </c>
      <c r="AA18" s="215" t="n">
        <v>236925</v>
      </c>
    </row>
    <row r="19">
      <c r="A19" t="inlineStr">
        <is>
          <t>Element Charlotte Uptown</t>
        </is>
      </c>
      <c r="B19" t="inlineStr">
        <is>
          <t>Hotel</t>
        </is>
      </c>
      <c r="C19" t="inlineStr">
        <is>
          <t>YES</t>
        </is>
      </c>
      <c r="D19" t="n">
        <v>173</v>
      </c>
      <c r="E19" t="inlineStr"/>
      <c r="F19" t="n">
        <v>42</v>
      </c>
      <c r="G19" s="215" t="n">
        <v>392363.9999999999</v>
      </c>
      <c r="H19" t="n">
        <v>4</v>
      </c>
      <c r="I19" t="n">
        <v>2</v>
      </c>
      <c r="J19" t="n">
        <v>2</v>
      </c>
      <c r="K19" t="n">
        <v>4</v>
      </c>
      <c r="L19" t="n">
        <v>4</v>
      </c>
      <c r="M19" s="224" t="n">
        <v>0</v>
      </c>
      <c r="N19" t="inlineStr"/>
      <c r="O19" s="224" t="n">
        <v>3.1</v>
      </c>
      <c r="P19" s="224" t="n">
        <v>3.1</v>
      </c>
      <c r="Q19" s="225" t="inlineStr">
        <is>
          <t>C — Opportunistic</t>
        </is>
      </c>
      <c r="R19" s="214" t="n">
        <v>0.11</v>
      </c>
      <c r="S19" s="214" t="n">
        <v>0.20375</v>
      </c>
      <c r="T19" s="214" t="n">
        <v>0.365625</v>
      </c>
      <c r="U19" s="214" t="n">
        <v>0.48375</v>
      </c>
      <c r="V19" s="214" t="n">
        <v>0.5625</v>
      </c>
      <c r="W19" s="215" t="n">
        <v>43160.03999999999</v>
      </c>
      <c r="X19" s="215" t="n">
        <v>79944.16499999998</v>
      </c>
      <c r="Y19" s="215" t="n">
        <v>143458.0874999999</v>
      </c>
      <c r="Z19" s="215" t="n">
        <v>189806.085</v>
      </c>
      <c r="AA19" s="215" t="n">
        <v>220704.7499999999</v>
      </c>
    </row>
    <row r="20">
      <c r="A20" t="inlineStr">
        <is>
          <t>Hyatt House Charlotte Center City</t>
        </is>
      </c>
      <c r="B20" t="inlineStr">
        <is>
          <t>Hotel</t>
        </is>
      </c>
      <c r="C20" t="inlineStr">
        <is>
          <t>YES</t>
        </is>
      </c>
      <c r="D20" t="n">
        <v>163</v>
      </c>
      <c r="E20" t="inlineStr"/>
      <c r="F20" t="n">
        <v>42</v>
      </c>
      <c r="G20" s="215" t="n">
        <v>369683.9999999999</v>
      </c>
      <c r="H20" t="n">
        <v>4</v>
      </c>
      <c r="I20" t="n">
        <v>2</v>
      </c>
      <c r="J20" t="n">
        <v>3</v>
      </c>
      <c r="K20" t="n">
        <v>4</v>
      </c>
      <c r="L20" t="n">
        <v>4</v>
      </c>
      <c r="M20" s="224" t="n">
        <v>0</v>
      </c>
      <c r="N20" t="inlineStr"/>
      <c r="O20" s="224" t="n">
        <v>3.3</v>
      </c>
      <c r="P20" s="224" t="n">
        <v>3.3</v>
      </c>
      <c r="Q20" s="225" t="inlineStr">
        <is>
          <t>C — Opportunistic</t>
        </is>
      </c>
      <c r="R20" s="214" t="n">
        <v>0.11</v>
      </c>
      <c r="S20" s="214" t="n">
        <v>0.20375</v>
      </c>
      <c r="T20" s="214" t="n">
        <v>0.365625</v>
      </c>
      <c r="U20" s="214" t="n">
        <v>0.48375</v>
      </c>
      <c r="V20" s="214" t="n">
        <v>0.5625</v>
      </c>
      <c r="W20" s="215" t="n">
        <v>40665.23999999999</v>
      </c>
      <c r="X20" s="215" t="n">
        <v>75323.11499999998</v>
      </c>
      <c r="Y20" s="215" t="n">
        <v>135165.7124999999</v>
      </c>
      <c r="Z20" s="215" t="n">
        <v>178834.635</v>
      </c>
      <c r="AA20" s="215" t="n">
        <v>207947.2499999999</v>
      </c>
    </row>
    <row r="21">
      <c r="A21" t="inlineStr">
        <is>
          <t>Homewood Suites by Hilton Charlotte Uptown</t>
        </is>
      </c>
      <c r="B21" t="inlineStr">
        <is>
          <t>Hotel</t>
        </is>
      </c>
      <c r="C21" t="inlineStr">
        <is>
          <t>YES</t>
        </is>
      </c>
      <c r="D21" t="n">
        <v>211</v>
      </c>
      <c r="E21" t="inlineStr"/>
      <c r="F21" t="n">
        <v>45</v>
      </c>
      <c r="G21" s="215" t="n">
        <v>512730</v>
      </c>
      <c r="H21" t="n">
        <v>4</v>
      </c>
      <c r="I21" t="n">
        <v>2</v>
      </c>
      <c r="J21" t="n">
        <v>3</v>
      </c>
      <c r="K21" t="n">
        <v>4</v>
      </c>
      <c r="L21" t="n">
        <v>4</v>
      </c>
      <c r="M21" s="224" t="n">
        <v>0.15</v>
      </c>
      <c r="N21" t="inlineStr">
        <is>
          <t>Brand familiarity (historical): Hilton_family</t>
        </is>
      </c>
      <c r="O21" s="224" t="n">
        <v>3.3</v>
      </c>
      <c r="P21" s="224" t="n">
        <v>3.45</v>
      </c>
      <c r="Q21" s="225" t="inlineStr">
        <is>
          <t>C — Opportunistic</t>
        </is>
      </c>
      <c r="R21" s="214" t="n">
        <v>0.11</v>
      </c>
      <c r="S21" s="214" t="n">
        <v>0.20375</v>
      </c>
      <c r="T21" s="214" t="n">
        <v>0.365625</v>
      </c>
      <c r="U21" s="214" t="n">
        <v>0.48375</v>
      </c>
      <c r="V21" s="214" t="n">
        <v>0.5625</v>
      </c>
      <c r="W21" s="215" t="n">
        <v>56400.30000000001</v>
      </c>
      <c r="X21" s="215" t="n">
        <v>104468.7375</v>
      </c>
      <c r="Y21" s="215" t="n">
        <v>187466.90625</v>
      </c>
      <c r="Z21" s="215" t="n">
        <v>248033.1375</v>
      </c>
      <c r="AA21" s="215" t="n">
        <v>288410.625</v>
      </c>
    </row>
    <row r="22">
      <c r="A22" t="inlineStr">
        <is>
          <t>Embassy Suites by Hilton Charlotte Uptown</t>
        </is>
      </c>
      <c r="B22" t="inlineStr">
        <is>
          <t>Hotel</t>
        </is>
      </c>
      <c r="C22" t="inlineStr">
        <is>
          <t>YES</t>
        </is>
      </c>
      <c r="D22" t="n">
        <v>0</v>
      </c>
      <c r="E22" t="inlineStr"/>
      <c r="F22" t="n">
        <v>45</v>
      </c>
      <c r="G22" s="215" t="n">
        <v>0</v>
      </c>
      <c r="H22" t="n">
        <v>2</v>
      </c>
      <c r="I22" t="n">
        <v>1</v>
      </c>
      <c r="J22" t="n">
        <v>3</v>
      </c>
      <c r="K22" t="n">
        <v>4</v>
      </c>
      <c r="L22" t="n">
        <v>4</v>
      </c>
      <c r="M22" s="224" t="n">
        <v>0.15</v>
      </c>
      <c r="N22" t="inlineStr">
        <is>
          <t>Brand familiarity (historical): Hilton_family</t>
        </is>
      </c>
      <c r="O22" s="224" t="n">
        <v>2.55</v>
      </c>
      <c r="P22" s="224" t="n">
        <v>2.7</v>
      </c>
      <c r="Q22" s="225" t="inlineStr">
        <is>
          <t>C — Opportunistic</t>
        </is>
      </c>
      <c r="R22" s="214" t="n">
        <v>0.11</v>
      </c>
      <c r="S22" s="214" t="n">
        <v>0.20375</v>
      </c>
      <c r="T22" s="214" t="n">
        <v>0.365625</v>
      </c>
      <c r="U22" s="214" t="n">
        <v>0.48375</v>
      </c>
      <c r="V22" s="214" t="n">
        <v>0.5625</v>
      </c>
      <c r="W22" s="215" t="n">
        <v>0</v>
      </c>
      <c r="X22" s="215" t="n">
        <v>0</v>
      </c>
      <c r="Y22" s="215" t="n">
        <v>0</v>
      </c>
      <c r="Z22" s="215" t="n">
        <v>0</v>
      </c>
      <c r="AA22" s="215" t="n">
        <v>0</v>
      </c>
    </row>
    <row r="23">
      <c r="A23" t="inlineStr">
        <is>
          <t>The Westin Charlotte</t>
        </is>
      </c>
      <c r="B23" t="inlineStr">
        <is>
          <t>Hotel</t>
        </is>
      </c>
      <c r="C23" t="inlineStr">
        <is>
          <t>YES</t>
        </is>
      </c>
      <c r="D23" t="n">
        <v>700</v>
      </c>
      <c r="E23" t="inlineStr">
        <is>
          <t>LAZ</t>
        </is>
      </c>
      <c r="F23" t="n">
        <v>45</v>
      </c>
      <c r="G23" s="215" t="n">
        <v>2721600</v>
      </c>
      <c r="H23" t="n">
        <v>5</v>
      </c>
      <c r="I23" t="n">
        <v>5</v>
      </c>
      <c r="J23" t="n">
        <v>3</v>
      </c>
      <c r="K23" t="n">
        <v>2</v>
      </c>
      <c r="L23" t="n">
        <v>4</v>
      </c>
      <c r="M23" s="224" t="n">
        <v>0.3</v>
      </c>
      <c r="N23" t="inlineStr">
        <is>
          <t>Brand familiarity (current): Marriott_family</t>
        </is>
      </c>
      <c r="O23" s="224" t="n">
        <v>4</v>
      </c>
      <c r="P23" s="224" t="n">
        <v>4.3</v>
      </c>
      <c r="Q23" s="226" t="inlineStr">
        <is>
          <t>B — Core</t>
        </is>
      </c>
      <c r="R23" s="214" t="n">
        <v>0.275</v>
      </c>
      <c r="S23" s="214" t="n">
        <v>0.43625</v>
      </c>
      <c r="T23" s="214" t="n">
        <v>0.690625</v>
      </c>
      <c r="U23" s="214" t="n">
        <v>0.8762500000000001</v>
      </c>
      <c r="V23" s="214" t="n">
        <v>1</v>
      </c>
      <c r="W23" s="215" t="n">
        <v>748440.0000000001</v>
      </c>
      <c r="X23" s="215" t="n">
        <v>1187298</v>
      </c>
      <c r="Y23" s="215" t="n">
        <v>1879605</v>
      </c>
      <c r="Z23" s="215" t="n">
        <v>2384802</v>
      </c>
      <c r="AA23" s="215" t="n">
        <v>2721600</v>
      </c>
    </row>
    <row r="24">
      <c r="A24" t="inlineStr">
        <is>
          <t>Grand Bohemian Hotel</t>
        </is>
      </c>
      <c r="B24" t="inlineStr">
        <is>
          <t>Hotel</t>
        </is>
      </c>
      <c r="C24" t="inlineStr">
        <is>
          <t>YES</t>
        </is>
      </c>
      <c r="D24" t="n">
        <v>254</v>
      </c>
      <c r="E24" t="inlineStr">
        <is>
          <t>PMC</t>
        </is>
      </c>
      <c r="F24" t="n">
        <v>48</v>
      </c>
      <c r="G24" s="215" t="n">
        <v>658368.0000000001</v>
      </c>
      <c r="H24" t="n">
        <v>4</v>
      </c>
      <c r="I24" t="n">
        <v>2</v>
      </c>
      <c r="J24" t="n">
        <v>2</v>
      </c>
      <c r="K24" t="n">
        <v>3</v>
      </c>
      <c r="L24" t="n">
        <v>4</v>
      </c>
      <c r="M24" s="224" t="n">
        <v>0</v>
      </c>
      <c r="N24" t="inlineStr"/>
      <c r="O24" s="224" t="n">
        <v>2.95</v>
      </c>
      <c r="P24" s="224" t="n">
        <v>2.95</v>
      </c>
      <c r="Q24" s="225" t="inlineStr">
        <is>
          <t>C — Opportunistic</t>
        </is>
      </c>
      <c r="R24" s="214" t="n">
        <v>0.11</v>
      </c>
      <c r="S24" s="214" t="n">
        <v>0.20375</v>
      </c>
      <c r="T24" s="214" t="n">
        <v>0.365625</v>
      </c>
      <c r="U24" s="214" t="n">
        <v>0.48375</v>
      </c>
      <c r="V24" s="214" t="n">
        <v>0.5625</v>
      </c>
      <c r="W24" s="215" t="n">
        <v>72420.48000000003</v>
      </c>
      <c r="X24" s="215" t="n">
        <v>134142.48</v>
      </c>
      <c r="Y24" s="215" t="n">
        <v>240715.8</v>
      </c>
      <c r="Z24" s="215" t="n">
        <v>318485.5200000001</v>
      </c>
      <c r="AA24" s="215" t="n">
        <v>370332.0000000001</v>
      </c>
    </row>
    <row r="25">
      <c r="A25" t="inlineStr">
        <is>
          <t>JW Marriott Charlotte</t>
        </is>
      </c>
      <c r="B25" t="inlineStr">
        <is>
          <t>Hotel</t>
        </is>
      </c>
      <c r="C25" t="inlineStr">
        <is>
          <t>YES</t>
        </is>
      </c>
      <c r="D25" t="n">
        <v>381</v>
      </c>
      <c r="E25" t="inlineStr">
        <is>
          <t>PMC</t>
        </is>
      </c>
      <c r="F25" t="n">
        <v>48</v>
      </c>
      <c r="G25" s="215" t="n">
        <v>1580083.2</v>
      </c>
      <c r="H25" t="n">
        <v>5</v>
      </c>
      <c r="I25" t="n">
        <v>4</v>
      </c>
      <c r="J25" t="n">
        <v>3</v>
      </c>
      <c r="K25" t="n">
        <v>3</v>
      </c>
      <c r="L25" t="n">
        <v>4</v>
      </c>
      <c r="M25" s="224" t="n">
        <v>0.3</v>
      </c>
      <c r="N25" t="inlineStr">
        <is>
          <t>Brand familiarity (current): Marriott_family</t>
        </is>
      </c>
      <c r="O25" s="224" t="n">
        <v>3.9</v>
      </c>
      <c r="P25" s="224" t="n">
        <v>4.2</v>
      </c>
      <c r="Q25" s="226" t="inlineStr">
        <is>
          <t>B — Core</t>
        </is>
      </c>
      <c r="R25" s="214" t="n">
        <v>0.275</v>
      </c>
      <c r="S25" s="214" t="n">
        <v>0.43625</v>
      </c>
      <c r="T25" s="214" t="n">
        <v>0.690625</v>
      </c>
      <c r="U25" s="214" t="n">
        <v>0.8762500000000001</v>
      </c>
      <c r="V25" s="214" t="n">
        <v>1</v>
      </c>
      <c r="W25" s="215" t="n">
        <v>434522.88</v>
      </c>
      <c r="X25" s="215" t="n">
        <v>689311.296</v>
      </c>
      <c r="Y25" s="215" t="n">
        <v>1091244.96</v>
      </c>
      <c r="Z25" s="215" t="n">
        <v>1384547.904</v>
      </c>
      <c r="AA25" s="215" t="n">
        <v>1580083.2</v>
      </c>
    </row>
    <row r="26">
      <c r="A26" t="inlineStr">
        <is>
          <t>Kimpton Tryon Park Hotel</t>
        </is>
      </c>
      <c r="B26" t="inlineStr">
        <is>
          <t>Hotel</t>
        </is>
      </c>
      <c r="C26" t="inlineStr">
        <is>
          <t>YES</t>
        </is>
      </c>
      <c r="D26" t="n">
        <v>217</v>
      </c>
      <c r="E26" t="inlineStr">
        <is>
          <t>PMC</t>
        </is>
      </c>
      <c r="F26" t="n">
        <v>48</v>
      </c>
      <c r="G26" s="215" t="n">
        <v>562464</v>
      </c>
      <c r="H26" t="n">
        <v>4</v>
      </c>
      <c r="I26" t="n">
        <v>2</v>
      </c>
      <c r="J26" t="n">
        <v>3</v>
      </c>
      <c r="K26" t="n">
        <v>3</v>
      </c>
      <c r="L26" t="n">
        <v>4</v>
      </c>
      <c r="M26" s="224" t="n">
        <v>0</v>
      </c>
      <c r="N26" t="inlineStr"/>
      <c r="O26" s="224" t="n">
        <v>3.15</v>
      </c>
      <c r="P26" s="224" t="n">
        <v>3.15</v>
      </c>
      <c r="Q26" s="225" t="inlineStr">
        <is>
          <t>C — Opportunistic</t>
        </is>
      </c>
      <c r="R26" s="214" t="n">
        <v>0.11</v>
      </c>
      <c r="S26" s="214" t="n">
        <v>0.20375</v>
      </c>
      <c r="T26" s="214" t="n">
        <v>0.365625</v>
      </c>
      <c r="U26" s="214" t="n">
        <v>0.48375</v>
      </c>
      <c r="V26" s="214" t="n">
        <v>0.5625</v>
      </c>
      <c r="W26" s="215" t="n">
        <v>61871.04000000001</v>
      </c>
      <c r="X26" s="215" t="n">
        <v>114602.04</v>
      </c>
      <c r="Y26" s="215" t="n">
        <v>205650.9</v>
      </c>
      <c r="Z26" s="215" t="n">
        <v>272091.96</v>
      </c>
      <c r="AA26" s="215" t="n">
        <v>316386</v>
      </c>
    </row>
    <row r="27">
      <c r="A27" t="inlineStr">
        <is>
          <t>Charlotte Marriott City Center</t>
        </is>
      </c>
      <c r="B27" t="inlineStr">
        <is>
          <t>Hotel</t>
        </is>
      </c>
      <c r="C27" t="inlineStr">
        <is>
          <t>YES</t>
        </is>
      </c>
      <c r="D27" t="n">
        <v>440</v>
      </c>
      <c r="E27" t="inlineStr">
        <is>
          <t>PMC</t>
        </is>
      </c>
      <c r="F27" t="n">
        <v>48</v>
      </c>
      <c r="G27" s="215" t="n">
        <v>1824768</v>
      </c>
      <c r="H27" t="n">
        <v>5</v>
      </c>
      <c r="I27" t="n">
        <v>4</v>
      </c>
      <c r="J27" t="n">
        <v>3</v>
      </c>
      <c r="K27" t="n">
        <v>3</v>
      </c>
      <c r="L27" t="n">
        <v>4</v>
      </c>
      <c r="M27" s="224" t="n">
        <v>0.3</v>
      </c>
      <c r="N27" t="inlineStr">
        <is>
          <t>Brand familiarity (current): Marriott_family</t>
        </is>
      </c>
      <c r="O27" s="224" t="n">
        <v>3.9</v>
      </c>
      <c r="P27" s="224" t="n">
        <v>4.2</v>
      </c>
      <c r="Q27" s="226" t="inlineStr">
        <is>
          <t>B — Core</t>
        </is>
      </c>
      <c r="R27" s="214" t="n">
        <v>0.275</v>
      </c>
      <c r="S27" s="214" t="n">
        <v>0.43625</v>
      </c>
      <c r="T27" s="214" t="n">
        <v>0.690625</v>
      </c>
      <c r="U27" s="214" t="n">
        <v>0.8762500000000001</v>
      </c>
      <c r="V27" s="214" t="n">
        <v>1</v>
      </c>
      <c r="W27" s="215" t="n">
        <v>501811.2</v>
      </c>
      <c r="X27" s="215" t="n">
        <v>796055.0399999999</v>
      </c>
      <c r="Y27" s="215" t="n">
        <v>1260230.4</v>
      </c>
      <c r="Z27" s="215" t="n">
        <v>1598952.96</v>
      </c>
      <c r="AA27" s="215" t="n">
        <v>1824768</v>
      </c>
    </row>
    <row r="28">
      <c r="A28" t="inlineStr">
        <is>
          <t>Ritz Carlton</t>
        </is>
      </c>
      <c r="B28" t="inlineStr">
        <is>
          <t>Hotel</t>
        </is>
      </c>
      <c r="C28" t="inlineStr">
        <is>
          <t>YES</t>
        </is>
      </c>
      <c r="D28" t="n">
        <v>146</v>
      </c>
      <c r="E28" t="inlineStr">
        <is>
          <t>In House</t>
        </is>
      </c>
      <c r="F28" t="n">
        <v>50</v>
      </c>
      <c r="G28" s="215" t="n">
        <v>394200</v>
      </c>
      <c r="H28" t="n">
        <v>3</v>
      </c>
      <c r="I28" t="n">
        <v>2</v>
      </c>
      <c r="J28" t="n">
        <v>2</v>
      </c>
      <c r="K28" t="n">
        <v>5</v>
      </c>
      <c r="L28" t="n">
        <v>4</v>
      </c>
      <c r="M28" s="224" t="n">
        <v>0</v>
      </c>
      <c r="N28" t="inlineStr"/>
      <c r="O28" s="224" t="n">
        <v>3</v>
      </c>
      <c r="P28" s="224" t="n">
        <v>3</v>
      </c>
      <c r="Q28" s="225" t="inlineStr">
        <is>
          <t>C — Opportunistic</t>
        </is>
      </c>
      <c r="R28" s="214" t="n">
        <v>0.11</v>
      </c>
      <c r="S28" s="214" t="n">
        <v>0.20375</v>
      </c>
      <c r="T28" s="214" t="n">
        <v>0.365625</v>
      </c>
      <c r="U28" s="214" t="n">
        <v>0.48375</v>
      </c>
      <c r="V28" s="214" t="n">
        <v>0.5625</v>
      </c>
      <c r="W28" s="215" t="n">
        <v>43362.00000000001</v>
      </c>
      <c r="X28" s="215" t="n">
        <v>80318.25</v>
      </c>
      <c r="Y28" s="215" t="n">
        <v>144129.375</v>
      </c>
      <c r="Z28" s="215" t="n">
        <v>190694.25</v>
      </c>
      <c r="AA28" s="215" t="n">
        <v>221737.5</v>
      </c>
    </row>
    <row r="29">
      <c r="A29" t="inlineStr">
        <is>
          <t>Kasa FreeMoreWest Charlotte</t>
        </is>
      </c>
      <c r="B29" t="inlineStr">
        <is>
          <t>Hotel</t>
        </is>
      </c>
      <c r="C29" t="inlineStr">
        <is>
          <t>NO</t>
        </is>
      </c>
      <c r="D29" t="n">
        <v>0</v>
      </c>
      <c r="E29" t="inlineStr"/>
      <c r="F29" t="inlineStr"/>
      <c r="G29" s="215" t="n">
        <v>0</v>
      </c>
      <c r="H29" t="n">
        <v>2</v>
      </c>
      <c r="I29" t="n">
        <v>1</v>
      </c>
      <c r="J29" t="n">
        <v>2</v>
      </c>
      <c r="K29" t="n">
        <v>4</v>
      </c>
      <c r="L29" t="n">
        <v>2</v>
      </c>
      <c r="M29" s="224" t="n">
        <v>0</v>
      </c>
      <c r="N29" t="inlineStr"/>
      <c r="O29" s="224" t="n">
        <v>2.05</v>
      </c>
      <c r="P29" s="224" t="n">
        <v>2.05</v>
      </c>
      <c r="Q29" s="227" t="inlineStr">
        <is>
          <t>D — Deprioritized</t>
        </is>
      </c>
      <c r="R29" s="214" t="n">
        <v>0</v>
      </c>
      <c r="S29" s="214" t="n">
        <v>0.027</v>
      </c>
      <c r="T29" s="214" t="n">
        <v>0.0825</v>
      </c>
      <c r="U29" s="214" t="n">
        <v>0.123</v>
      </c>
      <c r="V29" s="214" t="n">
        <v>0.15</v>
      </c>
      <c r="W29" s="215" t="n">
        <v>0</v>
      </c>
      <c r="X29" s="215" t="n">
        <v>0</v>
      </c>
      <c r="Y29" s="215" t="n">
        <v>0</v>
      </c>
      <c r="Z29" s="215" t="n">
        <v>0</v>
      </c>
      <c r="AA29" s="215" t="n">
        <v>0</v>
      </c>
    </row>
    <row r="30">
      <c r="A30" t="inlineStr">
        <is>
          <t>Canopy by Hilton Charlotte Southpark</t>
        </is>
      </c>
      <c r="B30" t="inlineStr">
        <is>
          <t>Hotel</t>
        </is>
      </c>
      <c r="C30" t="inlineStr">
        <is>
          <t>NO</t>
        </is>
      </c>
      <c r="D30" t="n">
        <v>0</v>
      </c>
      <c r="E30" t="inlineStr"/>
      <c r="F30" t="inlineStr"/>
      <c r="G30" s="215" t="n">
        <v>0</v>
      </c>
      <c r="H30" t="n">
        <v>2</v>
      </c>
      <c r="I30" t="n">
        <v>1</v>
      </c>
      <c r="J30" t="n">
        <v>3</v>
      </c>
      <c r="K30" t="n">
        <v>4</v>
      </c>
      <c r="L30" t="n">
        <v>2</v>
      </c>
      <c r="M30" s="224" t="n">
        <v>0.15</v>
      </c>
      <c r="N30" t="inlineStr">
        <is>
          <t>Brand familiarity (historical): Hilton_family</t>
        </is>
      </c>
      <c r="O30" s="224" t="n">
        <v>2.25</v>
      </c>
      <c r="P30" s="224" t="n">
        <v>2.4</v>
      </c>
      <c r="Q30" s="227" t="inlineStr">
        <is>
          <t>D — Deprioritized</t>
        </is>
      </c>
      <c r="R30" s="214" t="n">
        <v>0</v>
      </c>
      <c r="S30" s="214" t="n">
        <v>0.027</v>
      </c>
      <c r="T30" s="214" t="n">
        <v>0.0825</v>
      </c>
      <c r="U30" s="214" t="n">
        <v>0.123</v>
      </c>
      <c r="V30" s="214" t="n">
        <v>0.15</v>
      </c>
      <c r="W30" s="215" t="n">
        <v>0</v>
      </c>
      <c r="X30" s="215" t="n">
        <v>0</v>
      </c>
      <c r="Y30" s="215" t="n">
        <v>0</v>
      </c>
      <c r="Z30" s="215" t="n">
        <v>0</v>
      </c>
      <c r="AA30" s="215" t="n">
        <v>0</v>
      </c>
    </row>
    <row r="31">
      <c r="A31" t="inlineStr">
        <is>
          <t>Courtyard by Marriott Charlotte SouthPark</t>
        </is>
      </c>
      <c r="B31" t="inlineStr">
        <is>
          <t>Hotel</t>
        </is>
      </c>
      <c r="C31" t="inlineStr">
        <is>
          <t>NO</t>
        </is>
      </c>
      <c r="D31" t="n">
        <v>0</v>
      </c>
      <c r="E31" t="inlineStr"/>
      <c r="F31" t="inlineStr"/>
      <c r="G31" s="215" t="n">
        <v>0</v>
      </c>
      <c r="H31" t="n">
        <v>2</v>
      </c>
      <c r="I31" t="n">
        <v>1</v>
      </c>
      <c r="J31" t="n">
        <v>3</v>
      </c>
      <c r="K31" t="n">
        <v>4</v>
      </c>
      <c r="L31" t="n">
        <v>2</v>
      </c>
      <c r="M31" s="224" t="n">
        <v>0.3</v>
      </c>
      <c r="N31" t="inlineStr">
        <is>
          <t>Brand familiarity (current): Marriott_family</t>
        </is>
      </c>
      <c r="O31" s="224" t="n">
        <v>2.25</v>
      </c>
      <c r="P31" s="224" t="n">
        <v>2.55</v>
      </c>
      <c r="Q31" s="225" t="inlineStr">
        <is>
          <t>C — Opportunistic</t>
        </is>
      </c>
      <c r="R31" s="214" t="n">
        <v>0.11</v>
      </c>
      <c r="S31" s="214" t="n">
        <v>0.20375</v>
      </c>
      <c r="T31" s="214" t="n">
        <v>0.365625</v>
      </c>
      <c r="U31" s="214" t="n">
        <v>0.48375</v>
      </c>
      <c r="V31" s="214" t="n">
        <v>0.5625</v>
      </c>
      <c r="W31" s="215" t="n">
        <v>0</v>
      </c>
      <c r="X31" s="215" t="n">
        <v>0</v>
      </c>
      <c r="Y31" s="215" t="n">
        <v>0</v>
      </c>
      <c r="Z31" s="215" t="n">
        <v>0</v>
      </c>
      <c r="AA31" s="215" t="n">
        <v>0</v>
      </c>
    </row>
    <row r="32">
      <c r="A32" t="inlineStr">
        <is>
          <t>Residence Inn by Marriott Charlotte SouthPark</t>
        </is>
      </c>
      <c r="B32" t="inlineStr">
        <is>
          <t>Hotel</t>
        </is>
      </c>
      <c r="C32" t="inlineStr">
        <is>
          <t>NO</t>
        </is>
      </c>
      <c r="D32" t="n">
        <v>0</v>
      </c>
      <c r="E32" t="inlineStr"/>
      <c r="F32" t="inlineStr"/>
      <c r="G32" s="215" t="n">
        <v>0</v>
      </c>
      <c r="H32" t="n">
        <v>2</v>
      </c>
      <c r="I32" t="n">
        <v>1</v>
      </c>
      <c r="J32" t="n">
        <v>3</v>
      </c>
      <c r="K32" t="n">
        <v>4</v>
      </c>
      <c r="L32" t="n">
        <v>2</v>
      </c>
      <c r="M32" s="224" t="n">
        <v>0.3</v>
      </c>
      <c r="N32" t="inlineStr">
        <is>
          <t>Brand familiarity (current): Marriott_family</t>
        </is>
      </c>
      <c r="O32" s="224" t="n">
        <v>2.25</v>
      </c>
      <c r="P32" s="224" t="n">
        <v>2.55</v>
      </c>
      <c r="Q32" s="225" t="inlineStr">
        <is>
          <t>C — Opportunistic</t>
        </is>
      </c>
      <c r="R32" s="214" t="n">
        <v>0.11</v>
      </c>
      <c r="S32" s="214" t="n">
        <v>0.20375</v>
      </c>
      <c r="T32" s="214" t="n">
        <v>0.365625</v>
      </c>
      <c r="U32" s="214" t="n">
        <v>0.48375</v>
      </c>
      <c r="V32" s="214" t="n">
        <v>0.5625</v>
      </c>
      <c r="W32" s="215" t="n">
        <v>0</v>
      </c>
      <c r="X32" s="215" t="n">
        <v>0</v>
      </c>
      <c r="Y32" s="215" t="n">
        <v>0</v>
      </c>
      <c r="Z32" s="215" t="n">
        <v>0</v>
      </c>
      <c r="AA32" s="215" t="n">
        <v>0</v>
      </c>
    </row>
    <row r="33">
      <c r="A33" t="inlineStr">
        <is>
          <t>Renaissance Charlotte SouthPark Hotel</t>
        </is>
      </c>
      <c r="B33" t="inlineStr">
        <is>
          <t>Hotel</t>
        </is>
      </c>
      <c r="C33" t="inlineStr">
        <is>
          <t>NO</t>
        </is>
      </c>
      <c r="D33" t="n">
        <v>0</v>
      </c>
      <c r="E33" t="inlineStr"/>
      <c r="F33" t="inlineStr"/>
      <c r="G33" s="215" t="n">
        <v>0</v>
      </c>
      <c r="H33" t="n">
        <v>2</v>
      </c>
      <c r="I33" t="n">
        <v>1</v>
      </c>
      <c r="J33" t="n">
        <v>3</v>
      </c>
      <c r="K33" t="n">
        <v>4</v>
      </c>
      <c r="L33" t="n">
        <v>2</v>
      </c>
      <c r="M33" s="224" t="n">
        <v>0.3</v>
      </c>
      <c r="N33" t="inlineStr">
        <is>
          <t>Brand familiarity (current): Marriott_family</t>
        </is>
      </c>
      <c r="O33" s="224" t="n">
        <v>2.25</v>
      </c>
      <c r="P33" s="224" t="n">
        <v>2.55</v>
      </c>
      <c r="Q33" s="225" t="inlineStr">
        <is>
          <t>C — Opportunistic</t>
        </is>
      </c>
      <c r="R33" s="214" t="n">
        <v>0.11</v>
      </c>
      <c r="S33" s="214" t="n">
        <v>0.20375</v>
      </c>
      <c r="T33" s="214" t="n">
        <v>0.365625</v>
      </c>
      <c r="U33" s="214" t="n">
        <v>0.48375</v>
      </c>
      <c r="V33" s="214" t="n">
        <v>0.5625</v>
      </c>
      <c r="W33" s="215" t="n">
        <v>0</v>
      </c>
      <c r="X33" s="215" t="n">
        <v>0</v>
      </c>
      <c r="Y33" s="215" t="n">
        <v>0</v>
      </c>
      <c r="Z33" s="215" t="n">
        <v>0</v>
      </c>
      <c r="AA33" s="215" t="n">
        <v>0</v>
      </c>
    </row>
    <row r="34">
      <c r="A34" t="inlineStr">
        <is>
          <t>Charlotte Marriott SouthPark</t>
        </is>
      </c>
      <c r="B34" t="inlineStr">
        <is>
          <t>Hotel</t>
        </is>
      </c>
      <c r="C34" t="inlineStr">
        <is>
          <t>NO</t>
        </is>
      </c>
      <c r="D34" t="n">
        <v>0</v>
      </c>
      <c r="E34" t="inlineStr"/>
      <c r="F34" t="inlineStr"/>
      <c r="G34" s="215" t="n">
        <v>0</v>
      </c>
      <c r="H34" t="n">
        <v>2</v>
      </c>
      <c r="I34" t="n">
        <v>1</v>
      </c>
      <c r="J34" t="n">
        <v>3</v>
      </c>
      <c r="K34" t="n">
        <v>4</v>
      </c>
      <c r="L34" t="n">
        <v>2</v>
      </c>
      <c r="M34" s="224" t="n">
        <v>0.3</v>
      </c>
      <c r="N34" t="inlineStr">
        <is>
          <t>Brand familiarity (current): Marriott_family</t>
        </is>
      </c>
      <c r="O34" s="224" t="n">
        <v>2.25</v>
      </c>
      <c r="P34" s="224" t="n">
        <v>2.55</v>
      </c>
      <c r="Q34" s="225" t="inlineStr">
        <is>
          <t>C — Opportunistic</t>
        </is>
      </c>
      <c r="R34" s="214" t="n">
        <v>0.11</v>
      </c>
      <c r="S34" s="214" t="n">
        <v>0.20375</v>
      </c>
      <c r="T34" s="214" t="n">
        <v>0.365625</v>
      </c>
      <c r="U34" s="214" t="n">
        <v>0.48375</v>
      </c>
      <c r="V34" s="214" t="n">
        <v>0.5625</v>
      </c>
      <c r="W34" s="215" t="n">
        <v>0</v>
      </c>
      <c r="X34" s="215" t="n">
        <v>0</v>
      </c>
      <c r="Y34" s="215" t="n">
        <v>0</v>
      </c>
      <c r="Z34" s="215" t="n">
        <v>0</v>
      </c>
      <c r="AA34" s="215" t="n">
        <v>0</v>
      </c>
    </row>
    <row r="35">
      <c r="A35" t="inlineStr">
        <is>
          <t>AC Hotel Charlotte SouthPark</t>
        </is>
      </c>
      <c r="B35" t="inlineStr">
        <is>
          <t>Hotel</t>
        </is>
      </c>
      <c r="C35" t="inlineStr">
        <is>
          <t>NO</t>
        </is>
      </c>
      <c r="D35" t="n">
        <v>0</v>
      </c>
      <c r="E35" t="inlineStr"/>
      <c r="F35" t="inlineStr"/>
      <c r="G35" s="215" t="n">
        <v>0</v>
      </c>
      <c r="H35" t="n">
        <v>2</v>
      </c>
      <c r="I35" t="n">
        <v>1</v>
      </c>
      <c r="J35" t="n">
        <v>2</v>
      </c>
      <c r="K35" t="n">
        <v>4</v>
      </c>
      <c r="L35" t="n">
        <v>2</v>
      </c>
      <c r="M35" s="224" t="n">
        <v>0</v>
      </c>
      <c r="N35" t="inlineStr"/>
      <c r="O35" s="224" t="n">
        <v>2.05</v>
      </c>
      <c r="P35" s="224" t="n">
        <v>2.05</v>
      </c>
      <c r="Q35" s="227" t="inlineStr">
        <is>
          <t>D — Deprioritized</t>
        </is>
      </c>
      <c r="R35" s="214" t="n">
        <v>0</v>
      </c>
      <c r="S35" s="214" t="n">
        <v>0.027</v>
      </c>
      <c r="T35" s="214" t="n">
        <v>0.0825</v>
      </c>
      <c r="U35" s="214" t="n">
        <v>0.123</v>
      </c>
      <c r="V35" s="214" t="n">
        <v>0.15</v>
      </c>
      <c r="W35" s="215" t="n">
        <v>0</v>
      </c>
      <c r="X35" s="215" t="n">
        <v>0</v>
      </c>
      <c r="Y35" s="215" t="n">
        <v>0</v>
      </c>
      <c r="Z35" s="215" t="n">
        <v>0</v>
      </c>
      <c r="AA35" s="215" t="n">
        <v>0</v>
      </c>
    </row>
    <row r="36">
      <c r="A36" t="inlineStr">
        <is>
          <t>Hyatt Centric Charlotte SouthPark</t>
        </is>
      </c>
      <c r="B36" t="inlineStr">
        <is>
          <t>Hotel</t>
        </is>
      </c>
      <c r="C36" t="inlineStr">
        <is>
          <t>NO</t>
        </is>
      </c>
      <c r="D36" t="n">
        <v>0</v>
      </c>
      <c r="E36" t="inlineStr"/>
      <c r="F36" t="inlineStr"/>
      <c r="G36" s="215" t="n">
        <v>0</v>
      </c>
      <c r="H36" t="n">
        <v>2</v>
      </c>
      <c r="I36" t="n">
        <v>1</v>
      </c>
      <c r="J36" t="n">
        <v>3</v>
      </c>
      <c r="K36" t="n">
        <v>4</v>
      </c>
      <c r="L36" t="n">
        <v>2</v>
      </c>
      <c r="M36" s="224" t="n">
        <v>0</v>
      </c>
      <c r="N36" t="inlineStr"/>
      <c r="O36" s="224" t="n">
        <v>2.25</v>
      </c>
      <c r="P36" s="224" t="n">
        <v>2.25</v>
      </c>
      <c r="Q36" s="227" t="inlineStr">
        <is>
          <t>D — Deprioritized</t>
        </is>
      </c>
      <c r="R36" s="214" t="n">
        <v>0</v>
      </c>
      <c r="S36" s="214" t="n">
        <v>0.027</v>
      </c>
      <c r="T36" s="214" t="n">
        <v>0.0825</v>
      </c>
      <c r="U36" s="214" t="n">
        <v>0.123</v>
      </c>
      <c r="V36" s="214" t="n">
        <v>0.15</v>
      </c>
      <c r="W36" s="215" t="n">
        <v>0</v>
      </c>
      <c r="X36" s="215" t="n">
        <v>0</v>
      </c>
      <c r="Y36" s="215" t="n">
        <v>0</v>
      </c>
      <c r="Z36" s="215" t="n">
        <v>0</v>
      </c>
      <c r="AA36" s="215" t="n">
        <v>0</v>
      </c>
    </row>
    <row r="37">
      <c r="A37" t="inlineStr">
        <is>
          <t>Homewood Suites by Hilton Charlotte/SouthPark</t>
        </is>
      </c>
      <c r="B37" t="inlineStr">
        <is>
          <t>Hotel</t>
        </is>
      </c>
      <c r="C37" t="inlineStr">
        <is>
          <t>NO</t>
        </is>
      </c>
      <c r="D37" t="n">
        <v>0</v>
      </c>
      <c r="E37" t="inlineStr"/>
      <c r="F37" t="inlineStr"/>
      <c r="G37" s="215" t="n">
        <v>0</v>
      </c>
      <c r="H37" t="n">
        <v>2</v>
      </c>
      <c r="I37" t="n">
        <v>1</v>
      </c>
      <c r="J37" t="n">
        <v>3</v>
      </c>
      <c r="K37" t="n">
        <v>4</v>
      </c>
      <c r="L37" t="n">
        <v>2</v>
      </c>
      <c r="M37" s="224" t="n">
        <v>0.15</v>
      </c>
      <c r="N37" t="inlineStr">
        <is>
          <t>Brand familiarity (historical): Hilton_family</t>
        </is>
      </c>
      <c r="O37" s="224" t="n">
        <v>2.25</v>
      </c>
      <c r="P37" s="224" t="n">
        <v>2.4</v>
      </c>
      <c r="Q37" s="227" t="inlineStr">
        <is>
          <t>D — Deprioritized</t>
        </is>
      </c>
      <c r="R37" s="214" t="n">
        <v>0</v>
      </c>
      <c r="S37" s="214" t="n">
        <v>0.027</v>
      </c>
      <c r="T37" s="214" t="n">
        <v>0.0825</v>
      </c>
      <c r="U37" s="214" t="n">
        <v>0.123</v>
      </c>
      <c r="V37" s="214" t="n">
        <v>0.15</v>
      </c>
      <c r="W37" s="215" t="n">
        <v>0</v>
      </c>
      <c r="X37" s="215" t="n">
        <v>0</v>
      </c>
      <c r="Y37" s="215" t="n">
        <v>0</v>
      </c>
      <c r="Z37" s="215" t="n">
        <v>0</v>
      </c>
      <c r="AA37" s="215" t="n">
        <v>0</v>
      </c>
    </row>
    <row r="38">
      <c r="A38" t="inlineStr">
        <is>
          <t>DoubleTree Suites by Hilton Hotel Charlotte - SouthPark</t>
        </is>
      </c>
      <c r="B38" t="inlineStr">
        <is>
          <t>Hotel</t>
        </is>
      </c>
      <c r="C38" t="inlineStr">
        <is>
          <t>NO</t>
        </is>
      </c>
      <c r="D38" t="n">
        <v>0</v>
      </c>
      <c r="E38" t="inlineStr"/>
      <c r="F38" t="inlineStr"/>
      <c r="G38" s="215" t="n">
        <v>0</v>
      </c>
      <c r="H38" t="n">
        <v>2</v>
      </c>
      <c r="I38" t="n">
        <v>1</v>
      </c>
      <c r="J38" t="n">
        <v>3</v>
      </c>
      <c r="K38" t="n">
        <v>4</v>
      </c>
      <c r="L38" t="n">
        <v>2</v>
      </c>
      <c r="M38" s="224" t="n">
        <v>0.15</v>
      </c>
      <c r="N38" t="inlineStr">
        <is>
          <t>Brand familiarity (historical): Hilton_family</t>
        </is>
      </c>
      <c r="O38" s="224" t="n">
        <v>2.25</v>
      </c>
      <c r="P38" s="224" t="n">
        <v>2.4</v>
      </c>
      <c r="Q38" s="227" t="inlineStr">
        <is>
          <t>D — Deprioritized</t>
        </is>
      </c>
      <c r="R38" s="214" t="n">
        <v>0</v>
      </c>
      <c r="S38" s="214" t="n">
        <v>0.027</v>
      </c>
      <c r="T38" s="214" t="n">
        <v>0.0825</v>
      </c>
      <c r="U38" s="214" t="n">
        <v>0.123</v>
      </c>
      <c r="V38" s="214" t="n">
        <v>0.15</v>
      </c>
      <c r="W38" s="215" t="n">
        <v>0</v>
      </c>
      <c r="X38" s="215" t="n">
        <v>0</v>
      </c>
      <c r="Y38" s="215" t="n">
        <v>0</v>
      </c>
      <c r="Z38" s="215" t="n">
        <v>0</v>
      </c>
      <c r="AA38" s="215" t="n">
        <v>0</v>
      </c>
    </row>
    <row r="39">
      <c r="A39" t="inlineStr">
        <is>
          <t>UNC Charlotte Marriott Hotel &amp; Conference Center</t>
        </is>
      </c>
      <c r="B39" t="inlineStr">
        <is>
          <t>Hotel</t>
        </is>
      </c>
      <c r="C39" t="inlineStr">
        <is>
          <t>NO</t>
        </is>
      </c>
      <c r="D39" t="n">
        <v>0</v>
      </c>
      <c r="E39" t="inlineStr"/>
      <c r="F39" t="n">
        <v>31</v>
      </c>
      <c r="G39" s="215" t="n">
        <v>0</v>
      </c>
      <c r="H39" t="n">
        <v>2</v>
      </c>
      <c r="I39" t="n">
        <v>1</v>
      </c>
      <c r="J39" t="n">
        <v>3</v>
      </c>
      <c r="K39" t="n">
        <v>4</v>
      </c>
      <c r="L39" t="n">
        <v>2</v>
      </c>
      <c r="M39" s="224" t="n">
        <v>0.3</v>
      </c>
      <c r="N39" t="inlineStr">
        <is>
          <t>Brand familiarity (current): Marriott_family</t>
        </is>
      </c>
      <c r="O39" s="224" t="n">
        <v>2.25</v>
      </c>
      <c r="P39" s="224" t="n">
        <v>2.55</v>
      </c>
      <c r="Q39" s="225" t="inlineStr">
        <is>
          <t>C — Opportunistic</t>
        </is>
      </c>
      <c r="R39" s="214" t="n">
        <v>0.11</v>
      </c>
      <c r="S39" s="214" t="n">
        <v>0.20375</v>
      </c>
      <c r="T39" s="214" t="n">
        <v>0.365625</v>
      </c>
      <c r="U39" s="214" t="n">
        <v>0.48375</v>
      </c>
      <c r="V39" s="214" t="n">
        <v>0.5625</v>
      </c>
      <c r="W39" s="215" t="n">
        <v>0</v>
      </c>
      <c r="X39" s="215" t="n">
        <v>0</v>
      </c>
      <c r="Y39" s="215" t="n">
        <v>0</v>
      </c>
      <c r="Z39" s="215" t="n">
        <v>0</v>
      </c>
      <c r="AA39" s="215" t="n">
        <v>0</v>
      </c>
    </row>
    <row r="40">
      <c r="A40" t="inlineStr">
        <is>
          <t>Steak 48</t>
        </is>
      </c>
      <c r="B40" t="inlineStr">
        <is>
          <t>Restaurant</t>
        </is>
      </c>
      <c r="C40" t="inlineStr">
        <is>
          <t>NO</t>
        </is>
      </c>
      <c r="D40" t="n">
        <v>0</v>
      </c>
      <c r="E40" t="inlineStr"/>
      <c r="F40" t="n">
        <v>7</v>
      </c>
      <c r="G40" s="215" t="n">
        <v>227812.5</v>
      </c>
      <c r="H40" t="n">
        <v>3</v>
      </c>
      <c r="I40" t="n">
        <v>1</v>
      </c>
      <c r="J40" t="n">
        <v>2</v>
      </c>
      <c r="K40" t="n">
        <v>4</v>
      </c>
      <c r="L40" t="n">
        <v>2</v>
      </c>
      <c r="M40" s="224" t="n">
        <v>0</v>
      </c>
      <c r="N40" t="inlineStr"/>
      <c r="O40" s="224" t="n">
        <v>2.3</v>
      </c>
      <c r="P40" s="224" t="n">
        <v>2.3</v>
      </c>
      <c r="Q40" s="227" t="inlineStr">
        <is>
          <t>D — Deprioritized</t>
        </is>
      </c>
      <c r="R40" s="214" t="n">
        <v>0</v>
      </c>
      <c r="S40" s="214" t="n">
        <v>0.027</v>
      </c>
      <c r="T40" s="214" t="n">
        <v>0.0825</v>
      </c>
      <c r="U40" s="214" t="n">
        <v>0.123</v>
      </c>
      <c r="V40" s="214" t="n">
        <v>0.15</v>
      </c>
      <c r="W40" s="215" t="n">
        <v>0</v>
      </c>
      <c r="X40" s="215" t="n">
        <v>6150.9375</v>
      </c>
      <c r="Y40" s="215" t="n">
        <v>18794.53125</v>
      </c>
      <c r="Z40" s="215" t="n">
        <v>28020.9375</v>
      </c>
      <c r="AA40" s="215" t="n">
        <v>34171.875</v>
      </c>
    </row>
    <row r="41">
      <c r="A41" t="inlineStr">
        <is>
          <t>The Capital Grille</t>
        </is>
      </c>
      <c r="B41" t="inlineStr">
        <is>
          <t>Restaurant</t>
        </is>
      </c>
      <c r="C41" t="inlineStr">
        <is>
          <t>YES</t>
        </is>
      </c>
      <c r="D41" t="n">
        <v>0</v>
      </c>
      <c r="E41" t="inlineStr">
        <is>
          <t>SOPHI</t>
        </is>
      </c>
      <c r="F41" t="n">
        <v>11</v>
      </c>
      <c r="G41" s="215" t="n">
        <v>189843.75</v>
      </c>
      <c r="H41" t="n">
        <v>3</v>
      </c>
      <c r="I41" t="n">
        <v>1</v>
      </c>
      <c r="J41" t="n">
        <v>2</v>
      </c>
      <c r="K41" t="n">
        <v>3</v>
      </c>
      <c r="L41" t="n">
        <v>4</v>
      </c>
      <c r="M41" s="224" t="n">
        <v>1</v>
      </c>
      <c r="N41" t="inlineStr">
        <is>
          <t>Current operator: Darden</t>
        </is>
      </c>
      <c r="O41" s="224" t="n">
        <v>2.45</v>
      </c>
      <c r="P41" s="224" t="n">
        <v>3.45</v>
      </c>
      <c r="Q41" s="225" t="inlineStr">
        <is>
          <t>C — Opportunistic</t>
        </is>
      </c>
      <c r="R41" s="214" t="n">
        <v>0.11</v>
      </c>
      <c r="S41" s="214" t="n">
        <v>0.20375</v>
      </c>
      <c r="T41" s="214" t="n">
        <v>0.365625</v>
      </c>
      <c r="U41" s="214" t="n">
        <v>0.48375</v>
      </c>
      <c r="V41" s="214" t="n">
        <v>0.5625</v>
      </c>
      <c r="W41" s="215" t="n">
        <v>20882.8125</v>
      </c>
      <c r="X41" s="215" t="n">
        <v>38680.6640625</v>
      </c>
      <c r="Y41" s="215" t="n">
        <v>69411.62109375</v>
      </c>
      <c r="Z41" s="215" t="n">
        <v>91836.9140625</v>
      </c>
      <c r="AA41" s="215" t="n">
        <v>106787.109375</v>
      </c>
    </row>
    <row r="42">
      <c r="A42" t="inlineStr">
        <is>
          <t>Morton's Steakhouse</t>
        </is>
      </c>
      <c r="B42" t="inlineStr">
        <is>
          <t>Restaurant</t>
        </is>
      </c>
      <c r="C42" t="inlineStr">
        <is>
          <t>YES</t>
        </is>
      </c>
      <c r="D42" t="n">
        <v>0</v>
      </c>
      <c r="E42" t="inlineStr">
        <is>
          <t>Park Inc</t>
        </is>
      </c>
      <c r="F42" t="n">
        <v>15</v>
      </c>
      <c r="G42" s="215" t="n">
        <v>151875</v>
      </c>
      <c r="H42" t="n">
        <v>3</v>
      </c>
      <c r="I42" t="n">
        <v>1</v>
      </c>
      <c r="J42" t="n">
        <v>2</v>
      </c>
      <c r="K42" t="n">
        <v>3</v>
      </c>
      <c r="L42" t="n">
        <v>4</v>
      </c>
      <c r="M42" s="224" t="n">
        <v>0</v>
      </c>
      <c r="N42" t="inlineStr"/>
      <c r="O42" s="224" t="n">
        <v>2.45</v>
      </c>
      <c r="P42" s="224" t="n">
        <v>2.45</v>
      </c>
      <c r="Q42" s="227" t="inlineStr">
        <is>
          <t>D — Deprioritized</t>
        </is>
      </c>
      <c r="R42" s="214" t="n">
        <v>0</v>
      </c>
      <c r="S42" s="214" t="n">
        <v>0.027</v>
      </c>
      <c r="T42" s="214" t="n">
        <v>0.0825</v>
      </c>
      <c r="U42" s="214" t="n">
        <v>0.123</v>
      </c>
      <c r="V42" s="214" t="n">
        <v>0.15</v>
      </c>
      <c r="W42" s="215" t="n">
        <v>0</v>
      </c>
      <c r="X42" s="215" t="n">
        <v>4100.625</v>
      </c>
      <c r="Y42" s="215" t="n">
        <v>12529.6875</v>
      </c>
      <c r="Z42" s="215" t="n">
        <v>18680.625</v>
      </c>
      <c r="AA42" s="215" t="n">
        <v>22781.25</v>
      </c>
    </row>
    <row r="43">
      <c r="A43" t="inlineStr">
        <is>
          <t>Church and Union</t>
        </is>
      </c>
      <c r="B43" t="inlineStr">
        <is>
          <t>Restaurant</t>
        </is>
      </c>
      <c r="C43" t="inlineStr">
        <is>
          <t>YES</t>
        </is>
      </c>
      <c r="D43" t="n">
        <v>0</v>
      </c>
      <c r="E43" t="inlineStr">
        <is>
          <t>Park Inc</t>
        </is>
      </c>
      <c r="F43" t="n">
        <v>15</v>
      </c>
      <c r="G43" s="215" t="n">
        <v>0</v>
      </c>
      <c r="H43" t="n">
        <v>3</v>
      </c>
      <c r="I43" t="n">
        <v>1</v>
      </c>
      <c r="J43" t="n">
        <v>2</v>
      </c>
      <c r="K43" t="n">
        <v>3</v>
      </c>
      <c r="L43" t="n">
        <v>4</v>
      </c>
      <c r="M43" s="224" t="n">
        <v>0</v>
      </c>
      <c r="N43" t="inlineStr"/>
      <c r="O43" s="224" t="n">
        <v>2.45</v>
      </c>
      <c r="P43" s="224" t="n">
        <v>2.45</v>
      </c>
      <c r="Q43" s="227" t="inlineStr">
        <is>
          <t>D — Deprioritized</t>
        </is>
      </c>
      <c r="R43" s="214" t="n">
        <v>0</v>
      </c>
      <c r="S43" s="214" t="n">
        <v>0.027</v>
      </c>
      <c r="T43" s="214" t="n">
        <v>0.0825</v>
      </c>
      <c r="U43" s="214" t="n">
        <v>0.123</v>
      </c>
      <c r="V43" s="214" t="n">
        <v>0.15</v>
      </c>
      <c r="W43" s="215" t="n">
        <v>0</v>
      </c>
      <c r="X43" s="215" t="n">
        <v>0</v>
      </c>
      <c r="Y43" s="215" t="n">
        <v>0</v>
      </c>
      <c r="Z43" s="215" t="n">
        <v>0</v>
      </c>
      <c r="AA43" s="215" t="n">
        <v>0</v>
      </c>
    </row>
    <row r="44">
      <c r="A44" t="inlineStr">
        <is>
          <t>Fahrenheit CLT</t>
        </is>
      </c>
      <c r="B44" t="inlineStr">
        <is>
          <t>Restaurant</t>
        </is>
      </c>
      <c r="C44" t="inlineStr">
        <is>
          <t>YES</t>
        </is>
      </c>
      <c r="D44" t="n">
        <v>0</v>
      </c>
      <c r="E44" t="inlineStr">
        <is>
          <t>Park Inc</t>
        </is>
      </c>
      <c r="F44" t="n">
        <v>17</v>
      </c>
      <c r="G44" s="215" t="n">
        <v>170859.375</v>
      </c>
      <c r="H44" t="n">
        <v>3</v>
      </c>
      <c r="I44" t="n">
        <v>1</v>
      </c>
      <c r="J44" t="n">
        <v>2</v>
      </c>
      <c r="K44" t="n">
        <v>3</v>
      </c>
      <c r="L44" t="n">
        <v>4</v>
      </c>
      <c r="M44" s="224" t="n">
        <v>0</v>
      </c>
      <c r="N44" t="inlineStr"/>
      <c r="O44" s="224" t="n">
        <v>2.45</v>
      </c>
      <c r="P44" s="224" t="n">
        <v>2.45</v>
      </c>
      <c r="Q44" s="227" t="inlineStr">
        <is>
          <t>D — Deprioritized</t>
        </is>
      </c>
      <c r="R44" s="214" t="n">
        <v>0</v>
      </c>
      <c r="S44" s="214" t="n">
        <v>0.027</v>
      </c>
      <c r="T44" s="214" t="n">
        <v>0.0825</v>
      </c>
      <c r="U44" s="214" t="n">
        <v>0.123</v>
      </c>
      <c r="V44" s="214" t="n">
        <v>0.15</v>
      </c>
      <c r="W44" s="215" t="n">
        <v>0</v>
      </c>
      <c r="X44" s="215" t="n">
        <v>4613.203125</v>
      </c>
      <c r="Y44" s="215" t="n">
        <v>14095.8984375</v>
      </c>
      <c r="Z44" s="215" t="n">
        <v>21015.703125</v>
      </c>
      <c r="AA44" s="215" t="n">
        <v>25628.90625</v>
      </c>
    </row>
    <row r="45">
      <c r="A45" t="inlineStr">
        <is>
          <t>STK Steakhouse</t>
        </is>
      </c>
      <c r="B45" t="inlineStr">
        <is>
          <t>Restaurant</t>
        </is>
      </c>
      <c r="C45" t="inlineStr">
        <is>
          <t>YES</t>
        </is>
      </c>
      <c r="D45" t="n">
        <v>0</v>
      </c>
      <c r="E45" t="inlineStr">
        <is>
          <t>SOPHI</t>
        </is>
      </c>
      <c r="F45" t="n">
        <v>17</v>
      </c>
      <c r="G45" s="215" t="n">
        <v>208828.125</v>
      </c>
      <c r="H45" t="n">
        <v>3</v>
      </c>
      <c r="I45" t="n">
        <v>1</v>
      </c>
      <c r="J45" t="n">
        <v>2</v>
      </c>
      <c r="K45" t="n">
        <v>3</v>
      </c>
      <c r="L45" t="n">
        <v>4</v>
      </c>
      <c r="M45" s="224" t="n">
        <v>1</v>
      </c>
      <c r="N45" t="inlineStr">
        <is>
          <t>Current operator: The ONE Group</t>
        </is>
      </c>
      <c r="O45" s="224" t="n">
        <v>2.45</v>
      </c>
      <c r="P45" s="224" t="n">
        <v>3.45</v>
      </c>
      <c r="Q45" s="225" t="inlineStr">
        <is>
          <t>C — Opportunistic</t>
        </is>
      </c>
      <c r="R45" s="214" t="n">
        <v>0.11</v>
      </c>
      <c r="S45" s="214" t="n">
        <v>0.20375</v>
      </c>
      <c r="T45" s="214" t="n">
        <v>0.365625</v>
      </c>
      <c r="U45" s="214" t="n">
        <v>0.48375</v>
      </c>
      <c r="V45" s="214" t="n">
        <v>0.5625</v>
      </c>
      <c r="W45" s="215" t="n">
        <v>22971.09375</v>
      </c>
      <c r="X45" s="215" t="n">
        <v>42548.73046875</v>
      </c>
      <c r="Y45" s="215" t="n">
        <v>76352.783203125</v>
      </c>
      <c r="Z45" s="215" t="n">
        <v>101020.60546875</v>
      </c>
      <c r="AA45" s="215" t="n">
        <v>117465.8203125</v>
      </c>
    </row>
    <row r="46">
      <c r="A46" t="inlineStr">
        <is>
          <t>La Belle</t>
        </is>
      </c>
      <c r="B46" t="inlineStr">
        <is>
          <t>Restaurant</t>
        </is>
      </c>
      <c r="C46" t="inlineStr">
        <is>
          <t>YES</t>
        </is>
      </c>
      <c r="D46" t="n">
        <v>0</v>
      </c>
      <c r="E46" t="inlineStr">
        <is>
          <t>None</t>
        </is>
      </c>
      <c r="F46" t="inlineStr">
        <is>
          <t>N/A</t>
        </is>
      </c>
      <c r="G46" s="215" t="n">
        <v>0</v>
      </c>
      <c r="H46" t="n">
        <v>3</v>
      </c>
      <c r="I46" t="n">
        <v>1</v>
      </c>
      <c r="J46" t="n">
        <v>2</v>
      </c>
      <c r="K46" t="n">
        <v>3</v>
      </c>
      <c r="L46" t="n">
        <v>4</v>
      </c>
      <c r="M46" s="224" t="n">
        <v>0</v>
      </c>
      <c r="N46" t="inlineStr"/>
      <c r="O46" s="224" t="n">
        <v>2.45</v>
      </c>
      <c r="P46" s="224" t="n">
        <v>2.45</v>
      </c>
      <c r="Q46" s="227" t="inlineStr">
        <is>
          <t>D — Deprioritized</t>
        </is>
      </c>
      <c r="R46" s="214" t="n">
        <v>0</v>
      </c>
      <c r="S46" s="214" t="n">
        <v>0.027</v>
      </c>
      <c r="T46" s="214" t="n">
        <v>0.0825</v>
      </c>
      <c r="U46" s="214" t="n">
        <v>0.123</v>
      </c>
      <c r="V46" s="214" t="n">
        <v>0.15</v>
      </c>
      <c r="W46" s="215" t="n">
        <v>0</v>
      </c>
      <c r="X46" s="215" t="n">
        <v>0</v>
      </c>
      <c r="Y46" s="215" t="n">
        <v>0</v>
      </c>
      <c r="Z46" s="215" t="n">
        <v>0</v>
      </c>
      <c r="AA46" s="215" t="n">
        <v>0</v>
      </c>
    </row>
    <row r="47">
      <c r="A47" t="inlineStr">
        <is>
          <t>Cajun Queen</t>
        </is>
      </c>
      <c r="B47" t="inlineStr">
        <is>
          <t>Restaurant</t>
        </is>
      </c>
      <c r="C47" t="inlineStr">
        <is>
          <t>YES</t>
        </is>
      </c>
      <c r="D47" t="n">
        <v>0</v>
      </c>
      <c r="E47" t="inlineStr">
        <is>
          <t>Park Inc</t>
        </is>
      </c>
      <c r="F47" t="inlineStr">
        <is>
          <t>N/A</t>
        </is>
      </c>
      <c r="G47" s="215" t="n">
        <v>0</v>
      </c>
      <c r="H47" t="n">
        <v>3</v>
      </c>
      <c r="I47" t="n">
        <v>1</v>
      </c>
      <c r="J47" t="n">
        <v>2</v>
      </c>
      <c r="K47" t="n">
        <v>3</v>
      </c>
      <c r="L47" t="n">
        <v>4</v>
      </c>
      <c r="M47" s="224" t="n">
        <v>0</v>
      </c>
      <c r="N47" t="inlineStr"/>
      <c r="O47" s="224" t="n">
        <v>2.45</v>
      </c>
      <c r="P47" s="224" t="n">
        <v>2.45</v>
      </c>
      <c r="Q47" s="227" t="inlineStr">
        <is>
          <t>D — Deprioritized</t>
        </is>
      </c>
      <c r="R47" s="214" t="n">
        <v>0</v>
      </c>
      <c r="S47" s="214" t="n">
        <v>0.027</v>
      </c>
      <c r="T47" s="214" t="n">
        <v>0.0825</v>
      </c>
      <c r="U47" s="214" t="n">
        <v>0.123</v>
      </c>
      <c r="V47" s="214" t="n">
        <v>0.15</v>
      </c>
      <c r="W47" s="215" t="n">
        <v>0</v>
      </c>
      <c r="X47" s="215" t="n">
        <v>0</v>
      </c>
      <c r="Y47" s="215" t="n">
        <v>0</v>
      </c>
      <c r="Z47" s="215" t="n">
        <v>0</v>
      </c>
      <c r="AA47" s="215" t="n">
        <v>0</v>
      </c>
    </row>
    <row r="48">
      <c r="A48" t="inlineStr">
        <is>
          <t>Bernardin's Restaurant At Ratcliffe</t>
        </is>
      </c>
      <c r="B48" t="inlineStr">
        <is>
          <t>Restaurant</t>
        </is>
      </c>
      <c r="C48" t="inlineStr">
        <is>
          <t>YES</t>
        </is>
      </c>
      <c r="D48" t="n">
        <v>0</v>
      </c>
      <c r="E48" t="inlineStr">
        <is>
          <t>None</t>
        </is>
      </c>
      <c r="F48" t="inlineStr">
        <is>
          <t>N/A</t>
        </is>
      </c>
      <c r="G48" s="215" t="n">
        <v>0</v>
      </c>
      <c r="H48" t="n">
        <v>3</v>
      </c>
      <c r="I48" t="n">
        <v>1</v>
      </c>
      <c r="J48" t="n">
        <v>2</v>
      </c>
      <c r="K48" t="n">
        <v>3</v>
      </c>
      <c r="L48" t="n">
        <v>4</v>
      </c>
      <c r="M48" s="224" t="n">
        <v>0</v>
      </c>
      <c r="N48" t="inlineStr"/>
      <c r="O48" s="224" t="n">
        <v>2.45</v>
      </c>
      <c r="P48" s="224" t="n">
        <v>2.45</v>
      </c>
      <c r="Q48" s="227" t="inlineStr">
        <is>
          <t>D — Deprioritized</t>
        </is>
      </c>
      <c r="R48" s="214" t="n">
        <v>0</v>
      </c>
      <c r="S48" s="214" t="n">
        <v>0.027</v>
      </c>
      <c r="T48" s="214" t="n">
        <v>0.0825</v>
      </c>
      <c r="U48" s="214" t="n">
        <v>0.123</v>
      </c>
      <c r="V48" s="214" t="n">
        <v>0.15</v>
      </c>
      <c r="W48" s="215" t="n">
        <v>0</v>
      </c>
      <c r="X48" s="215" t="n">
        <v>0</v>
      </c>
      <c r="Y48" s="215" t="n">
        <v>0</v>
      </c>
      <c r="Z48" s="215" t="n">
        <v>0</v>
      </c>
      <c r="AA48" s="215" t="n">
        <v>0</v>
      </c>
    </row>
    <row r="49">
      <c r="A49" t="inlineStr">
        <is>
          <t>Basil</t>
        </is>
      </c>
      <c r="B49" t="inlineStr">
        <is>
          <t>Restaurant</t>
        </is>
      </c>
      <c r="C49" t="inlineStr">
        <is>
          <t>YES</t>
        </is>
      </c>
      <c r="D49" t="n">
        <v>0</v>
      </c>
      <c r="E49" t="inlineStr">
        <is>
          <t>None</t>
        </is>
      </c>
      <c r="F49" t="inlineStr">
        <is>
          <t>N/A</t>
        </is>
      </c>
      <c r="G49" s="215" t="n">
        <v>0</v>
      </c>
      <c r="H49" t="n">
        <v>3</v>
      </c>
      <c r="I49" t="n">
        <v>1</v>
      </c>
      <c r="J49" t="n">
        <v>2</v>
      </c>
      <c r="K49" t="n">
        <v>3</v>
      </c>
      <c r="L49" t="n">
        <v>4</v>
      </c>
      <c r="M49" s="224" t="n">
        <v>0</v>
      </c>
      <c r="N49" t="inlineStr"/>
      <c r="O49" s="224" t="n">
        <v>2.45</v>
      </c>
      <c r="P49" s="224" t="n">
        <v>2.45</v>
      </c>
      <c r="Q49" s="227" t="inlineStr">
        <is>
          <t>D — Deprioritized</t>
        </is>
      </c>
      <c r="R49" s="214" t="n">
        <v>0</v>
      </c>
      <c r="S49" s="214" t="n">
        <v>0.027</v>
      </c>
      <c r="T49" s="214" t="n">
        <v>0.0825</v>
      </c>
      <c r="U49" s="214" t="n">
        <v>0.123</v>
      </c>
      <c r="V49" s="214" t="n">
        <v>0.15</v>
      </c>
      <c r="W49" s="215" t="n">
        <v>0</v>
      </c>
      <c r="X49" s="215" t="n">
        <v>0</v>
      </c>
      <c r="Y49" s="215" t="n">
        <v>0</v>
      </c>
      <c r="Z49" s="215" t="n">
        <v>0</v>
      </c>
      <c r="AA49" s="215" t="n">
        <v>0</v>
      </c>
    </row>
    <row r="50">
      <c r="A50" t="inlineStr">
        <is>
          <t>Haymaker</t>
        </is>
      </c>
      <c r="B50" t="inlineStr">
        <is>
          <t>Restaurant</t>
        </is>
      </c>
      <c r="C50" t="inlineStr">
        <is>
          <t>YES</t>
        </is>
      </c>
      <c r="D50" t="n">
        <v>0</v>
      </c>
      <c r="E50" t="inlineStr">
        <is>
          <t>None</t>
        </is>
      </c>
      <c r="F50" t="inlineStr">
        <is>
          <t>N?A</t>
        </is>
      </c>
      <c r="G50" s="215" t="n">
        <v>0</v>
      </c>
      <c r="H50" t="n">
        <v>3</v>
      </c>
      <c r="I50" t="n">
        <v>1</v>
      </c>
      <c r="J50" t="n">
        <v>2</v>
      </c>
      <c r="K50" t="n">
        <v>3</v>
      </c>
      <c r="L50" t="n">
        <v>4</v>
      </c>
      <c r="M50" s="224" t="n">
        <v>0</v>
      </c>
      <c r="N50" t="inlineStr"/>
      <c r="O50" s="224" t="n">
        <v>2.45</v>
      </c>
      <c r="P50" s="224" t="n">
        <v>2.45</v>
      </c>
      <c r="Q50" s="227" t="inlineStr">
        <is>
          <t>D — Deprioritized</t>
        </is>
      </c>
      <c r="R50" s="214" t="n">
        <v>0</v>
      </c>
      <c r="S50" s="214" t="n">
        <v>0.027</v>
      </c>
      <c r="T50" s="214" t="n">
        <v>0.0825</v>
      </c>
      <c r="U50" s="214" t="n">
        <v>0.123</v>
      </c>
      <c r="V50" s="214" t="n">
        <v>0.15</v>
      </c>
      <c r="W50" s="215" t="n">
        <v>0</v>
      </c>
      <c r="X50" s="215" t="n">
        <v>0</v>
      </c>
      <c r="Y50" s="215" t="n">
        <v>0</v>
      </c>
      <c r="Z50" s="215" t="n">
        <v>0</v>
      </c>
      <c r="AA50" s="215" t="n">
        <v>0</v>
      </c>
    </row>
    <row r="51">
      <c r="A51" t="inlineStr">
        <is>
          <t>McNinch House Restaurant</t>
        </is>
      </c>
      <c r="B51" t="inlineStr">
        <is>
          <t>Restaurant</t>
        </is>
      </c>
      <c r="C51" t="inlineStr">
        <is>
          <t>YES</t>
        </is>
      </c>
      <c r="D51" t="n">
        <v>0</v>
      </c>
      <c r="E51" t="inlineStr"/>
      <c r="F51" t="inlineStr">
        <is>
          <t>N/A</t>
        </is>
      </c>
      <c r="G51" s="215" t="n">
        <v>0</v>
      </c>
      <c r="H51" t="n">
        <v>3</v>
      </c>
      <c r="I51" t="n">
        <v>1</v>
      </c>
      <c r="J51" t="n">
        <v>2</v>
      </c>
      <c r="K51" t="n">
        <v>4</v>
      </c>
      <c r="L51" t="n">
        <v>4</v>
      </c>
      <c r="M51" s="224" t="n">
        <v>0</v>
      </c>
      <c r="N51" t="inlineStr"/>
      <c r="O51" s="224" t="n">
        <v>2.6</v>
      </c>
      <c r="P51" s="224" t="n">
        <v>2.6</v>
      </c>
      <c r="Q51" s="225" t="inlineStr">
        <is>
          <t>C — Opportunistic</t>
        </is>
      </c>
      <c r="R51" s="214" t="n">
        <v>0.11</v>
      </c>
      <c r="S51" s="214" t="n">
        <v>0.20375</v>
      </c>
      <c r="T51" s="214" t="n">
        <v>0.365625</v>
      </c>
      <c r="U51" s="214" t="n">
        <v>0.48375</v>
      </c>
      <c r="V51" s="214" t="n">
        <v>0.5625</v>
      </c>
      <c r="W51" s="215" t="n">
        <v>0</v>
      </c>
      <c r="X51" s="215" t="n">
        <v>0</v>
      </c>
      <c r="Y51" s="215" t="n">
        <v>0</v>
      </c>
      <c r="Z51" s="215" t="n">
        <v>0</v>
      </c>
      <c r="AA51" s="215" t="n">
        <v>0</v>
      </c>
    </row>
    <row r="52">
      <c r="A52" t="inlineStr">
        <is>
          <t>Luce Ristorante &amp; Bar</t>
        </is>
      </c>
      <c r="B52" t="inlineStr">
        <is>
          <t>Restaurant</t>
        </is>
      </c>
      <c r="C52" t="inlineStr">
        <is>
          <t>YES</t>
        </is>
      </c>
      <c r="D52" t="n">
        <v>0</v>
      </c>
      <c r="E52" t="inlineStr">
        <is>
          <t>None</t>
        </is>
      </c>
      <c r="F52" t="inlineStr">
        <is>
          <t>N/A</t>
        </is>
      </c>
      <c r="G52" s="215" t="n">
        <v>0</v>
      </c>
      <c r="H52" t="n">
        <v>3</v>
      </c>
      <c r="I52" t="n">
        <v>1</v>
      </c>
      <c r="J52" t="n">
        <v>2</v>
      </c>
      <c r="K52" t="n">
        <v>3</v>
      </c>
      <c r="L52" t="n">
        <v>4</v>
      </c>
      <c r="M52" s="224" t="n">
        <v>0</v>
      </c>
      <c r="N52" t="inlineStr"/>
      <c r="O52" s="224" t="n">
        <v>2.45</v>
      </c>
      <c r="P52" s="224" t="n">
        <v>2.45</v>
      </c>
      <c r="Q52" s="227" t="inlineStr">
        <is>
          <t>D — Deprioritized</t>
        </is>
      </c>
      <c r="R52" s="214" t="n">
        <v>0</v>
      </c>
      <c r="S52" s="214" t="n">
        <v>0.027</v>
      </c>
      <c r="T52" s="214" t="n">
        <v>0.0825</v>
      </c>
      <c r="U52" s="214" t="n">
        <v>0.123</v>
      </c>
      <c r="V52" s="214" t="n">
        <v>0.15</v>
      </c>
      <c r="W52" s="215" t="n">
        <v>0</v>
      </c>
      <c r="X52" s="215" t="n">
        <v>0</v>
      </c>
      <c r="Y52" s="215" t="n">
        <v>0</v>
      </c>
      <c r="Z52" s="215" t="n">
        <v>0</v>
      </c>
      <c r="AA52" s="215" t="n">
        <v>0</v>
      </c>
    </row>
    <row r="53">
      <c r="A53" t="inlineStr">
        <is>
          <t>Fin&amp;Fino</t>
        </is>
      </c>
      <c r="B53" t="inlineStr">
        <is>
          <t>Restaurant</t>
        </is>
      </c>
      <c r="C53" t="inlineStr">
        <is>
          <t>YES</t>
        </is>
      </c>
      <c r="D53" t="n">
        <v>0</v>
      </c>
      <c r="E53" t="inlineStr">
        <is>
          <t>None</t>
        </is>
      </c>
      <c r="F53" t="inlineStr">
        <is>
          <t>Not Available</t>
        </is>
      </c>
      <c r="G53" s="215" t="n">
        <v>0</v>
      </c>
      <c r="H53" t="n">
        <v>3</v>
      </c>
      <c r="I53" t="n">
        <v>1</v>
      </c>
      <c r="J53" t="n">
        <v>2</v>
      </c>
      <c r="K53" t="n">
        <v>3</v>
      </c>
      <c r="L53" t="n">
        <v>4</v>
      </c>
      <c r="M53" s="224" t="n">
        <v>0</v>
      </c>
      <c r="N53" t="inlineStr"/>
      <c r="O53" s="224" t="n">
        <v>2.45</v>
      </c>
      <c r="P53" s="224" t="n">
        <v>2.45</v>
      </c>
      <c r="Q53" s="227" t="inlineStr">
        <is>
          <t>D — Deprioritized</t>
        </is>
      </c>
      <c r="R53" s="214" t="n">
        <v>0</v>
      </c>
      <c r="S53" s="214" t="n">
        <v>0.027</v>
      </c>
      <c r="T53" s="214" t="n">
        <v>0.0825</v>
      </c>
      <c r="U53" s="214" t="n">
        <v>0.123</v>
      </c>
      <c r="V53" s="214" t="n">
        <v>0.15</v>
      </c>
      <c r="W53" s="215" t="n">
        <v>0</v>
      </c>
      <c r="X53" s="215" t="n">
        <v>0</v>
      </c>
      <c r="Y53" s="215" t="n">
        <v>0</v>
      </c>
      <c r="Z53" s="215" t="n">
        <v>0</v>
      </c>
      <c r="AA53" s="215" t="n">
        <v>0</v>
      </c>
    </row>
    <row r="54">
      <c r="A54" t="inlineStr">
        <is>
          <t>Forchetta</t>
        </is>
      </c>
      <c r="B54" t="inlineStr">
        <is>
          <t>Restaurant</t>
        </is>
      </c>
      <c r="C54" t="inlineStr">
        <is>
          <t>YES</t>
        </is>
      </c>
      <c r="D54" t="n">
        <v>0</v>
      </c>
      <c r="E54" t="inlineStr">
        <is>
          <t>None</t>
        </is>
      </c>
      <c r="F54" t="inlineStr">
        <is>
          <t>Not Available</t>
        </is>
      </c>
      <c r="G54" s="215" t="n">
        <v>0</v>
      </c>
      <c r="H54" t="n">
        <v>3</v>
      </c>
      <c r="I54" t="n">
        <v>1</v>
      </c>
      <c r="J54" t="n">
        <v>2</v>
      </c>
      <c r="K54" t="n">
        <v>3</v>
      </c>
      <c r="L54" t="n">
        <v>4</v>
      </c>
      <c r="M54" s="224" t="n">
        <v>0</v>
      </c>
      <c r="N54" t="inlineStr"/>
      <c r="O54" s="224" t="n">
        <v>2.45</v>
      </c>
      <c r="P54" s="224" t="n">
        <v>2.45</v>
      </c>
      <c r="Q54" s="227" t="inlineStr">
        <is>
          <t>D — Deprioritized</t>
        </is>
      </c>
      <c r="R54" s="214" t="n">
        <v>0</v>
      </c>
      <c r="S54" s="214" t="n">
        <v>0.027</v>
      </c>
      <c r="T54" s="214" t="n">
        <v>0.0825</v>
      </c>
      <c r="U54" s="214" t="n">
        <v>0.123</v>
      </c>
      <c r="V54" s="214" t="n">
        <v>0.15</v>
      </c>
      <c r="W54" s="215" t="n">
        <v>0</v>
      </c>
      <c r="X54" s="215" t="n">
        <v>0</v>
      </c>
      <c r="Y54" s="215" t="n">
        <v>0</v>
      </c>
      <c r="Z54" s="215" t="n">
        <v>0</v>
      </c>
      <c r="AA54" s="215" t="n">
        <v>0</v>
      </c>
    </row>
    <row r="55">
      <c r="A55" t="inlineStr">
        <is>
          <t>Indaco</t>
        </is>
      </c>
      <c r="B55" t="inlineStr">
        <is>
          <t>Restaurant</t>
        </is>
      </c>
      <c r="C55" t="inlineStr">
        <is>
          <t>NO</t>
        </is>
      </c>
      <c r="D55" t="n">
        <v>0</v>
      </c>
      <c r="E55" t="inlineStr">
        <is>
          <t>None</t>
        </is>
      </c>
      <c r="F55" t="inlineStr">
        <is>
          <t>Not Available</t>
        </is>
      </c>
      <c r="G55" s="215" t="n">
        <v>0</v>
      </c>
      <c r="H55" t="n">
        <v>3</v>
      </c>
      <c r="I55" t="n">
        <v>1</v>
      </c>
      <c r="J55" t="n">
        <v>2</v>
      </c>
      <c r="K55" t="n">
        <v>3</v>
      </c>
      <c r="L55" t="n">
        <v>2</v>
      </c>
      <c r="M55" s="224" t="n">
        <v>0</v>
      </c>
      <c r="N55" t="inlineStr"/>
      <c r="O55" s="224" t="n">
        <v>2.15</v>
      </c>
      <c r="P55" s="224" t="n">
        <v>2.15</v>
      </c>
      <c r="Q55" s="227" t="inlineStr">
        <is>
          <t>D — Deprioritized</t>
        </is>
      </c>
      <c r="R55" s="214" t="n">
        <v>0</v>
      </c>
      <c r="S55" s="214" t="n">
        <v>0.027</v>
      </c>
      <c r="T55" s="214" t="n">
        <v>0.0825</v>
      </c>
      <c r="U55" s="214" t="n">
        <v>0.123</v>
      </c>
      <c r="V55" s="214" t="n">
        <v>0.15</v>
      </c>
      <c r="W55" s="215" t="n">
        <v>0</v>
      </c>
      <c r="X55" s="215" t="n">
        <v>0</v>
      </c>
      <c r="Y55" s="215" t="n">
        <v>0</v>
      </c>
      <c r="Z55" s="215" t="n">
        <v>0</v>
      </c>
      <c r="AA55" s="215" t="n">
        <v>0</v>
      </c>
    </row>
    <row r="56">
      <c r="A56" t="inlineStr">
        <is>
          <t>Copper Restaurant</t>
        </is>
      </c>
      <c r="B56" t="inlineStr">
        <is>
          <t>Restaurant</t>
        </is>
      </c>
      <c r="C56" t="inlineStr">
        <is>
          <t>NO</t>
        </is>
      </c>
      <c r="D56" t="n">
        <v>0</v>
      </c>
      <c r="E56" t="inlineStr">
        <is>
          <t>None</t>
        </is>
      </c>
      <c r="F56" t="inlineStr">
        <is>
          <t>Not Available</t>
        </is>
      </c>
      <c r="G56" s="215" t="n">
        <v>0</v>
      </c>
      <c r="H56" t="n">
        <v>3</v>
      </c>
      <c r="I56" t="n">
        <v>1</v>
      </c>
      <c r="J56" t="n">
        <v>2</v>
      </c>
      <c r="K56" t="n">
        <v>3</v>
      </c>
      <c r="L56" t="n">
        <v>2</v>
      </c>
      <c r="M56" s="224" t="n">
        <v>0</v>
      </c>
      <c r="N56" t="inlineStr"/>
      <c r="O56" s="224" t="n">
        <v>2.15</v>
      </c>
      <c r="P56" s="224" t="n">
        <v>2.15</v>
      </c>
      <c r="Q56" s="227" t="inlineStr">
        <is>
          <t>D — Deprioritized</t>
        </is>
      </c>
      <c r="R56" s="214" t="n">
        <v>0</v>
      </c>
      <c r="S56" s="214" t="n">
        <v>0.027</v>
      </c>
      <c r="T56" s="214" t="n">
        <v>0.0825</v>
      </c>
      <c r="U56" s="214" t="n">
        <v>0.123</v>
      </c>
      <c r="V56" s="214" t="n">
        <v>0.15</v>
      </c>
      <c r="W56" s="215" t="n">
        <v>0</v>
      </c>
      <c r="X56" s="215" t="n">
        <v>0</v>
      </c>
      <c r="Y56" s="215" t="n">
        <v>0</v>
      </c>
      <c r="Z56" s="215" t="n">
        <v>0</v>
      </c>
      <c r="AA56" s="215" t="n">
        <v>0</v>
      </c>
    </row>
    <row r="57">
      <c r="A57" t="inlineStr">
        <is>
          <t>Dolce Osteria</t>
        </is>
      </c>
      <c r="B57" t="inlineStr">
        <is>
          <t>Restaurant</t>
        </is>
      </c>
      <c r="C57" t="inlineStr">
        <is>
          <t>NO</t>
        </is>
      </c>
      <c r="D57" t="n">
        <v>0</v>
      </c>
      <c r="E57" t="inlineStr">
        <is>
          <t>None</t>
        </is>
      </c>
      <c r="F57" t="inlineStr">
        <is>
          <t>N/A</t>
        </is>
      </c>
      <c r="G57" s="215" t="n">
        <v>0</v>
      </c>
      <c r="H57" t="n">
        <v>3</v>
      </c>
      <c r="I57" t="n">
        <v>1</v>
      </c>
      <c r="J57" t="n">
        <v>2</v>
      </c>
      <c r="K57" t="n">
        <v>3</v>
      </c>
      <c r="L57" t="n">
        <v>2</v>
      </c>
      <c r="M57" s="224" t="n">
        <v>0</v>
      </c>
      <c r="N57" t="inlineStr"/>
      <c r="O57" s="224" t="n">
        <v>2.15</v>
      </c>
      <c r="P57" s="224" t="n">
        <v>2.15</v>
      </c>
      <c r="Q57" s="227" t="inlineStr">
        <is>
          <t>D — Deprioritized</t>
        </is>
      </c>
      <c r="R57" s="214" t="n">
        <v>0</v>
      </c>
      <c r="S57" s="214" t="n">
        <v>0.027</v>
      </c>
      <c r="T57" s="214" t="n">
        <v>0.0825</v>
      </c>
      <c r="U57" s="214" t="n">
        <v>0.123</v>
      </c>
      <c r="V57" s="214" t="n">
        <v>0.15</v>
      </c>
      <c r="W57" s="215" t="n">
        <v>0</v>
      </c>
      <c r="X57" s="215" t="n">
        <v>0</v>
      </c>
      <c r="Y57" s="215" t="n">
        <v>0</v>
      </c>
      <c r="Z57" s="215" t="n">
        <v>0</v>
      </c>
      <c r="AA57" s="215" t="n">
        <v>0</v>
      </c>
    </row>
    <row r="58">
      <c r="A58" t="inlineStr">
        <is>
          <t>The Fig Tree Restaurant</t>
        </is>
      </c>
      <c r="B58" t="inlineStr">
        <is>
          <t>Restaurant</t>
        </is>
      </c>
      <c r="C58" t="inlineStr">
        <is>
          <t>YES</t>
        </is>
      </c>
      <c r="D58" t="n">
        <v>0</v>
      </c>
      <c r="E58" t="inlineStr">
        <is>
          <t>None</t>
        </is>
      </c>
      <c r="F58" t="inlineStr">
        <is>
          <t>Not Available</t>
        </is>
      </c>
      <c r="G58" s="215" t="n">
        <v>0</v>
      </c>
      <c r="H58" t="n">
        <v>3</v>
      </c>
      <c r="I58" t="n">
        <v>1</v>
      </c>
      <c r="J58" t="n">
        <v>2</v>
      </c>
      <c r="K58" t="n">
        <v>3</v>
      </c>
      <c r="L58" t="n">
        <v>4</v>
      </c>
      <c r="M58" s="224" t="n">
        <v>0</v>
      </c>
      <c r="N58" t="inlineStr"/>
      <c r="O58" s="224" t="n">
        <v>2.45</v>
      </c>
      <c r="P58" s="224" t="n">
        <v>2.45</v>
      </c>
      <c r="Q58" s="227" t="inlineStr">
        <is>
          <t>D — Deprioritized</t>
        </is>
      </c>
      <c r="R58" s="214" t="n">
        <v>0</v>
      </c>
      <c r="S58" s="214" t="n">
        <v>0.027</v>
      </c>
      <c r="T58" s="214" t="n">
        <v>0.0825</v>
      </c>
      <c r="U58" s="214" t="n">
        <v>0.123</v>
      </c>
      <c r="V58" s="214" t="n">
        <v>0.15</v>
      </c>
      <c r="W58" s="215" t="n">
        <v>0</v>
      </c>
      <c r="X58" s="215" t="n">
        <v>0</v>
      </c>
      <c r="Y58" s="215" t="n">
        <v>0</v>
      </c>
      <c r="Z58" s="215" t="n">
        <v>0</v>
      </c>
      <c r="AA58" s="215" t="n">
        <v>0</v>
      </c>
    </row>
    <row r="59">
      <c r="A59" t="inlineStr">
        <is>
          <t>The Melting Pot</t>
        </is>
      </c>
      <c r="B59" t="inlineStr">
        <is>
          <t>Restaurant</t>
        </is>
      </c>
      <c r="C59" t="inlineStr">
        <is>
          <t>NO</t>
        </is>
      </c>
      <c r="D59" t="n">
        <v>0</v>
      </c>
      <c r="E59" t="inlineStr">
        <is>
          <t>None</t>
        </is>
      </c>
      <c r="F59" t="inlineStr">
        <is>
          <t>N/A</t>
        </is>
      </c>
      <c r="G59" s="215" t="n">
        <v>0</v>
      </c>
      <c r="H59" t="n">
        <v>3</v>
      </c>
      <c r="I59" t="n">
        <v>1</v>
      </c>
      <c r="J59" t="n">
        <v>2</v>
      </c>
      <c r="K59" t="n">
        <v>3</v>
      </c>
      <c r="L59" t="n">
        <v>2</v>
      </c>
      <c r="M59" s="224" t="n">
        <v>0</v>
      </c>
      <c r="N59" t="inlineStr"/>
      <c r="O59" s="224" t="n">
        <v>2.15</v>
      </c>
      <c r="P59" s="224" t="n">
        <v>2.15</v>
      </c>
      <c r="Q59" s="227" t="inlineStr">
        <is>
          <t>D — Deprioritized</t>
        </is>
      </c>
      <c r="R59" s="214" t="n">
        <v>0</v>
      </c>
      <c r="S59" s="214" t="n">
        <v>0.027</v>
      </c>
      <c r="T59" s="214" t="n">
        <v>0.0825</v>
      </c>
      <c r="U59" s="214" t="n">
        <v>0.123</v>
      </c>
      <c r="V59" s="214" t="n">
        <v>0.15</v>
      </c>
      <c r="W59" s="215" t="n">
        <v>0</v>
      </c>
      <c r="X59" s="215" t="n">
        <v>0</v>
      </c>
      <c r="Y59" s="215" t="n">
        <v>0</v>
      </c>
      <c r="Z59" s="215" t="n">
        <v>0</v>
      </c>
      <c r="AA59" s="215" t="n">
        <v>0</v>
      </c>
    </row>
    <row r="60">
      <c r="A60" t="inlineStr">
        <is>
          <t>The Cellar at Duckworth's</t>
        </is>
      </c>
      <c r="B60" t="inlineStr">
        <is>
          <t>Restaurant</t>
        </is>
      </c>
      <c r="C60" t="inlineStr">
        <is>
          <t>YES</t>
        </is>
      </c>
      <c r="D60" t="n">
        <v>0</v>
      </c>
      <c r="E60" t="inlineStr">
        <is>
          <t>None</t>
        </is>
      </c>
      <c r="F60" t="inlineStr">
        <is>
          <t>Not Available</t>
        </is>
      </c>
      <c r="G60" s="215" t="n">
        <v>0</v>
      </c>
      <c r="H60" t="n">
        <v>3</v>
      </c>
      <c r="I60" t="n">
        <v>1</v>
      </c>
      <c r="J60" t="n">
        <v>2</v>
      </c>
      <c r="K60" t="n">
        <v>3</v>
      </c>
      <c r="L60" t="n">
        <v>4</v>
      </c>
      <c r="M60" s="224" t="n">
        <v>0</v>
      </c>
      <c r="N60" t="inlineStr"/>
      <c r="O60" s="224" t="n">
        <v>2.45</v>
      </c>
      <c r="P60" s="224" t="n">
        <v>2.45</v>
      </c>
      <c r="Q60" s="227" t="inlineStr">
        <is>
          <t>D — Deprioritized</t>
        </is>
      </c>
      <c r="R60" s="214" t="n">
        <v>0</v>
      </c>
      <c r="S60" s="214" t="n">
        <v>0.027</v>
      </c>
      <c r="T60" s="214" t="n">
        <v>0.0825</v>
      </c>
      <c r="U60" s="214" t="n">
        <v>0.123</v>
      </c>
      <c r="V60" s="214" t="n">
        <v>0.15</v>
      </c>
      <c r="W60" s="215" t="n">
        <v>0</v>
      </c>
      <c r="X60" s="215" t="n">
        <v>0</v>
      </c>
      <c r="Y60" s="215" t="n">
        <v>0</v>
      </c>
      <c r="Z60" s="215" t="n">
        <v>0</v>
      </c>
      <c r="AA60" s="215" t="n">
        <v>0</v>
      </c>
    </row>
    <row r="61">
      <c r="A61" t="inlineStr">
        <is>
          <t>Ri Ra</t>
        </is>
      </c>
      <c r="B61" t="inlineStr">
        <is>
          <t>Restaurant</t>
        </is>
      </c>
      <c r="C61" t="inlineStr">
        <is>
          <t>YES</t>
        </is>
      </c>
      <c r="D61" t="n">
        <v>0</v>
      </c>
      <c r="E61" t="inlineStr">
        <is>
          <t>None</t>
        </is>
      </c>
      <c r="F61" t="inlineStr">
        <is>
          <t>N/A</t>
        </is>
      </c>
      <c r="G61" s="215" t="n">
        <v>0</v>
      </c>
      <c r="H61" t="n">
        <v>3</v>
      </c>
      <c r="I61" t="n">
        <v>1</v>
      </c>
      <c r="J61" t="n">
        <v>2</v>
      </c>
      <c r="K61" t="n">
        <v>3</v>
      </c>
      <c r="L61" t="n">
        <v>4</v>
      </c>
      <c r="M61" s="224" t="n">
        <v>0</v>
      </c>
      <c r="N61" t="inlineStr"/>
      <c r="O61" s="224" t="n">
        <v>2.45</v>
      </c>
      <c r="P61" s="224" t="n">
        <v>2.45</v>
      </c>
      <c r="Q61" s="227" t="inlineStr">
        <is>
          <t>D — Deprioritized</t>
        </is>
      </c>
      <c r="R61" s="214" t="n">
        <v>0</v>
      </c>
      <c r="S61" s="214" t="n">
        <v>0.027</v>
      </c>
      <c r="T61" s="214" t="n">
        <v>0.0825</v>
      </c>
      <c r="U61" s="214" t="n">
        <v>0.123</v>
      </c>
      <c r="V61" s="214" t="n">
        <v>0.15</v>
      </c>
      <c r="W61" s="215" t="n">
        <v>0</v>
      </c>
      <c r="X61" s="215" t="n">
        <v>0</v>
      </c>
      <c r="Y61" s="215" t="n">
        <v>0</v>
      </c>
      <c r="Z61" s="215" t="n">
        <v>0</v>
      </c>
      <c r="AA61" s="215" t="n">
        <v>0</v>
      </c>
    </row>
    <row r="62">
      <c r="A62" t="inlineStr">
        <is>
          <t>McCormick &amp;Schmick's Seafood &amp;Steaks</t>
        </is>
      </c>
      <c r="B62" t="inlineStr">
        <is>
          <t>Restaurant</t>
        </is>
      </c>
      <c r="C62" t="inlineStr">
        <is>
          <t>YES</t>
        </is>
      </c>
      <c r="D62" t="n">
        <v>0</v>
      </c>
      <c r="E62" t="inlineStr">
        <is>
          <t>Closed</t>
        </is>
      </c>
      <c r="F62" t="inlineStr">
        <is>
          <t>Closed</t>
        </is>
      </c>
      <c r="G62" s="215" t="n">
        <v>0</v>
      </c>
      <c r="H62" t="n">
        <v>3</v>
      </c>
      <c r="I62" t="n">
        <v>1</v>
      </c>
      <c r="J62" t="n">
        <v>2</v>
      </c>
      <c r="K62" t="n">
        <v>3</v>
      </c>
      <c r="L62" t="n">
        <v>4</v>
      </c>
      <c r="M62" s="224" t="n">
        <v>0</v>
      </c>
      <c r="N62" t="inlineStr"/>
      <c r="O62" s="224" t="n">
        <v>2.45</v>
      </c>
      <c r="P62" s="224" t="n">
        <v>2.45</v>
      </c>
      <c r="Q62" s="227" t="inlineStr">
        <is>
          <t>D — Deprioritized</t>
        </is>
      </c>
      <c r="R62" s="214" t="n">
        <v>0</v>
      </c>
      <c r="S62" s="214" t="n">
        <v>0.027</v>
      </c>
      <c r="T62" s="214" t="n">
        <v>0.0825</v>
      </c>
      <c r="U62" s="214" t="n">
        <v>0.123</v>
      </c>
      <c r="V62" s="214" t="n">
        <v>0.15</v>
      </c>
      <c r="W62" s="215" t="n">
        <v>0</v>
      </c>
      <c r="X62" s="215" t="n">
        <v>0</v>
      </c>
      <c r="Y62" s="215" t="n">
        <v>0</v>
      </c>
      <c r="Z62" s="215" t="n">
        <v>0</v>
      </c>
      <c r="AA62" s="215" t="n">
        <v>0</v>
      </c>
    </row>
    <row r="63">
      <c r="A63" t="inlineStr">
        <is>
          <t>Firebirds Wood Fired Grill</t>
        </is>
      </c>
      <c r="B63" t="inlineStr">
        <is>
          <t>Restaurant</t>
        </is>
      </c>
      <c r="C63" t="inlineStr">
        <is>
          <t>NO</t>
        </is>
      </c>
      <c r="D63" t="n">
        <v>0</v>
      </c>
      <c r="E63" t="inlineStr">
        <is>
          <t>None</t>
        </is>
      </c>
      <c r="F63" t="inlineStr">
        <is>
          <t>N/A</t>
        </is>
      </c>
      <c r="G63" s="215" t="n">
        <v>0</v>
      </c>
      <c r="H63" t="n">
        <v>3</v>
      </c>
      <c r="I63" t="n">
        <v>1</v>
      </c>
      <c r="J63" t="n">
        <v>2</v>
      </c>
      <c r="K63" t="n">
        <v>3</v>
      </c>
      <c r="L63" t="n">
        <v>2</v>
      </c>
      <c r="M63" s="224" t="n">
        <v>0</v>
      </c>
      <c r="N63" t="inlineStr"/>
      <c r="O63" s="224" t="n">
        <v>2.15</v>
      </c>
      <c r="P63" s="224" t="n">
        <v>2.15</v>
      </c>
      <c r="Q63" s="227" t="inlineStr">
        <is>
          <t>D — Deprioritized</t>
        </is>
      </c>
      <c r="R63" s="214" t="n">
        <v>0</v>
      </c>
      <c r="S63" s="214" t="n">
        <v>0.027</v>
      </c>
      <c r="T63" s="214" t="n">
        <v>0.0825</v>
      </c>
      <c r="U63" s="214" t="n">
        <v>0.123</v>
      </c>
      <c r="V63" s="214" t="n">
        <v>0.15</v>
      </c>
      <c r="W63" s="215" t="n">
        <v>0</v>
      </c>
      <c r="X63" s="215" t="n">
        <v>0</v>
      </c>
      <c r="Y63" s="215" t="n">
        <v>0</v>
      </c>
      <c r="Z63" s="215" t="n">
        <v>0</v>
      </c>
      <c r="AA63" s="215" t="n">
        <v>0</v>
      </c>
    </row>
    <row r="64">
      <c r="A64" t="inlineStr">
        <is>
          <t>Del Frisco's Double Eagle Steakhouse</t>
        </is>
      </c>
      <c r="B64" t="inlineStr">
        <is>
          <t>Restaurant</t>
        </is>
      </c>
      <c r="C64" t="inlineStr">
        <is>
          <t>NO</t>
        </is>
      </c>
      <c r="D64" t="n">
        <v>0</v>
      </c>
      <c r="E64" t="inlineStr">
        <is>
          <t>None</t>
        </is>
      </c>
      <c r="F64" t="inlineStr">
        <is>
          <t>N/A</t>
        </is>
      </c>
      <c r="G64" s="215" t="n">
        <v>303750</v>
      </c>
      <c r="H64" t="n">
        <v>3</v>
      </c>
      <c r="I64" t="n">
        <v>2</v>
      </c>
      <c r="J64" t="n">
        <v>2</v>
      </c>
      <c r="K64" t="n">
        <v>3</v>
      </c>
      <c r="L64" t="n">
        <v>2</v>
      </c>
      <c r="M64" s="224" t="n">
        <v>0</v>
      </c>
      <c r="N64" t="inlineStr"/>
      <c r="O64" s="224" t="n">
        <v>2.4</v>
      </c>
      <c r="P64" s="224" t="n">
        <v>2.4</v>
      </c>
      <c r="Q64" s="227" t="inlineStr">
        <is>
          <t>D — Deprioritized</t>
        </is>
      </c>
      <c r="R64" s="214" t="n">
        <v>0</v>
      </c>
      <c r="S64" s="214" t="n">
        <v>0.027</v>
      </c>
      <c r="T64" s="214" t="n">
        <v>0.0825</v>
      </c>
      <c r="U64" s="214" t="n">
        <v>0.123</v>
      </c>
      <c r="V64" s="214" t="n">
        <v>0.15</v>
      </c>
      <c r="W64" s="215" t="n">
        <v>0</v>
      </c>
      <c r="X64" s="215" t="n">
        <v>8201.25</v>
      </c>
      <c r="Y64" s="215" t="n">
        <v>25059.375</v>
      </c>
      <c r="Z64" s="215" t="n">
        <v>37361.24999999999</v>
      </c>
      <c r="AA64" s="215" t="n">
        <v>45562.5</v>
      </c>
    </row>
    <row r="65">
      <c r="A65" t="inlineStr">
        <is>
          <t>Mariposa</t>
        </is>
      </c>
      <c r="B65" t="inlineStr">
        <is>
          <t>Restaurant</t>
        </is>
      </c>
      <c r="C65" t="inlineStr">
        <is>
          <t>YES</t>
        </is>
      </c>
      <c r="D65" t="n">
        <v>0</v>
      </c>
      <c r="E65" t="inlineStr">
        <is>
          <t>None</t>
        </is>
      </c>
      <c r="F65" t="inlineStr">
        <is>
          <t>N/A</t>
        </is>
      </c>
      <c r="G65" s="215" t="n">
        <v>0</v>
      </c>
      <c r="H65" t="n">
        <v>3</v>
      </c>
      <c r="I65" t="n">
        <v>1</v>
      </c>
      <c r="J65" t="n">
        <v>2</v>
      </c>
      <c r="K65" t="n">
        <v>3</v>
      </c>
      <c r="L65" t="n">
        <v>4</v>
      </c>
      <c r="M65" s="224" t="n">
        <v>0</v>
      </c>
      <c r="N65" t="inlineStr"/>
      <c r="O65" s="224" t="n">
        <v>2.45</v>
      </c>
      <c r="P65" s="224" t="n">
        <v>2.45</v>
      </c>
      <c r="Q65" s="227" t="inlineStr">
        <is>
          <t>D — Deprioritized</t>
        </is>
      </c>
      <c r="R65" s="214" t="n">
        <v>0</v>
      </c>
      <c r="S65" s="214" t="n">
        <v>0.027</v>
      </c>
      <c r="T65" s="214" t="n">
        <v>0.0825</v>
      </c>
      <c r="U65" s="214" t="n">
        <v>0.123</v>
      </c>
      <c r="V65" s="214" t="n">
        <v>0.15</v>
      </c>
      <c r="W65" s="215" t="n">
        <v>0</v>
      </c>
      <c r="X65" s="215" t="n">
        <v>0</v>
      </c>
      <c r="Y65" s="215" t="n">
        <v>0</v>
      </c>
      <c r="Z65" s="215" t="n">
        <v>0</v>
      </c>
      <c r="AA65" s="215" t="n">
        <v>0</v>
      </c>
    </row>
    <row r="66">
      <c r="A66" t="inlineStr">
        <is>
          <t>204 North</t>
        </is>
      </c>
      <c r="B66" t="inlineStr">
        <is>
          <t>Restaurant</t>
        </is>
      </c>
      <c r="C66" t="inlineStr">
        <is>
          <t>YES</t>
        </is>
      </c>
      <c r="D66" t="n">
        <v>0</v>
      </c>
      <c r="E66" t="inlineStr">
        <is>
          <t>None</t>
        </is>
      </c>
      <c r="F66" t="inlineStr">
        <is>
          <t>N/A</t>
        </is>
      </c>
      <c r="G66" s="215" t="n">
        <v>0</v>
      </c>
      <c r="H66" t="n">
        <v>3</v>
      </c>
      <c r="I66" t="n">
        <v>1</v>
      </c>
      <c r="J66" t="n">
        <v>2</v>
      </c>
      <c r="K66" t="n">
        <v>3</v>
      </c>
      <c r="L66" t="n">
        <v>4</v>
      </c>
      <c r="M66" s="224" t="n">
        <v>0</v>
      </c>
      <c r="N66" t="inlineStr"/>
      <c r="O66" s="224" t="n">
        <v>2.45</v>
      </c>
      <c r="P66" s="224" t="n">
        <v>2.45</v>
      </c>
      <c r="Q66" s="227" t="inlineStr">
        <is>
          <t>D — Deprioritized</t>
        </is>
      </c>
      <c r="R66" s="214" t="n">
        <v>0</v>
      </c>
      <c r="S66" s="214" t="n">
        <v>0.027</v>
      </c>
      <c r="T66" s="214" t="n">
        <v>0.0825</v>
      </c>
      <c r="U66" s="214" t="n">
        <v>0.123</v>
      </c>
      <c r="V66" s="214" t="n">
        <v>0.15</v>
      </c>
      <c r="W66" s="215" t="n">
        <v>0</v>
      </c>
      <c r="X66" s="215" t="n">
        <v>0</v>
      </c>
      <c r="Y66" s="215" t="n">
        <v>0</v>
      </c>
      <c r="Z66" s="215" t="n">
        <v>0</v>
      </c>
      <c r="AA66" s="215" t="n">
        <v>0</v>
      </c>
    </row>
    <row r="67">
      <c r="A67" t="inlineStr">
        <is>
          <t>Deluxe The Fun Art of Dining</t>
        </is>
      </c>
      <c r="B67" t="inlineStr">
        <is>
          <t>Restaurant</t>
        </is>
      </c>
      <c r="C67" t="inlineStr">
        <is>
          <t>YES</t>
        </is>
      </c>
      <c r="D67" t="n">
        <v>0</v>
      </c>
      <c r="E67" t="inlineStr">
        <is>
          <t>None</t>
        </is>
      </c>
      <c r="F67" t="inlineStr">
        <is>
          <t>N/A</t>
        </is>
      </c>
      <c r="G67" s="215" t="n">
        <v>0</v>
      </c>
      <c r="H67" t="n">
        <v>3</v>
      </c>
      <c r="I67" t="n">
        <v>1</v>
      </c>
      <c r="J67" t="n">
        <v>2</v>
      </c>
      <c r="K67" t="n">
        <v>3</v>
      </c>
      <c r="L67" t="n">
        <v>4</v>
      </c>
      <c r="M67" s="224" t="n">
        <v>0</v>
      </c>
      <c r="N67" t="inlineStr"/>
      <c r="O67" s="224" t="n">
        <v>2.45</v>
      </c>
      <c r="P67" s="224" t="n">
        <v>2.45</v>
      </c>
      <c r="Q67" s="227" t="inlineStr">
        <is>
          <t>D — Deprioritized</t>
        </is>
      </c>
      <c r="R67" s="214" t="n">
        <v>0</v>
      </c>
      <c r="S67" s="214" t="n">
        <v>0.027</v>
      </c>
      <c r="T67" s="214" t="n">
        <v>0.0825</v>
      </c>
      <c r="U67" s="214" t="n">
        <v>0.123</v>
      </c>
      <c r="V67" s="214" t="n">
        <v>0.15</v>
      </c>
      <c r="W67" s="215" t="n">
        <v>0</v>
      </c>
      <c r="X67" s="215" t="n">
        <v>0</v>
      </c>
      <c r="Y67" s="215" t="n">
        <v>0</v>
      </c>
      <c r="Z67" s="215" t="n">
        <v>0</v>
      </c>
      <c r="AA67" s="215" t="n">
        <v>0</v>
      </c>
    </row>
    <row r="68">
      <c r="A68" t="inlineStr">
        <is>
          <t>Sea Level NC</t>
        </is>
      </c>
      <c r="B68" t="inlineStr">
        <is>
          <t>Restaurant</t>
        </is>
      </c>
      <c r="C68" t="inlineStr">
        <is>
          <t>YES</t>
        </is>
      </c>
      <c r="D68" t="n">
        <v>0</v>
      </c>
      <c r="E68" t="inlineStr">
        <is>
          <t>None</t>
        </is>
      </c>
      <c r="F68" t="inlineStr">
        <is>
          <t>Not Available</t>
        </is>
      </c>
      <c r="G68" s="215" t="n">
        <v>0</v>
      </c>
      <c r="H68" t="n">
        <v>3</v>
      </c>
      <c r="I68" t="n">
        <v>1</v>
      </c>
      <c r="J68" t="n">
        <v>2</v>
      </c>
      <c r="K68" t="n">
        <v>3</v>
      </c>
      <c r="L68" t="n">
        <v>4</v>
      </c>
      <c r="M68" s="224" t="n">
        <v>0</v>
      </c>
      <c r="N68" t="inlineStr"/>
      <c r="O68" s="224" t="n">
        <v>2.45</v>
      </c>
      <c r="P68" s="224" t="n">
        <v>2.45</v>
      </c>
      <c r="Q68" s="227" t="inlineStr">
        <is>
          <t>D — Deprioritized</t>
        </is>
      </c>
      <c r="R68" s="214" t="n">
        <v>0</v>
      </c>
      <c r="S68" s="214" t="n">
        <v>0.027</v>
      </c>
      <c r="T68" s="214" t="n">
        <v>0.0825</v>
      </c>
      <c r="U68" s="214" t="n">
        <v>0.123</v>
      </c>
      <c r="V68" s="214" t="n">
        <v>0.15</v>
      </c>
      <c r="W68" s="215" t="n">
        <v>0</v>
      </c>
      <c r="X68" s="215" t="n">
        <v>0</v>
      </c>
      <c r="Y68" s="215" t="n">
        <v>0</v>
      </c>
      <c r="Z68" s="215" t="n">
        <v>0</v>
      </c>
      <c r="AA68" s="215" t="n">
        <v>0</v>
      </c>
    </row>
    <row r="69">
      <c r="A69" t="inlineStr">
        <is>
          <t>Red Salt by David Burke</t>
        </is>
      </c>
      <c r="B69" t="inlineStr">
        <is>
          <t>Restaurant</t>
        </is>
      </c>
      <c r="C69" t="inlineStr">
        <is>
          <t>YES</t>
        </is>
      </c>
      <c r="D69" t="n">
        <v>0</v>
      </c>
      <c r="E69" t="inlineStr">
        <is>
          <t>None</t>
        </is>
      </c>
      <c r="F69" t="inlineStr">
        <is>
          <t>N/A</t>
        </is>
      </c>
      <c r="G69" s="215" t="n">
        <v>0</v>
      </c>
      <c r="H69" t="n">
        <v>3</v>
      </c>
      <c r="I69" t="n">
        <v>1</v>
      </c>
      <c r="J69" t="n">
        <v>2</v>
      </c>
      <c r="K69" t="n">
        <v>3</v>
      </c>
      <c r="L69" t="n">
        <v>4</v>
      </c>
      <c r="M69" s="224" t="n">
        <v>0</v>
      </c>
      <c r="N69" t="inlineStr"/>
      <c r="O69" s="224" t="n">
        <v>2.45</v>
      </c>
      <c r="P69" s="224" t="n">
        <v>2.45</v>
      </c>
      <c r="Q69" s="227" t="inlineStr">
        <is>
          <t>D — Deprioritized</t>
        </is>
      </c>
      <c r="R69" s="214" t="n">
        <v>0</v>
      </c>
      <c r="S69" s="214" t="n">
        <v>0.027</v>
      </c>
      <c r="T69" s="214" t="n">
        <v>0.0825</v>
      </c>
      <c r="U69" s="214" t="n">
        <v>0.123</v>
      </c>
      <c r="V69" s="214" t="n">
        <v>0.15</v>
      </c>
      <c r="W69" s="215" t="n">
        <v>0</v>
      </c>
      <c r="X69" s="215" t="n">
        <v>0</v>
      </c>
      <c r="Y69" s="215" t="n">
        <v>0</v>
      </c>
      <c r="Z69" s="215" t="n">
        <v>0</v>
      </c>
      <c r="AA69" s="215" t="n">
        <v>0</v>
      </c>
    </row>
    <row r="70">
      <c r="A70" t="inlineStr">
        <is>
          <t>Chima Steakhouse</t>
        </is>
      </c>
      <c r="B70" t="inlineStr">
        <is>
          <t>Restaurant</t>
        </is>
      </c>
      <c r="C70" t="inlineStr">
        <is>
          <t>YES</t>
        </is>
      </c>
      <c r="D70" t="n">
        <v>0</v>
      </c>
      <c r="E70" t="inlineStr">
        <is>
          <t>SOPHI</t>
        </is>
      </c>
      <c r="F70" t="n">
        <v>15</v>
      </c>
      <c r="G70" s="215" t="n">
        <v>167062.5</v>
      </c>
      <c r="H70" t="n">
        <v>3</v>
      </c>
      <c r="I70" t="n">
        <v>1</v>
      </c>
      <c r="J70" t="n">
        <v>2</v>
      </c>
      <c r="K70" t="n">
        <v>3</v>
      </c>
      <c r="L70" t="n">
        <v>4</v>
      </c>
      <c r="M70" s="224" t="n">
        <v>0</v>
      </c>
      <c r="N70" t="inlineStr"/>
      <c r="O70" s="224" t="n">
        <v>2.45</v>
      </c>
      <c r="P70" s="224" t="n">
        <v>2.45</v>
      </c>
      <c r="Q70" s="227" t="inlineStr">
        <is>
          <t>D — Deprioritized</t>
        </is>
      </c>
      <c r="R70" s="214" t="n">
        <v>0</v>
      </c>
      <c r="S70" s="214" t="n">
        <v>0.027</v>
      </c>
      <c r="T70" s="214" t="n">
        <v>0.0825</v>
      </c>
      <c r="U70" s="214" t="n">
        <v>0.123</v>
      </c>
      <c r="V70" s="214" t="n">
        <v>0.15</v>
      </c>
      <c r="W70" s="215" t="n">
        <v>0</v>
      </c>
      <c r="X70" s="215" t="n">
        <v>4510.6875</v>
      </c>
      <c r="Y70" s="215" t="n">
        <v>13782.65625</v>
      </c>
      <c r="Z70" s="215" t="n">
        <v>20548.6875</v>
      </c>
      <c r="AA70" s="215" t="n">
        <v>25059.375</v>
      </c>
    </row>
    <row r="71">
      <c r="A71" t="inlineStr">
        <is>
          <t>Eddie V's Prime Seafood</t>
        </is>
      </c>
      <c r="B71" t="inlineStr">
        <is>
          <t>Restaurant</t>
        </is>
      </c>
      <c r="C71" t="inlineStr">
        <is>
          <t>YES</t>
        </is>
      </c>
      <c r="D71" t="n">
        <v>0</v>
      </c>
      <c r="E71" t="inlineStr">
        <is>
          <t>Preferred Parking</t>
        </is>
      </c>
      <c r="F71" t="inlineStr">
        <is>
          <t>Complimentary for resturant.  Transient $15 first 3 hours. $30 for 3-6 hours</t>
        </is>
      </c>
      <c r="G71" s="215" t="n">
        <v>189843.75</v>
      </c>
      <c r="H71" t="n">
        <v>3</v>
      </c>
      <c r="I71" t="n">
        <v>1</v>
      </c>
      <c r="J71" t="n">
        <v>2</v>
      </c>
      <c r="K71" t="n">
        <v>3</v>
      </c>
      <c r="L71" t="n">
        <v>4</v>
      </c>
      <c r="M71" s="224" t="n">
        <v>1</v>
      </c>
      <c r="N71" t="inlineStr">
        <is>
          <t>Current operator: Darden</t>
        </is>
      </c>
      <c r="O71" s="224" t="n">
        <v>2.45</v>
      </c>
      <c r="P71" s="224" t="n">
        <v>3.45</v>
      </c>
      <c r="Q71" s="225" t="inlineStr">
        <is>
          <t>C — Opportunistic</t>
        </is>
      </c>
      <c r="R71" s="214" t="n">
        <v>0.11</v>
      </c>
      <c r="S71" s="214" t="n">
        <v>0.20375</v>
      </c>
      <c r="T71" s="214" t="n">
        <v>0.365625</v>
      </c>
      <c r="U71" s="214" t="n">
        <v>0.48375</v>
      </c>
      <c r="V71" s="214" t="n">
        <v>0.5625</v>
      </c>
      <c r="W71" s="215" t="n">
        <v>20882.8125</v>
      </c>
      <c r="X71" s="215" t="n">
        <v>38680.6640625</v>
      </c>
      <c r="Y71" s="215" t="n">
        <v>69411.62109375</v>
      </c>
      <c r="Z71" s="215" t="n">
        <v>91836.9140625</v>
      </c>
      <c r="AA71" s="215" t="n">
        <v>106787.109375</v>
      </c>
    </row>
    <row r="72">
      <c r="A72" t="inlineStr">
        <is>
          <t>Dean's Italian Steakhouse</t>
        </is>
      </c>
      <c r="B72" t="inlineStr">
        <is>
          <t>Restaurant</t>
        </is>
      </c>
      <c r="C72" t="inlineStr">
        <is>
          <t>YES</t>
        </is>
      </c>
      <c r="D72" t="n">
        <v>0</v>
      </c>
      <c r="E72" t="inlineStr">
        <is>
          <t>PMC</t>
        </is>
      </c>
      <c r="F72" t="inlineStr">
        <is>
          <t>$15 she thinks</t>
        </is>
      </c>
      <c r="G72" s="215" t="n">
        <v>151875</v>
      </c>
      <c r="H72" t="n">
        <v>3</v>
      </c>
      <c r="I72" t="n">
        <v>1</v>
      </c>
      <c r="J72" t="n">
        <v>2</v>
      </c>
      <c r="K72" t="n">
        <v>3</v>
      </c>
      <c r="L72" t="n">
        <v>4</v>
      </c>
      <c r="M72" s="224" t="n">
        <v>0</v>
      </c>
      <c r="N72" t="inlineStr"/>
      <c r="O72" s="224" t="n">
        <v>2.45</v>
      </c>
      <c r="P72" s="224" t="n">
        <v>2.45</v>
      </c>
      <c r="Q72" s="227" t="inlineStr">
        <is>
          <t>D — Deprioritized</t>
        </is>
      </c>
      <c r="R72" s="214" t="n">
        <v>0</v>
      </c>
      <c r="S72" s="214" t="n">
        <v>0.027</v>
      </c>
      <c r="T72" s="214" t="n">
        <v>0.0825</v>
      </c>
      <c r="U72" s="214" t="n">
        <v>0.123</v>
      </c>
      <c r="V72" s="214" t="n">
        <v>0.15</v>
      </c>
      <c r="W72" s="215" t="n">
        <v>0</v>
      </c>
      <c r="X72" s="215" t="n">
        <v>4100.625</v>
      </c>
      <c r="Y72" s="215" t="n">
        <v>12529.6875</v>
      </c>
      <c r="Z72" s="215" t="n">
        <v>18680.625</v>
      </c>
      <c r="AA72" s="215" t="n">
        <v>22781.25</v>
      </c>
    </row>
    <row r="73">
      <c r="A73" t="inlineStr">
        <is>
          <t>Fleming's Prime Steakhouse &amp; Wine Bar</t>
        </is>
      </c>
      <c r="B73" t="inlineStr">
        <is>
          <t>Restaurant</t>
        </is>
      </c>
      <c r="C73" t="inlineStr">
        <is>
          <t>YES</t>
        </is>
      </c>
      <c r="D73" t="n">
        <v>0</v>
      </c>
      <c r="E73" t="inlineStr">
        <is>
          <t>Preferred Parking</t>
        </is>
      </c>
      <c r="F73" t="inlineStr">
        <is>
          <t>$17 for guest $13 to resturant</t>
        </is>
      </c>
      <c r="G73" s="215" t="n">
        <v>132890.625</v>
      </c>
      <c r="H73" t="n">
        <v>3</v>
      </c>
      <c r="I73" t="n">
        <v>1</v>
      </c>
      <c r="J73" t="n">
        <v>2</v>
      </c>
      <c r="K73" t="n">
        <v>3</v>
      </c>
      <c r="L73" t="n">
        <v>4</v>
      </c>
      <c r="M73" s="224" t="n">
        <v>0</v>
      </c>
      <c r="N73" t="inlineStr"/>
      <c r="O73" s="224" t="n">
        <v>2.45</v>
      </c>
      <c r="P73" s="224" t="n">
        <v>2.45</v>
      </c>
      <c r="Q73" s="227" t="inlineStr">
        <is>
          <t>D — Deprioritized</t>
        </is>
      </c>
      <c r="R73" s="214" t="n">
        <v>0</v>
      </c>
      <c r="S73" s="214" t="n">
        <v>0.027</v>
      </c>
      <c r="T73" s="214" t="n">
        <v>0.0825</v>
      </c>
      <c r="U73" s="214" t="n">
        <v>0.123</v>
      </c>
      <c r="V73" s="214" t="n">
        <v>0.15</v>
      </c>
      <c r="W73" s="215" t="n">
        <v>0</v>
      </c>
      <c r="X73" s="215" t="n">
        <v>3588.046875</v>
      </c>
      <c r="Y73" s="215" t="n">
        <v>10963.4765625</v>
      </c>
      <c r="Z73" s="215" t="n">
        <v>16345.546875</v>
      </c>
      <c r="AA73" s="215" t="n">
        <v>19933.59375</v>
      </c>
    </row>
    <row r="74">
      <c r="A74" t="inlineStr">
        <is>
          <t>204 kitchen + cocktails</t>
        </is>
      </c>
      <c r="B74" t="inlineStr">
        <is>
          <t>Restaurant</t>
        </is>
      </c>
      <c r="C74" t="inlineStr">
        <is>
          <t>YES</t>
        </is>
      </c>
      <c r="D74" t="n">
        <v>0</v>
      </c>
      <c r="E74" t="inlineStr">
        <is>
          <t>Preferred Parking</t>
        </is>
      </c>
      <c r="F74" t="inlineStr">
        <is>
          <t>$17 for guest $13 to resturant</t>
        </is>
      </c>
      <c r="G74" s="215" t="n">
        <v>0</v>
      </c>
      <c r="H74" t="n">
        <v>3</v>
      </c>
      <c r="I74" t="n">
        <v>1</v>
      </c>
      <c r="J74" t="n">
        <v>2</v>
      </c>
      <c r="K74" t="n">
        <v>3</v>
      </c>
      <c r="L74" t="n">
        <v>4</v>
      </c>
      <c r="M74" s="224" t="n">
        <v>0</v>
      </c>
      <c r="N74" t="inlineStr"/>
      <c r="O74" s="224" t="n">
        <v>2.45</v>
      </c>
      <c r="P74" s="224" t="n">
        <v>2.45</v>
      </c>
      <c r="Q74" s="227" t="inlineStr">
        <is>
          <t>D — Deprioritized</t>
        </is>
      </c>
      <c r="R74" s="214" t="n">
        <v>0</v>
      </c>
      <c r="S74" s="214" t="n">
        <v>0.027</v>
      </c>
      <c r="T74" s="214" t="n">
        <v>0.0825</v>
      </c>
      <c r="U74" s="214" t="n">
        <v>0.123</v>
      </c>
      <c r="V74" s="214" t="n">
        <v>0.15</v>
      </c>
      <c r="W74" s="215" t="n">
        <v>0</v>
      </c>
      <c r="X74" s="215" t="n">
        <v>0</v>
      </c>
      <c r="Y74" s="215" t="n">
        <v>0</v>
      </c>
      <c r="Z74" s="215" t="n">
        <v>0</v>
      </c>
      <c r="AA74" s="215" t="n">
        <v>0</v>
      </c>
    </row>
    <row r="75">
      <c r="A75" t="inlineStr">
        <is>
          <t>The Palm</t>
        </is>
      </c>
      <c r="B75" t="inlineStr">
        <is>
          <t>Restaurant</t>
        </is>
      </c>
      <c r="C75" t="inlineStr">
        <is>
          <t>NO</t>
        </is>
      </c>
      <c r="D75" t="n">
        <v>0</v>
      </c>
      <c r="E75" t="inlineStr">
        <is>
          <t>Park Inc</t>
        </is>
      </c>
      <c r="F75" t="inlineStr">
        <is>
          <t xml:space="preserve">complimentary </t>
        </is>
      </c>
      <c r="G75" s="215" t="n">
        <v>0</v>
      </c>
      <c r="H75" t="n">
        <v>3</v>
      </c>
      <c r="I75" t="n">
        <v>1</v>
      </c>
      <c r="J75" t="n">
        <v>2</v>
      </c>
      <c r="K75" t="n">
        <v>3</v>
      </c>
      <c r="L75" t="n">
        <v>2</v>
      </c>
      <c r="M75" s="224" t="n">
        <v>0</v>
      </c>
      <c r="N75" t="inlineStr"/>
      <c r="O75" s="224" t="n">
        <v>2.15</v>
      </c>
      <c r="P75" s="224" t="n">
        <v>2.15</v>
      </c>
      <c r="Q75" s="227" t="inlineStr">
        <is>
          <t>D — Deprioritized</t>
        </is>
      </c>
      <c r="R75" s="214" t="n">
        <v>0</v>
      </c>
      <c r="S75" s="214" t="n">
        <v>0.027</v>
      </c>
      <c r="T75" s="214" t="n">
        <v>0.0825</v>
      </c>
      <c r="U75" s="214" t="n">
        <v>0.123</v>
      </c>
      <c r="V75" s="214" t="n">
        <v>0.15</v>
      </c>
      <c r="W75" s="215" t="n">
        <v>0</v>
      </c>
      <c r="X75" s="215" t="n">
        <v>0</v>
      </c>
      <c r="Y75" s="215" t="n">
        <v>0</v>
      </c>
      <c r="Z75" s="215" t="n">
        <v>0</v>
      </c>
      <c r="AA75" s="215" t="n">
        <v>0</v>
      </c>
    </row>
    <row r="76">
      <c r="A76" t="inlineStr">
        <is>
          <t>Sullivan's Steakhouse</t>
        </is>
      </c>
      <c r="B76" t="inlineStr">
        <is>
          <t>Restaurant</t>
        </is>
      </c>
      <c r="C76" t="inlineStr">
        <is>
          <t>NO</t>
        </is>
      </c>
      <c r="D76" t="n">
        <v>0</v>
      </c>
      <c r="E76" t="inlineStr">
        <is>
          <t>Park Inc</t>
        </is>
      </c>
      <c r="F76" t="inlineStr">
        <is>
          <t>Complimentary Valet</t>
        </is>
      </c>
      <c r="G76" s="215" t="n">
        <v>0</v>
      </c>
      <c r="H76" t="n">
        <v>3</v>
      </c>
      <c r="I76" t="n">
        <v>1</v>
      </c>
      <c r="J76" t="n">
        <v>2</v>
      </c>
      <c r="K76" t="n">
        <v>3</v>
      </c>
      <c r="L76" t="n">
        <v>2</v>
      </c>
      <c r="M76" s="224" t="n">
        <v>0</v>
      </c>
      <c r="N76" t="inlineStr"/>
      <c r="O76" s="224" t="n">
        <v>2.15</v>
      </c>
      <c r="P76" s="224" t="n">
        <v>2.15</v>
      </c>
      <c r="Q76" s="227" t="inlineStr">
        <is>
          <t>D — Deprioritized</t>
        </is>
      </c>
      <c r="R76" s="214" t="n">
        <v>0</v>
      </c>
      <c r="S76" s="214" t="n">
        <v>0.027</v>
      </c>
      <c r="T76" s="214" t="n">
        <v>0.0825</v>
      </c>
      <c r="U76" s="214" t="n">
        <v>0.123</v>
      </c>
      <c r="V76" s="214" t="n">
        <v>0.15</v>
      </c>
      <c r="W76" s="215" t="n">
        <v>0</v>
      </c>
      <c r="X76" s="215" t="n">
        <v>0</v>
      </c>
      <c r="Y76" s="215" t="n">
        <v>0</v>
      </c>
      <c r="Z76" s="215" t="n">
        <v>0</v>
      </c>
      <c r="AA76" s="215" t="n">
        <v>0</v>
      </c>
    </row>
    <row r="77">
      <c r="A77" t="inlineStr">
        <is>
          <t>Aria and Cicchetti</t>
        </is>
      </c>
      <c r="B77" t="inlineStr">
        <is>
          <t>Restaurant</t>
        </is>
      </c>
      <c r="C77" t="inlineStr">
        <is>
          <t>YES</t>
        </is>
      </c>
      <c r="D77" t="n">
        <v>0</v>
      </c>
      <c r="E77" t="inlineStr">
        <is>
          <t>Park Inc</t>
        </is>
      </c>
      <c r="F77" t="inlineStr">
        <is>
          <t>Complimentary Valet</t>
        </is>
      </c>
      <c r="G77" s="215" t="n">
        <v>0</v>
      </c>
      <c r="H77" t="n">
        <v>3</v>
      </c>
      <c r="I77" t="n">
        <v>1</v>
      </c>
      <c r="J77" t="n">
        <v>2</v>
      </c>
      <c r="K77" t="n">
        <v>3</v>
      </c>
      <c r="L77" t="n">
        <v>4</v>
      </c>
      <c r="M77" s="224" t="n">
        <v>0</v>
      </c>
      <c r="N77" t="inlineStr"/>
      <c r="O77" s="224" t="n">
        <v>2.45</v>
      </c>
      <c r="P77" s="224" t="n">
        <v>2.45</v>
      </c>
      <c r="Q77" s="227" t="inlineStr">
        <is>
          <t>D — Deprioritized</t>
        </is>
      </c>
      <c r="R77" s="214" t="n">
        <v>0</v>
      </c>
      <c r="S77" s="214" t="n">
        <v>0.027</v>
      </c>
      <c r="T77" s="214" t="n">
        <v>0.0825</v>
      </c>
      <c r="U77" s="214" t="n">
        <v>0.123</v>
      </c>
      <c r="V77" s="214" t="n">
        <v>0.15</v>
      </c>
      <c r="W77" s="215" t="n">
        <v>0</v>
      </c>
      <c r="X77" s="215" t="n">
        <v>0</v>
      </c>
      <c r="Y77" s="215" t="n">
        <v>0</v>
      </c>
      <c r="Z77" s="215" t="n">
        <v>0</v>
      </c>
      <c r="AA77" s="215" t="n">
        <v>0</v>
      </c>
    </row>
    <row r="78">
      <c r="A78" t="inlineStr">
        <is>
          <t>Dressler's Steakhouse</t>
        </is>
      </c>
      <c r="B78" t="inlineStr">
        <is>
          <t>Restaurant</t>
        </is>
      </c>
      <c r="C78" t="inlineStr">
        <is>
          <t>YES</t>
        </is>
      </c>
      <c r="D78" t="n">
        <v>0</v>
      </c>
      <c r="E78" t="inlineStr"/>
      <c r="F78" t="inlineStr">
        <is>
          <t>Complimentary Valet</t>
        </is>
      </c>
      <c r="G78" s="215" t="n">
        <v>0</v>
      </c>
      <c r="H78" t="n">
        <v>3</v>
      </c>
      <c r="I78" t="n">
        <v>1</v>
      </c>
      <c r="J78" t="n">
        <v>2</v>
      </c>
      <c r="K78" t="n">
        <v>4</v>
      </c>
      <c r="L78" t="n">
        <v>4</v>
      </c>
      <c r="M78" s="224" t="n">
        <v>0</v>
      </c>
      <c r="N78" t="inlineStr"/>
      <c r="O78" s="224" t="n">
        <v>2.6</v>
      </c>
      <c r="P78" s="224" t="n">
        <v>2.6</v>
      </c>
      <c r="Q78" s="225" t="inlineStr">
        <is>
          <t>C — Opportunistic</t>
        </is>
      </c>
      <c r="R78" s="214" t="n">
        <v>0.11</v>
      </c>
      <c r="S78" s="214" t="n">
        <v>0.20375</v>
      </c>
      <c r="T78" s="214" t="n">
        <v>0.365625</v>
      </c>
      <c r="U78" s="214" t="n">
        <v>0.48375</v>
      </c>
      <c r="V78" s="214" t="n">
        <v>0.5625</v>
      </c>
      <c r="W78" s="215" t="n">
        <v>0</v>
      </c>
      <c r="X78" s="215" t="n">
        <v>0</v>
      </c>
      <c r="Y78" s="215" t="n">
        <v>0</v>
      </c>
      <c r="Z78" s="215" t="n">
        <v>0</v>
      </c>
      <c r="AA78" s="215" t="n">
        <v>0</v>
      </c>
    </row>
    <row r="79">
      <c r="A79" t="inlineStr">
        <is>
          <t>Ruth's Chris</t>
        </is>
      </c>
      <c r="B79" t="inlineStr">
        <is>
          <t>Restaurant</t>
        </is>
      </c>
      <c r="C79" t="inlineStr">
        <is>
          <t>YES</t>
        </is>
      </c>
      <c r="D79" t="n">
        <v>0</v>
      </c>
      <c r="E79" t="inlineStr">
        <is>
          <t>SOPHI</t>
        </is>
      </c>
      <c r="F79" t="n">
        <v>15</v>
      </c>
      <c r="G79" s="215" t="n">
        <v>189843.75</v>
      </c>
      <c r="H79" t="n">
        <v>3</v>
      </c>
      <c r="I79" t="n">
        <v>1</v>
      </c>
      <c r="J79" t="n">
        <v>2</v>
      </c>
      <c r="K79" t="n">
        <v>3</v>
      </c>
      <c r="L79" t="n">
        <v>4</v>
      </c>
      <c r="M79" s="224" t="n">
        <v>1</v>
      </c>
      <c r="N79" t="inlineStr">
        <is>
          <t>Current operator: Darden</t>
        </is>
      </c>
      <c r="O79" s="224" t="n">
        <v>2.45</v>
      </c>
      <c r="P79" s="224" t="n">
        <v>3.45</v>
      </c>
      <c r="Q79" s="225" t="inlineStr">
        <is>
          <t>C — Opportunistic</t>
        </is>
      </c>
      <c r="R79" s="214" t="n">
        <v>0.11</v>
      </c>
      <c r="S79" s="214" t="n">
        <v>0.20375</v>
      </c>
      <c r="T79" s="214" t="n">
        <v>0.365625</v>
      </c>
      <c r="U79" s="214" t="n">
        <v>0.48375</v>
      </c>
      <c r="V79" s="214" t="n">
        <v>0.5625</v>
      </c>
      <c r="W79" s="215" t="n">
        <v>20882.8125</v>
      </c>
      <c r="X79" s="215" t="n">
        <v>38680.6640625</v>
      </c>
      <c r="Y79" s="215" t="n">
        <v>69411.62109375</v>
      </c>
      <c r="Z79" s="215" t="n">
        <v>91836.9140625</v>
      </c>
      <c r="AA79" s="215" t="n">
        <v>106787.109375</v>
      </c>
    </row>
    <row r="80">
      <c r="A80" t="inlineStr">
        <is>
          <t>Ruth's Chris #2</t>
        </is>
      </c>
      <c r="B80" t="inlineStr">
        <is>
          <t>Restaurant</t>
        </is>
      </c>
      <c r="C80" t="inlineStr">
        <is>
          <t>NO</t>
        </is>
      </c>
      <c r="D80" t="n">
        <v>0</v>
      </c>
      <c r="E80" t="inlineStr">
        <is>
          <t>Park Inc</t>
        </is>
      </c>
      <c r="F80" t="inlineStr">
        <is>
          <t>Valet "temporaliy suspended"</t>
        </is>
      </c>
      <c r="G80" s="215" t="n">
        <v>0</v>
      </c>
      <c r="H80" t="n">
        <v>3</v>
      </c>
      <c r="I80" t="n">
        <v>1</v>
      </c>
      <c r="J80" t="n">
        <v>2</v>
      </c>
      <c r="K80" t="n">
        <v>3</v>
      </c>
      <c r="L80" t="n">
        <v>2</v>
      </c>
      <c r="M80" s="224" t="n">
        <v>1</v>
      </c>
      <c r="N80" t="inlineStr">
        <is>
          <t>Current operator: Darden</t>
        </is>
      </c>
      <c r="O80" s="224" t="n">
        <v>2.15</v>
      </c>
      <c r="P80" s="224" t="n">
        <v>3.15</v>
      </c>
      <c r="Q80" s="225" t="inlineStr">
        <is>
          <t>C — Opportunistic</t>
        </is>
      </c>
      <c r="R80" s="214" t="n">
        <v>0.11</v>
      </c>
      <c r="S80" s="214" t="n">
        <v>0.20375</v>
      </c>
      <c r="T80" s="214" t="n">
        <v>0.365625</v>
      </c>
      <c r="U80" s="214" t="n">
        <v>0.48375</v>
      </c>
      <c r="V80" s="214" t="n">
        <v>0.5625</v>
      </c>
      <c r="W80" s="215" t="n">
        <v>0</v>
      </c>
      <c r="X80" s="215" t="n">
        <v>0</v>
      </c>
      <c r="Y80" s="215" t="n">
        <v>0</v>
      </c>
      <c r="Z80" s="215" t="n">
        <v>0</v>
      </c>
      <c r="AA80" s="215" t="n">
        <v>0</v>
      </c>
    </row>
    <row r="81">
      <c r="A81" t="inlineStr">
        <is>
          <t>Oak Steakhouse</t>
        </is>
      </c>
      <c r="B81" t="inlineStr">
        <is>
          <t>Restaurant</t>
        </is>
      </c>
      <c r="C81" t="inlineStr">
        <is>
          <t>NO</t>
        </is>
      </c>
      <c r="D81" t="n">
        <v>0</v>
      </c>
      <c r="E81" t="inlineStr">
        <is>
          <t>None</t>
        </is>
      </c>
      <c r="F81" t="inlineStr">
        <is>
          <t>Valet "temporaliy suspended"</t>
        </is>
      </c>
      <c r="G81" s="215" t="n">
        <v>132890.625</v>
      </c>
      <c r="H81" t="n">
        <v>3</v>
      </c>
      <c r="I81" t="n">
        <v>1</v>
      </c>
      <c r="J81" t="n">
        <v>2</v>
      </c>
      <c r="K81" t="n">
        <v>3</v>
      </c>
      <c r="L81" t="n">
        <v>2</v>
      </c>
      <c r="M81" s="224" t="n">
        <v>0</v>
      </c>
      <c r="N81" t="inlineStr"/>
      <c r="O81" s="224" t="n">
        <v>2.15</v>
      </c>
      <c r="P81" s="224" t="n">
        <v>2.15</v>
      </c>
      <c r="Q81" s="227" t="inlineStr">
        <is>
          <t>D — Deprioritized</t>
        </is>
      </c>
      <c r="R81" s="214" t="n">
        <v>0</v>
      </c>
      <c r="S81" s="214" t="n">
        <v>0.027</v>
      </c>
      <c r="T81" s="214" t="n">
        <v>0.0825</v>
      </c>
      <c r="U81" s="214" t="n">
        <v>0.123</v>
      </c>
      <c r="V81" s="214" t="n">
        <v>0.15</v>
      </c>
      <c r="W81" s="215" t="n">
        <v>0</v>
      </c>
      <c r="X81" s="215" t="n">
        <v>3588.046875</v>
      </c>
      <c r="Y81" s="215" t="n">
        <v>10963.4765625</v>
      </c>
      <c r="Z81" s="215" t="n">
        <v>16345.546875</v>
      </c>
      <c r="AA81" s="215" t="n">
        <v>19933.59375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2" customWidth="1" style="211" min="1" max="1"/>
    <col width="14" customWidth="1" style="211" min="2" max="2"/>
    <col width="16" customWidth="1" style="211" min="3" max="3"/>
    <col width="14" customWidth="1" style="211" min="4" max="4"/>
    <col width="14" customWidth="1" style="211" min="5" max="5"/>
    <col width="14" customWidth="1" style="211" min="6" max="6"/>
    <col width="14" customWidth="1" style="211" min="7" max="7"/>
    <col width="14" customWidth="1" style="211" min="8" max="8"/>
  </cols>
  <sheetData>
    <row r="1">
      <c r="A1" s="217" t="inlineStr">
        <is>
          <t>Charlotte — WAS v2 SOM Projection (state = WARM)</t>
        </is>
      </c>
    </row>
    <row r="2">
      <c r="A2" s="228" t="inlineStr">
        <is>
          <t>Cold/Warm curves · S-curve ramp · Diversification multiplier · Relationship ledger</t>
        </is>
      </c>
    </row>
    <row r="4">
      <c r="A4" s="218" t="inlineStr">
        <is>
          <t>Tier</t>
        </is>
      </c>
      <c r="B4" s="218" t="inlineStr">
        <is>
          <t># Accts</t>
        </is>
      </c>
      <c r="C4" s="218" t="inlineStr">
        <is>
          <t>Total TAM</t>
        </is>
      </c>
      <c r="D4" s="218" t="inlineStr">
        <is>
          <t>Y1</t>
        </is>
      </c>
      <c r="E4" s="218" t="inlineStr">
        <is>
          <t>Y2</t>
        </is>
      </c>
      <c r="F4" s="218" t="inlineStr">
        <is>
          <t>Y3</t>
        </is>
      </c>
      <c r="G4" s="218" t="inlineStr">
        <is>
          <t>Y4</t>
        </is>
      </c>
      <c r="H4" s="218" t="inlineStr">
        <is>
          <t>Y5</t>
        </is>
      </c>
    </row>
    <row r="5">
      <c r="A5" s="229" t="inlineStr">
        <is>
          <t>A — Beachhead</t>
        </is>
      </c>
      <c r="B5" t="n">
        <v>0</v>
      </c>
      <c r="C5" s="215" t="n">
        <v>0</v>
      </c>
      <c r="D5" s="215" t="n">
        <v>0</v>
      </c>
      <c r="E5" s="215" t="n">
        <v>0</v>
      </c>
      <c r="F5" s="215" t="n">
        <v>0</v>
      </c>
      <c r="G5" s="215" t="n">
        <v>0</v>
      </c>
      <c r="H5" s="215" t="n">
        <v>0</v>
      </c>
    </row>
    <row r="6">
      <c r="A6" s="226" t="inlineStr">
        <is>
          <t>B — Core</t>
        </is>
      </c>
      <c r="B6" t="n">
        <v>5</v>
      </c>
      <c r="C6" s="215" t="n">
        <v>7955971.2</v>
      </c>
      <c r="D6" s="215" t="n">
        <v>2187892.08</v>
      </c>
      <c r="E6" s="215" t="n">
        <v>3470792.436</v>
      </c>
      <c r="F6" s="215" t="n">
        <v>5494592.61</v>
      </c>
      <c r="G6" s="215" t="n">
        <v>6971419.764</v>
      </c>
      <c r="H6" s="215" t="n">
        <v>7955971.2</v>
      </c>
    </row>
    <row r="7">
      <c r="A7" s="225" t="inlineStr">
        <is>
          <t>C — Opportunistic</t>
        </is>
      </c>
      <c r="B7" t="n">
        <v>33</v>
      </c>
      <c r="C7" s="215" t="n">
        <v>7090095.375</v>
      </c>
      <c r="D7" s="215" t="n">
        <v>779910.4912500001</v>
      </c>
      <c r="E7" s="215" t="n">
        <v>1444606.93265625</v>
      </c>
      <c r="F7" s="215" t="n">
        <v>2592316.121484375</v>
      </c>
      <c r="G7" s="215" t="n">
        <v>3429833.63765625</v>
      </c>
      <c r="H7" s="215" t="n">
        <v>3988178.6484375</v>
      </c>
    </row>
    <row r="8">
      <c r="A8" s="227" t="inlineStr">
        <is>
          <t>D — Deprioritized</t>
        </is>
      </c>
      <c r="B8" t="n">
        <v>42</v>
      </c>
      <c r="C8" s="215" t="n">
        <v>1527845.625</v>
      </c>
      <c r="D8" s="215" t="n">
        <v>0</v>
      </c>
      <c r="E8" s="215" t="n">
        <v>41251.831875</v>
      </c>
      <c r="F8" s="215" t="n">
        <v>126047.2640625</v>
      </c>
      <c r="G8" s="215" t="n">
        <v>187925.011875</v>
      </c>
      <c r="H8" s="215" t="n">
        <v>229176.84375</v>
      </c>
    </row>
    <row r="9">
      <c r="A9" s="219" t="inlineStr">
        <is>
          <t>TOTAL (uncapped)</t>
        </is>
      </c>
      <c r="B9" s="219" t="n">
        <v>80</v>
      </c>
      <c r="C9" s="220" t="n">
        <v>16573912.2</v>
      </c>
      <c r="D9" s="220" t="n">
        <v>2967802.57125</v>
      </c>
      <c r="E9" s="220" t="n">
        <v>4956651.20053125</v>
      </c>
      <c r="F9" s="220" t="n">
        <v>8212955.995546875</v>
      </c>
      <c r="G9" s="220" t="n">
        <v>10589178.41353125</v>
      </c>
      <c r="H9" s="220" t="n">
        <v>12173326.6921875</v>
      </c>
    </row>
    <row r="11">
      <c r="A11" s="221" t="inlineStr">
        <is>
          <t>CAPACITY-CAPPED SOM (single CM, 10 new accts/yr)</t>
        </is>
      </c>
    </row>
    <row r="12">
      <c r="A12" t="inlineStr">
        <is>
          <t>Tier A+B, ranked by Y1 rev, cumulative 10/yr signing pace</t>
        </is>
      </c>
    </row>
    <row r="13">
      <c r="A13" s="219" t="inlineStr"/>
      <c r="B13" s="219" t="inlineStr">
        <is>
          <t>Accts Signed</t>
        </is>
      </c>
      <c r="C13" s="219" t="inlineStr"/>
      <c r="D13" s="219" t="inlineStr">
        <is>
          <t>Y1 SOM</t>
        </is>
      </c>
      <c r="E13" s="219" t="inlineStr">
        <is>
          <t>Y2 SOM</t>
        </is>
      </c>
      <c r="F13" s="219" t="inlineStr">
        <is>
          <t>Y3 SOM</t>
        </is>
      </c>
      <c r="G13" s="219" t="inlineStr">
        <is>
          <t>Y4 SOM</t>
        </is>
      </c>
      <c r="H13" s="219" t="inlineStr">
        <is>
          <t>Y5 SOM</t>
        </is>
      </c>
    </row>
    <row r="14">
      <c r="B14" t="inlineStr">
        <is>
          <t>End Y1: 10</t>
        </is>
      </c>
      <c r="D14" s="215" t="n">
        <v>2566715.58</v>
      </c>
    </row>
    <row r="15">
      <c r="B15" t="inlineStr">
        <is>
          <t>End Y2: 20</t>
        </is>
      </c>
      <c r="E15" s="215" t="n">
        <v>4812952.34053125</v>
      </c>
    </row>
    <row r="16">
      <c r="B16" t="inlineStr">
        <is>
          <t>End Y3: 30</t>
        </is>
      </c>
      <c r="F16" s="215" t="n">
        <v>8086908.731484375</v>
      </c>
    </row>
    <row r="17">
      <c r="B17" t="inlineStr">
        <is>
          <t>End Y4: 38</t>
        </is>
      </c>
      <c r="G17" s="215" t="n">
        <v>10401253.40165625</v>
      </c>
    </row>
    <row r="18">
      <c r="B18" t="inlineStr">
        <is>
          <t>End Y5: 38</t>
        </is>
      </c>
      <c r="H18" s="215" t="n">
        <v>11944149.8484375</v>
      </c>
    </row>
    <row r="20">
      <c r="A20" s="221" t="inlineStr">
        <is>
          <t>BY ACCOUNT TYPE (uncapped)</t>
        </is>
      </c>
    </row>
    <row r="21">
      <c r="A21" s="219" t="inlineStr">
        <is>
          <t>Type</t>
        </is>
      </c>
      <c r="B21" s="219" t="inlineStr">
        <is>
          <t>Count</t>
        </is>
      </c>
      <c r="C21" s="219" t="inlineStr">
        <is>
          <t>TAM</t>
        </is>
      </c>
      <c r="D21" s="219" t="inlineStr">
        <is>
          <t>Y1</t>
        </is>
      </c>
      <c r="E21" s="219" t="inlineStr">
        <is>
          <t>Y3</t>
        </is>
      </c>
      <c r="F21" s="219" t="inlineStr">
        <is>
          <t>Y5</t>
        </is>
      </c>
    </row>
    <row r="22">
      <c r="A22" t="inlineStr">
        <is>
          <t>Hotel</t>
        </is>
      </c>
      <c r="B22" t="n">
        <v>38</v>
      </c>
      <c r="C22" s="215" t="n">
        <v>14356537.2</v>
      </c>
      <c r="D22" s="215" t="n">
        <v>2882183.040000001</v>
      </c>
      <c r="E22" s="215" t="n">
        <v>7809649.560000001</v>
      </c>
      <c r="F22" s="215" t="n">
        <v>11519647.2</v>
      </c>
    </row>
    <row r="23">
      <c r="A23" t="inlineStr">
        <is>
          <t>Restaurant</t>
        </is>
      </c>
      <c r="B23" t="n">
        <v>42</v>
      </c>
      <c r="C23" s="215" t="n">
        <v>2217375</v>
      </c>
      <c r="D23" s="215" t="n">
        <v>85619.53125000001</v>
      </c>
      <c r="E23" s="215" t="n">
        <v>403306.435546875</v>
      </c>
      <c r="F23" s="215" t="n">
        <v>653679.4921875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style="211" min="1" max="1"/>
  </cols>
  <sheetData>
    <row r="1">
      <c r="A1" s="217" t="inlineStr">
        <is>
          <t>WAS v2 METHODOLOGY — SOPHI MOBILITY</t>
        </is>
      </c>
    </row>
    <row r="2">
      <c r="A2" s="223" t="inlineStr"/>
    </row>
    <row r="3">
      <c r="A3" s="223" t="inlineStr">
        <is>
          <t>Market state: WARM  (Warm = ≥3 current SOPHI anchor accounts in-market)</t>
        </is>
      </c>
    </row>
    <row r="4">
      <c r="A4" s="223" t="inlineStr"/>
    </row>
    <row r="5">
      <c r="A5" s="221" t="inlineStr">
        <is>
          <t>CONVERSION CURVES (Y1 rate → Y5 rate per tier)</t>
        </is>
      </c>
    </row>
    <row r="6">
      <c r="A6" s="223" t="inlineStr">
        <is>
          <t xml:space="preserve">  Cold  —  A: 40% → 95%</t>
        </is>
      </c>
    </row>
    <row r="7">
      <c r="A7" s="223" t="inlineStr">
        <is>
          <t xml:space="preserve">           B: 8% → 75%</t>
        </is>
      </c>
    </row>
    <row r="8">
      <c r="A8" s="223" t="inlineStr">
        <is>
          <t xml:space="preserve">           C: 2% → 40%</t>
        </is>
      </c>
    </row>
    <row r="9">
      <c r="A9" s="223" t="inlineStr">
        <is>
          <t xml:space="preserve">           D: 0% → 10%</t>
        </is>
      </c>
    </row>
    <row r="10">
      <c r="A10" s="223" t="inlineStr">
        <is>
          <t xml:space="preserve">  Warm  —  A: 60% → 95%</t>
        </is>
      </c>
    </row>
    <row r="11">
      <c r="A11" s="223" t="inlineStr">
        <is>
          <t xml:space="preserve">           B: 25% → 80%</t>
        </is>
      </c>
    </row>
    <row r="12">
      <c r="A12" s="223" t="inlineStr">
        <is>
          <t xml:space="preserve">           C: 10% → 45%</t>
        </is>
      </c>
    </row>
    <row r="13">
      <c r="A13" s="223" t="inlineStr">
        <is>
          <t xml:space="preserve">           D: 0% → 15%</t>
        </is>
      </c>
    </row>
    <row r="14">
      <c r="A14" s="223" t="inlineStr"/>
    </row>
    <row r="15">
      <c r="A15" s="221" t="inlineStr">
        <is>
          <t>S-CURVE ANNUAL RAMP (fraction of Y5-Y1 captured per year)</t>
        </is>
      </c>
    </row>
    <row r="16">
      <c r="A16" s="223" t="inlineStr">
        <is>
          <t xml:space="preserve">  Y1: 0%, Y2: 18%, Y3: 55%, Y4: 82%, Y5: 100%</t>
        </is>
      </c>
    </row>
    <row r="17">
      <c r="A17" s="223" t="inlineStr"/>
    </row>
    <row r="18">
      <c r="A18" s="221" t="inlineStr">
        <is>
          <t>DIVERSIFICATION MULTIPLIER (on B/C rates only)</t>
        </is>
      </c>
    </row>
    <row r="19">
      <c r="A19" s="223" t="inlineStr">
        <is>
          <t xml:space="preserve">  1 account type in market:  1.00×</t>
        </is>
      </c>
    </row>
    <row r="20">
      <c r="A20" s="223" t="inlineStr">
        <is>
          <t xml:space="preserve">  2 account types:           1.10×</t>
        </is>
      </c>
    </row>
    <row r="21">
      <c r="A21" s="223" t="inlineStr">
        <is>
          <t xml:space="preserve">  3+ account types:          1.25×</t>
        </is>
      </c>
    </row>
    <row r="22">
      <c r="A22" s="223" t="inlineStr">
        <is>
          <t xml:space="preserve">  Ramp for WARM market: Y1=2, Y2=3, Y3+=3</t>
        </is>
      </c>
    </row>
    <row r="23">
      <c r="A23" s="223" t="inlineStr"/>
    </row>
    <row r="24">
      <c r="A24" s="221" t="inlineStr">
        <is>
          <t>WAS WEIGHTS</t>
        </is>
      </c>
    </row>
    <row r="25">
      <c r="A25" s="223" t="inlineStr">
        <is>
          <t xml:space="preserve">  Fit 25%  |  Size 25%  |  Ownership 20%  |  Addressability 15%  |  Adjacency 15%</t>
        </is>
      </c>
    </row>
    <row r="26">
      <c r="A26" s="223" t="inlineStr"/>
    </row>
    <row r="27">
      <c r="A27" s="221" t="inlineStr">
        <is>
          <t>RELATIONSHIP LIFTS (additive to WAS, cap 5.0)</t>
        </is>
      </c>
    </row>
    <row r="28">
      <c r="A28" s="223" t="inlineStr">
        <is>
          <t xml:space="preserve">  Current operator group:         +1.00</t>
        </is>
      </c>
    </row>
    <row r="29">
      <c r="A29" s="223" t="inlineStr">
        <is>
          <t xml:space="preserve">  Historical operator group:      +0.50</t>
        </is>
      </c>
    </row>
    <row r="30">
      <c r="A30" s="223" t="inlineStr">
        <is>
          <t xml:space="preserve">  Brand familiarity (current):    +0.30</t>
        </is>
      </c>
    </row>
    <row r="31">
      <c r="A31" s="223" t="inlineStr">
        <is>
          <t xml:space="preserve">  Brand familiarity (historical): +0.15</t>
        </is>
      </c>
    </row>
    <row r="32">
      <c r="A32" s="223" t="inlineStr"/>
    </row>
    <row r="33">
      <c r="A33" s="223" t="inlineStr">
        <is>
          <t xml:space="preserve">  Source: config/relationships.yaml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2026-04-18T17:59:40Z</dcterms:created>
  <dcterms:modified xmlns:dcterms="http://purl.org/dc/terms/" xmlns:xsi="http://www.w3.org/2001/XMLSchema-instance" xsi:type="dcterms:W3CDTF">2026-04-18T18:00:13Z</dcterms:modified>
</cp:coreProperties>
</file>